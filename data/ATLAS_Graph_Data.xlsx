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eilp\Documents\Code\OpenPath-RPI\data\"/>
    </mc:Choice>
  </mc:AlternateContent>
  <xr:revisionPtr revIDLastSave="0" documentId="13_ncr:1_{EC200A13-6C24-4C1E-A6D2-1E015F56366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Locations" sheetId="2" r:id="rId2"/>
    <sheet name="Connections" sheetId="3" r:id="rId3"/>
    <sheet name="Issues" sheetId="4" r:id="rId4"/>
    <sheet name="Landmarks" sheetId="5" r:id="rId5"/>
    <sheet name="Nodes" sheetId="6" r:id="rId6"/>
    <sheet name="Edg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89" i="3" l="1"/>
  <c r="U589" i="3"/>
  <c r="T589" i="3"/>
  <c r="S589" i="3"/>
  <c r="V588" i="3"/>
  <c r="U588" i="3"/>
  <c r="T588" i="3"/>
  <c r="S588" i="3"/>
  <c r="V587" i="3"/>
  <c r="U587" i="3"/>
  <c r="T587" i="3"/>
  <c r="S587" i="3"/>
  <c r="V586" i="3"/>
  <c r="U586" i="3"/>
  <c r="T586" i="3"/>
  <c r="S586" i="3"/>
  <c r="V585" i="3"/>
  <c r="U585" i="3"/>
  <c r="T585" i="3"/>
  <c r="S585" i="3"/>
  <c r="V584" i="3"/>
  <c r="U584" i="3"/>
  <c r="T584" i="3"/>
  <c r="S584" i="3"/>
  <c r="V583" i="3"/>
  <c r="U583" i="3"/>
  <c r="T583" i="3"/>
  <c r="S583" i="3"/>
  <c r="V582" i="3"/>
  <c r="U582" i="3"/>
  <c r="T582" i="3"/>
  <c r="S582" i="3"/>
  <c r="V581" i="3"/>
  <c r="U581" i="3"/>
  <c r="T581" i="3"/>
  <c r="S581" i="3"/>
  <c r="V580" i="3"/>
  <c r="U580" i="3"/>
  <c r="T580" i="3"/>
  <c r="S580" i="3"/>
  <c r="V579" i="3"/>
  <c r="U579" i="3"/>
  <c r="T579" i="3"/>
  <c r="S579" i="3"/>
  <c r="V578" i="3"/>
  <c r="U578" i="3"/>
  <c r="T578" i="3"/>
  <c r="S578" i="3"/>
  <c r="V577" i="3"/>
  <c r="U577" i="3"/>
  <c r="T577" i="3"/>
  <c r="S577" i="3"/>
  <c r="V576" i="3"/>
  <c r="U576" i="3"/>
  <c r="T576" i="3"/>
  <c r="S576" i="3"/>
  <c r="V575" i="3"/>
  <c r="U575" i="3"/>
  <c r="T575" i="3"/>
  <c r="S575" i="3"/>
  <c r="V574" i="3"/>
  <c r="U574" i="3"/>
  <c r="T574" i="3"/>
  <c r="S574" i="3"/>
  <c r="V573" i="3"/>
  <c r="U573" i="3"/>
  <c r="T573" i="3"/>
  <c r="S573" i="3"/>
  <c r="V572" i="3"/>
  <c r="U572" i="3"/>
  <c r="T572" i="3"/>
  <c r="S572" i="3"/>
  <c r="V571" i="3"/>
  <c r="U571" i="3"/>
  <c r="T571" i="3"/>
  <c r="S571" i="3"/>
  <c r="V570" i="3"/>
  <c r="U570" i="3"/>
  <c r="T570" i="3"/>
  <c r="S570" i="3"/>
  <c r="V569" i="3"/>
  <c r="U569" i="3"/>
  <c r="T569" i="3"/>
  <c r="S569" i="3"/>
  <c r="V568" i="3"/>
  <c r="U568" i="3"/>
  <c r="T568" i="3"/>
  <c r="S568" i="3"/>
  <c r="V567" i="3"/>
  <c r="U567" i="3"/>
  <c r="T567" i="3"/>
  <c r="S567" i="3"/>
  <c r="V566" i="3"/>
  <c r="U566" i="3"/>
  <c r="T566" i="3"/>
  <c r="S566" i="3"/>
  <c r="V565" i="3"/>
  <c r="U565" i="3"/>
  <c r="T565" i="3"/>
  <c r="S565" i="3"/>
  <c r="V564" i="3"/>
  <c r="U564" i="3"/>
  <c r="T564" i="3"/>
  <c r="S564" i="3"/>
  <c r="V563" i="3"/>
  <c r="U563" i="3"/>
  <c r="T563" i="3"/>
  <c r="S563" i="3"/>
  <c r="V562" i="3"/>
  <c r="U562" i="3"/>
  <c r="T562" i="3"/>
  <c r="S562" i="3"/>
  <c r="V561" i="3"/>
  <c r="U561" i="3"/>
  <c r="T561" i="3"/>
  <c r="S561" i="3"/>
  <c r="V560" i="3"/>
  <c r="U560" i="3"/>
  <c r="T560" i="3"/>
  <c r="S560" i="3"/>
  <c r="V559" i="3"/>
  <c r="U559" i="3"/>
  <c r="T559" i="3"/>
  <c r="S559" i="3"/>
  <c r="V558" i="3"/>
  <c r="U558" i="3"/>
  <c r="T558" i="3"/>
  <c r="S558" i="3"/>
  <c r="V557" i="3"/>
  <c r="U557" i="3"/>
  <c r="T557" i="3"/>
  <c r="S557" i="3"/>
  <c r="V556" i="3"/>
  <c r="U556" i="3"/>
  <c r="T556" i="3"/>
  <c r="S556" i="3"/>
  <c r="V555" i="3"/>
  <c r="U555" i="3"/>
  <c r="T555" i="3"/>
  <c r="S555" i="3"/>
  <c r="V554" i="3"/>
  <c r="U554" i="3"/>
  <c r="T554" i="3"/>
  <c r="S554" i="3"/>
  <c r="V553" i="3"/>
  <c r="U553" i="3"/>
  <c r="T553" i="3"/>
  <c r="S553" i="3"/>
  <c r="V552" i="3"/>
  <c r="U552" i="3"/>
  <c r="T552" i="3"/>
  <c r="S552" i="3"/>
  <c r="V551" i="3"/>
  <c r="U551" i="3"/>
  <c r="T551" i="3"/>
  <c r="S551" i="3"/>
  <c r="V550" i="3"/>
  <c r="U550" i="3"/>
  <c r="T550" i="3"/>
  <c r="S550" i="3"/>
  <c r="V549" i="3"/>
  <c r="U549" i="3"/>
  <c r="T549" i="3"/>
  <c r="S549" i="3"/>
  <c r="V548" i="3"/>
  <c r="U548" i="3"/>
  <c r="T548" i="3"/>
  <c r="S548" i="3"/>
  <c r="V547" i="3"/>
  <c r="U547" i="3"/>
  <c r="T547" i="3"/>
  <c r="S547" i="3"/>
  <c r="V546" i="3"/>
  <c r="U546" i="3"/>
  <c r="T546" i="3"/>
  <c r="S546" i="3"/>
  <c r="V545" i="3"/>
  <c r="U545" i="3"/>
  <c r="T545" i="3"/>
  <c r="S545" i="3"/>
  <c r="V544" i="3"/>
  <c r="U544" i="3"/>
  <c r="T544" i="3"/>
  <c r="S544" i="3"/>
  <c r="V543" i="3"/>
  <c r="U543" i="3"/>
  <c r="T543" i="3"/>
  <c r="S543" i="3"/>
  <c r="V542" i="3"/>
  <c r="U542" i="3"/>
  <c r="T542" i="3"/>
  <c r="S542" i="3"/>
  <c r="V541" i="3"/>
  <c r="U541" i="3"/>
  <c r="T541" i="3"/>
  <c r="S541" i="3"/>
  <c r="V540" i="3"/>
  <c r="U540" i="3"/>
  <c r="T540" i="3"/>
  <c r="S540" i="3"/>
  <c r="V539" i="3"/>
  <c r="U539" i="3"/>
  <c r="T539" i="3"/>
  <c r="S539" i="3"/>
  <c r="V538" i="3"/>
  <c r="U538" i="3"/>
  <c r="T538" i="3"/>
  <c r="S538" i="3"/>
  <c r="V537" i="3"/>
  <c r="U537" i="3"/>
  <c r="T537" i="3"/>
  <c r="S537" i="3"/>
  <c r="V536" i="3"/>
  <c r="U536" i="3"/>
  <c r="T536" i="3"/>
  <c r="S536" i="3"/>
  <c r="V535" i="3"/>
  <c r="U535" i="3"/>
  <c r="T535" i="3"/>
  <c r="S535" i="3"/>
  <c r="V534" i="3"/>
  <c r="U534" i="3"/>
  <c r="T534" i="3"/>
  <c r="S534" i="3"/>
  <c r="V533" i="3"/>
  <c r="U533" i="3"/>
  <c r="T533" i="3"/>
  <c r="S533" i="3"/>
  <c r="V532" i="3"/>
  <c r="U532" i="3"/>
  <c r="T532" i="3"/>
  <c r="S532" i="3"/>
  <c r="V531" i="3"/>
  <c r="U531" i="3"/>
  <c r="T531" i="3"/>
  <c r="S531" i="3"/>
  <c r="V530" i="3"/>
  <c r="U530" i="3"/>
  <c r="T530" i="3"/>
  <c r="S530" i="3"/>
  <c r="V529" i="3"/>
  <c r="U529" i="3"/>
  <c r="T529" i="3"/>
  <c r="S529" i="3"/>
  <c r="V528" i="3"/>
  <c r="U528" i="3"/>
  <c r="T528" i="3"/>
  <c r="S528" i="3"/>
  <c r="V527" i="3"/>
  <c r="U527" i="3"/>
  <c r="T527" i="3"/>
  <c r="S527" i="3"/>
  <c r="V526" i="3"/>
  <c r="U526" i="3"/>
  <c r="T526" i="3"/>
  <c r="S526" i="3"/>
  <c r="V525" i="3"/>
  <c r="U525" i="3"/>
  <c r="T525" i="3"/>
  <c r="S525" i="3"/>
  <c r="V524" i="3"/>
  <c r="U524" i="3"/>
  <c r="T524" i="3"/>
  <c r="S524" i="3"/>
  <c r="V523" i="3"/>
  <c r="U523" i="3"/>
  <c r="T523" i="3"/>
  <c r="S523" i="3"/>
  <c r="V522" i="3"/>
  <c r="U522" i="3"/>
  <c r="T522" i="3"/>
  <c r="S522" i="3"/>
  <c r="V521" i="3"/>
  <c r="U521" i="3"/>
  <c r="T521" i="3"/>
  <c r="S521" i="3"/>
  <c r="V520" i="3"/>
  <c r="U520" i="3"/>
  <c r="T520" i="3"/>
  <c r="S520" i="3"/>
  <c r="V519" i="3"/>
  <c r="U519" i="3"/>
  <c r="T519" i="3"/>
  <c r="S519" i="3"/>
  <c r="V518" i="3"/>
  <c r="U518" i="3"/>
  <c r="T518" i="3"/>
  <c r="S518" i="3"/>
  <c r="V517" i="3"/>
  <c r="U517" i="3"/>
  <c r="T517" i="3"/>
  <c r="S517" i="3"/>
  <c r="V516" i="3"/>
  <c r="U516" i="3"/>
  <c r="T516" i="3"/>
  <c r="S516" i="3"/>
  <c r="V515" i="3"/>
  <c r="U515" i="3"/>
  <c r="T515" i="3"/>
  <c r="S515" i="3"/>
  <c r="V514" i="3"/>
  <c r="U514" i="3"/>
  <c r="T514" i="3"/>
  <c r="S514" i="3"/>
  <c r="V513" i="3"/>
  <c r="U513" i="3"/>
  <c r="T513" i="3"/>
  <c r="S513" i="3"/>
  <c r="V512" i="3"/>
  <c r="U512" i="3"/>
  <c r="T512" i="3"/>
  <c r="S512" i="3"/>
  <c r="V511" i="3"/>
  <c r="U511" i="3"/>
  <c r="T511" i="3"/>
  <c r="S511" i="3"/>
  <c r="V510" i="3"/>
  <c r="U510" i="3"/>
  <c r="T510" i="3"/>
  <c r="S510" i="3"/>
  <c r="V509" i="3"/>
  <c r="U509" i="3"/>
  <c r="T509" i="3"/>
  <c r="S509" i="3"/>
  <c r="V508" i="3"/>
  <c r="U508" i="3"/>
  <c r="T508" i="3"/>
  <c r="S508" i="3"/>
  <c r="V507" i="3"/>
  <c r="U507" i="3"/>
  <c r="T507" i="3"/>
  <c r="S507" i="3"/>
  <c r="V506" i="3"/>
  <c r="U506" i="3"/>
  <c r="T506" i="3"/>
  <c r="S506" i="3"/>
  <c r="V505" i="3"/>
  <c r="U505" i="3"/>
  <c r="T505" i="3"/>
  <c r="S505" i="3"/>
  <c r="V504" i="3"/>
  <c r="U504" i="3"/>
  <c r="T504" i="3"/>
  <c r="S504" i="3"/>
  <c r="V503" i="3"/>
  <c r="U503" i="3"/>
  <c r="T503" i="3"/>
  <c r="S503" i="3"/>
  <c r="V502" i="3"/>
  <c r="U502" i="3"/>
  <c r="T502" i="3"/>
  <c r="S502" i="3"/>
  <c r="V501" i="3"/>
  <c r="U501" i="3"/>
  <c r="T501" i="3"/>
  <c r="S501" i="3"/>
  <c r="V500" i="3"/>
  <c r="U500" i="3"/>
  <c r="T500" i="3"/>
  <c r="S500" i="3"/>
  <c r="V499" i="3"/>
  <c r="U499" i="3"/>
  <c r="T499" i="3"/>
  <c r="S499" i="3"/>
  <c r="V498" i="3"/>
  <c r="U498" i="3"/>
  <c r="T498" i="3"/>
  <c r="S498" i="3"/>
  <c r="V497" i="3"/>
  <c r="U497" i="3"/>
  <c r="T497" i="3"/>
  <c r="S497" i="3"/>
  <c r="V496" i="3"/>
  <c r="U496" i="3"/>
  <c r="T496" i="3"/>
  <c r="S496" i="3"/>
  <c r="V495" i="3"/>
  <c r="U495" i="3"/>
  <c r="T495" i="3"/>
  <c r="S495" i="3"/>
  <c r="V494" i="3"/>
  <c r="U494" i="3"/>
  <c r="T494" i="3"/>
  <c r="S494" i="3"/>
  <c r="V493" i="3"/>
  <c r="U493" i="3"/>
  <c r="T493" i="3"/>
  <c r="S493" i="3"/>
  <c r="V492" i="3"/>
  <c r="U492" i="3"/>
  <c r="T492" i="3"/>
  <c r="S492" i="3"/>
  <c r="V491" i="3"/>
  <c r="U491" i="3"/>
  <c r="T491" i="3"/>
  <c r="S491" i="3"/>
  <c r="V490" i="3"/>
  <c r="U490" i="3"/>
  <c r="T490" i="3"/>
  <c r="S490" i="3"/>
  <c r="V489" i="3"/>
  <c r="U489" i="3"/>
  <c r="T489" i="3"/>
  <c r="S489" i="3"/>
  <c r="V488" i="3"/>
  <c r="U488" i="3"/>
  <c r="T488" i="3"/>
  <c r="S488" i="3"/>
  <c r="V487" i="3"/>
  <c r="U487" i="3"/>
  <c r="T487" i="3"/>
  <c r="S487" i="3"/>
  <c r="V486" i="3"/>
  <c r="U486" i="3"/>
  <c r="T486" i="3"/>
  <c r="S486" i="3"/>
  <c r="V485" i="3"/>
  <c r="U485" i="3"/>
  <c r="T485" i="3"/>
  <c r="S485" i="3"/>
  <c r="V484" i="3"/>
  <c r="U484" i="3"/>
  <c r="T484" i="3"/>
  <c r="S484" i="3"/>
  <c r="V483" i="3"/>
  <c r="U483" i="3"/>
  <c r="T483" i="3"/>
  <c r="S483" i="3"/>
  <c r="V482" i="3"/>
  <c r="U482" i="3"/>
  <c r="T482" i="3"/>
  <c r="S482" i="3"/>
  <c r="V481" i="3"/>
  <c r="U481" i="3"/>
  <c r="T481" i="3"/>
  <c r="S481" i="3"/>
  <c r="V480" i="3"/>
  <c r="U480" i="3"/>
  <c r="T480" i="3"/>
  <c r="S480" i="3"/>
  <c r="V479" i="3"/>
  <c r="U479" i="3"/>
  <c r="T479" i="3"/>
  <c r="S479" i="3"/>
  <c r="V478" i="3"/>
  <c r="U478" i="3"/>
  <c r="T478" i="3"/>
  <c r="S478" i="3"/>
  <c r="V477" i="3"/>
  <c r="U477" i="3"/>
  <c r="T477" i="3"/>
  <c r="S477" i="3"/>
  <c r="V476" i="3"/>
  <c r="U476" i="3"/>
  <c r="T476" i="3"/>
  <c r="S476" i="3"/>
  <c r="V475" i="3"/>
  <c r="U475" i="3"/>
  <c r="T475" i="3"/>
  <c r="S475" i="3"/>
  <c r="V474" i="3"/>
  <c r="U474" i="3"/>
  <c r="T474" i="3"/>
  <c r="S474" i="3"/>
  <c r="V473" i="3"/>
  <c r="U473" i="3"/>
  <c r="T473" i="3"/>
  <c r="S473" i="3"/>
  <c r="V472" i="3"/>
  <c r="U472" i="3"/>
  <c r="T472" i="3"/>
  <c r="S472" i="3"/>
  <c r="V471" i="3"/>
  <c r="U471" i="3"/>
  <c r="T471" i="3"/>
  <c r="S471" i="3"/>
  <c r="V470" i="3"/>
  <c r="U470" i="3"/>
  <c r="T470" i="3"/>
  <c r="S470" i="3"/>
  <c r="V469" i="3"/>
  <c r="U469" i="3"/>
  <c r="T469" i="3"/>
  <c r="S469" i="3"/>
  <c r="V468" i="3"/>
  <c r="U468" i="3"/>
  <c r="T468" i="3"/>
  <c r="S468" i="3"/>
  <c r="V467" i="3"/>
  <c r="U467" i="3"/>
  <c r="T467" i="3"/>
  <c r="S467" i="3"/>
  <c r="V466" i="3"/>
  <c r="U466" i="3"/>
  <c r="T466" i="3"/>
  <c r="S466" i="3"/>
  <c r="V465" i="3"/>
  <c r="U465" i="3"/>
  <c r="T465" i="3"/>
  <c r="S465" i="3"/>
  <c r="V464" i="3"/>
  <c r="U464" i="3"/>
  <c r="T464" i="3"/>
  <c r="S464" i="3"/>
  <c r="V463" i="3"/>
  <c r="U463" i="3"/>
  <c r="T463" i="3"/>
  <c r="S463" i="3"/>
  <c r="V462" i="3"/>
  <c r="U462" i="3"/>
  <c r="T462" i="3"/>
  <c r="S462" i="3"/>
  <c r="V461" i="3"/>
  <c r="U461" i="3"/>
  <c r="T461" i="3"/>
  <c r="S461" i="3"/>
  <c r="V460" i="3"/>
  <c r="U460" i="3"/>
  <c r="T460" i="3"/>
  <c r="S460" i="3"/>
  <c r="V459" i="3"/>
  <c r="U459" i="3"/>
  <c r="T459" i="3"/>
  <c r="S459" i="3"/>
  <c r="V458" i="3"/>
  <c r="U458" i="3"/>
  <c r="T458" i="3"/>
  <c r="S458" i="3"/>
  <c r="V457" i="3"/>
  <c r="U457" i="3"/>
  <c r="T457" i="3"/>
  <c r="S457" i="3"/>
  <c r="V456" i="3"/>
  <c r="U456" i="3"/>
  <c r="T456" i="3"/>
  <c r="S456" i="3"/>
  <c r="V455" i="3"/>
  <c r="U455" i="3"/>
  <c r="T455" i="3"/>
  <c r="S455" i="3"/>
  <c r="V454" i="3"/>
  <c r="U454" i="3"/>
  <c r="T454" i="3"/>
  <c r="S454" i="3"/>
  <c r="V453" i="3"/>
  <c r="U453" i="3"/>
  <c r="T453" i="3"/>
  <c r="S453" i="3"/>
  <c r="V452" i="3"/>
  <c r="U452" i="3"/>
  <c r="T452" i="3"/>
  <c r="S452" i="3"/>
  <c r="V451" i="3"/>
  <c r="U451" i="3"/>
  <c r="T451" i="3"/>
  <c r="S451" i="3"/>
  <c r="V450" i="3"/>
  <c r="U450" i="3"/>
  <c r="T450" i="3"/>
  <c r="S450" i="3"/>
  <c r="V449" i="3"/>
  <c r="U449" i="3"/>
  <c r="T449" i="3"/>
  <c r="S449" i="3"/>
  <c r="V448" i="3"/>
  <c r="U448" i="3"/>
  <c r="T448" i="3"/>
  <c r="S448" i="3"/>
  <c r="V447" i="3"/>
  <c r="U447" i="3"/>
  <c r="T447" i="3"/>
  <c r="S447" i="3"/>
  <c r="V446" i="3"/>
  <c r="U446" i="3"/>
  <c r="T446" i="3"/>
  <c r="S446" i="3"/>
  <c r="V445" i="3"/>
  <c r="U445" i="3"/>
  <c r="T445" i="3"/>
  <c r="S445" i="3"/>
  <c r="V444" i="3"/>
  <c r="U444" i="3"/>
  <c r="T444" i="3"/>
  <c r="S444" i="3"/>
  <c r="V443" i="3"/>
  <c r="U443" i="3"/>
  <c r="T443" i="3"/>
  <c r="S443" i="3"/>
  <c r="V442" i="3"/>
  <c r="U442" i="3"/>
  <c r="T442" i="3"/>
  <c r="S442" i="3"/>
  <c r="V441" i="3"/>
  <c r="U441" i="3"/>
  <c r="T441" i="3"/>
  <c r="S441" i="3"/>
  <c r="V440" i="3"/>
  <c r="U440" i="3"/>
  <c r="T440" i="3"/>
  <c r="S440" i="3"/>
  <c r="V439" i="3"/>
  <c r="U439" i="3"/>
  <c r="T439" i="3"/>
  <c r="S439" i="3"/>
  <c r="V438" i="3"/>
  <c r="U438" i="3"/>
  <c r="T438" i="3"/>
  <c r="S438" i="3"/>
  <c r="V437" i="3"/>
  <c r="U437" i="3"/>
  <c r="T437" i="3"/>
  <c r="S437" i="3"/>
  <c r="V436" i="3"/>
  <c r="U436" i="3"/>
  <c r="T436" i="3"/>
  <c r="S436" i="3"/>
  <c r="V435" i="3"/>
  <c r="U435" i="3"/>
  <c r="T435" i="3"/>
  <c r="S435" i="3"/>
  <c r="V434" i="3"/>
  <c r="U434" i="3"/>
  <c r="T434" i="3"/>
  <c r="S434" i="3"/>
  <c r="V433" i="3"/>
  <c r="U433" i="3"/>
  <c r="T433" i="3"/>
  <c r="S433" i="3"/>
  <c r="V432" i="3"/>
  <c r="U432" i="3"/>
  <c r="T432" i="3"/>
  <c r="S432" i="3"/>
  <c r="V431" i="3"/>
  <c r="U431" i="3"/>
  <c r="T431" i="3"/>
  <c r="S431" i="3"/>
  <c r="V430" i="3"/>
  <c r="U430" i="3"/>
  <c r="T430" i="3"/>
  <c r="S430" i="3"/>
  <c r="V429" i="3"/>
  <c r="U429" i="3"/>
  <c r="T429" i="3"/>
  <c r="S429" i="3"/>
  <c r="V428" i="3"/>
  <c r="U428" i="3"/>
  <c r="T428" i="3"/>
  <c r="S428" i="3"/>
  <c r="V427" i="3"/>
  <c r="U427" i="3"/>
  <c r="T427" i="3"/>
  <c r="S427" i="3"/>
  <c r="V426" i="3"/>
  <c r="U426" i="3"/>
  <c r="T426" i="3"/>
  <c r="S426" i="3"/>
  <c r="V425" i="3"/>
  <c r="U425" i="3"/>
  <c r="T425" i="3"/>
  <c r="S425" i="3"/>
  <c r="V424" i="3"/>
  <c r="U424" i="3"/>
  <c r="T424" i="3"/>
  <c r="S424" i="3"/>
  <c r="V423" i="3"/>
  <c r="U423" i="3"/>
  <c r="T423" i="3"/>
  <c r="S423" i="3"/>
  <c r="V422" i="3"/>
  <c r="U422" i="3"/>
  <c r="T422" i="3"/>
  <c r="S422" i="3"/>
  <c r="V421" i="3"/>
  <c r="U421" i="3"/>
  <c r="T421" i="3"/>
  <c r="S421" i="3"/>
  <c r="V420" i="3"/>
  <c r="U420" i="3"/>
  <c r="T420" i="3"/>
  <c r="S420" i="3"/>
  <c r="V419" i="3"/>
  <c r="U419" i="3"/>
  <c r="T419" i="3"/>
  <c r="S419" i="3"/>
  <c r="V418" i="3"/>
  <c r="U418" i="3"/>
  <c r="T418" i="3"/>
  <c r="S418" i="3"/>
  <c r="V417" i="3"/>
  <c r="U417" i="3"/>
  <c r="T417" i="3"/>
  <c r="S417" i="3"/>
  <c r="V416" i="3"/>
  <c r="U416" i="3"/>
  <c r="T416" i="3"/>
  <c r="S416" i="3"/>
  <c r="V415" i="3"/>
  <c r="U415" i="3"/>
  <c r="T415" i="3"/>
  <c r="S415" i="3"/>
  <c r="V414" i="3"/>
  <c r="U414" i="3"/>
  <c r="T414" i="3"/>
  <c r="S414" i="3"/>
  <c r="V413" i="3"/>
  <c r="U413" i="3"/>
  <c r="T413" i="3"/>
  <c r="S413" i="3"/>
  <c r="V412" i="3"/>
  <c r="U412" i="3"/>
  <c r="T412" i="3"/>
  <c r="S412" i="3"/>
  <c r="V411" i="3"/>
  <c r="U411" i="3"/>
  <c r="T411" i="3"/>
  <c r="S411" i="3"/>
  <c r="V410" i="3"/>
  <c r="U410" i="3"/>
  <c r="T410" i="3"/>
  <c r="S410" i="3"/>
  <c r="V409" i="3"/>
  <c r="U409" i="3"/>
  <c r="T409" i="3"/>
  <c r="S409" i="3"/>
  <c r="V408" i="3"/>
  <c r="U408" i="3"/>
  <c r="T408" i="3"/>
  <c r="S408" i="3"/>
  <c r="V407" i="3"/>
  <c r="U407" i="3"/>
  <c r="T407" i="3"/>
  <c r="S407" i="3"/>
  <c r="V406" i="3"/>
  <c r="U406" i="3"/>
  <c r="T406" i="3"/>
  <c r="S406" i="3"/>
  <c r="V405" i="3"/>
  <c r="U405" i="3"/>
  <c r="T405" i="3"/>
  <c r="S405" i="3"/>
  <c r="V404" i="3"/>
  <c r="U404" i="3"/>
  <c r="T404" i="3"/>
  <c r="S404" i="3"/>
  <c r="V403" i="3"/>
  <c r="U403" i="3"/>
  <c r="T403" i="3"/>
  <c r="S403" i="3"/>
  <c r="V402" i="3"/>
  <c r="U402" i="3"/>
  <c r="T402" i="3"/>
  <c r="S402" i="3"/>
  <c r="V401" i="3"/>
  <c r="U401" i="3"/>
  <c r="T401" i="3"/>
  <c r="S401" i="3"/>
  <c r="V400" i="3"/>
  <c r="U400" i="3"/>
  <c r="T400" i="3"/>
  <c r="S400" i="3"/>
  <c r="V399" i="3"/>
  <c r="U399" i="3"/>
  <c r="T399" i="3"/>
  <c r="S399" i="3"/>
  <c r="V398" i="3"/>
  <c r="U398" i="3"/>
  <c r="T398" i="3"/>
  <c r="S398" i="3"/>
  <c r="V397" i="3"/>
  <c r="U397" i="3"/>
  <c r="T397" i="3"/>
  <c r="S397" i="3"/>
  <c r="V396" i="3"/>
  <c r="U396" i="3"/>
  <c r="T396" i="3"/>
  <c r="S396" i="3"/>
  <c r="V395" i="3"/>
  <c r="U395" i="3"/>
  <c r="T395" i="3"/>
  <c r="S395" i="3"/>
  <c r="V394" i="3"/>
  <c r="U394" i="3"/>
  <c r="T394" i="3"/>
  <c r="S394" i="3"/>
  <c r="V393" i="3"/>
  <c r="U393" i="3"/>
  <c r="T393" i="3"/>
  <c r="S393" i="3"/>
  <c r="V392" i="3"/>
  <c r="U392" i="3"/>
  <c r="T392" i="3"/>
  <c r="S392" i="3"/>
  <c r="V391" i="3"/>
  <c r="U391" i="3"/>
  <c r="T391" i="3"/>
  <c r="S391" i="3"/>
  <c r="V390" i="3"/>
  <c r="U390" i="3"/>
  <c r="T390" i="3"/>
  <c r="S390" i="3"/>
  <c r="V389" i="3"/>
  <c r="U389" i="3"/>
  <c r="T389" i="3"/>
  <c r="S389" i="3"/>
  <c r="V388" i="3"/>
  <c r="U388" i="3"/>
  <c r="T388" i="3"/>
  <c r="S388" i="3"/>
  <c r="V387" i="3"/>
  <c r="U387" i="3"/>
  <c r="T387" i="3"/>
  <c r="S387" i="3"/>
  <c r="V386" i="3"/>
  <c r="U386" i="3"/>
  <c r="T386" i="3"/>
  <c r="S386" i="3"/>
  <c r="V385" i="3"/>
  <c r="U385" i="3"/>
  <c r="T385" i="3"/>
  <c r="S385" i="3"/>
  <c r="V384" i="3"/>
  <c r="U384" i="3"/>
  <c r="T384" i="3"/>
  <c r="S384" i="3"/>
  <c r="V383" i="3"/>
  <c r="U383" i="3"/>
  <c r="T383" i="3"/>
  <c r="S383" i="3"/>
  <c r="V382" i="3"/>
  <c r="U382" i="3"/>
  <c r="T382" i="3"/>
  <c r="S382" i="3"/>
  <c r="V381" i="3"/>
  <c r="U381" i="3"/>
  <c r="T381" i="3"/>
  <c r="S381" i="3"/>
  <c r="V380" i="3"/>
  <c r="U380" i="3"/>
  <c r="T380" i="3"/>
  <c r="S380" i="3"/>
  <c r="V379" i="3"/>
  <c r="U379" i="3"/>
  <c r="T379" i="3"/>
  <c r="S379" i="3"/>
  <c r="V378" i="3"/>
  <c r="U378" i="3"/>
  <c r="T378" i="3"/>
  <c r="S378" i="3"/>
  <c r="V377" i="3"/>
  <c r="U377" i="3"/>
  <c r="T377" i="3"/>
  <c r="S377" i="3"/>
  <c r="V376" i="3"/>
  <c r="U376" i="3"/>
  <c r="T376" i="3"/>
  <c r="S376" i="3"/>
  <c r="V375" i="3"/>
  <c r="U375" i="3"/>
  <c r="T375" i="3"/>
  <c r="S375" i="3"/>
  <c r="V374" i="3"/>
  <c r="U374" i="3"/>
  <c r="T374" i="3"/>
  <c r="S374" i="3"/>
  <c r="V373" i="3"/>
  <c r="U373" i="3"/>
  <c r="T373" i="3"/>
  <c r="S373" i="3"/>
  <c r="V372" i="3"/>
  <c r="U372" i="3"/>
  <c r="T372" i="3"/>
  <c r="S372" i="3"/>
  <c r="V371" i="3"/>
  <c r="U371" i="3"/>
  <c r="T371" i="3"/>
  <c r="S371" i="3"/>
  <c r="V370" i="3"/>
  <c r="U370" i="3"/>
  <c r="T370" i="3"/>
  <c r="S370" i="3"/>
  <c r="V369" i="3"/>
  <c r="U369" i="3"/>
  <c r="T369" i="3"/>
  <c r="S369" i="3"/>
  <c r="V368" i="3"/>
  <c r="U368" i="3"/>
  <c r="T368" i="3"/>
  <c r="S368" i="3"/>
  <c r="V367" i="3"/>
  <c r="U367" i="3"/>
  <c r="T367" i="3"/>
  <c r="S367" i="3"/>
  <c r="V366" i="3"/>
  <c r="U366" i="3"/>
  <c r="T366" i="3"/>
  <c r="S366" i="3"/>
  <c r="V365" i="3"/>
  <c r="U365" i="3"/>
  <c r="T365" i="3"/>
  <c r="S365" i="3"/>
  <c r="V364" i="3"/>
  <c r="U364" i="3"/>
  <c r="T364" i="3"/>
  <c r="S364" i="3"/>
  <c r="V363" i="3"/>
  <c r="U363" i="3"/>
  <c r="T363" i="3"/>
  <c r="S363" i="3"/>
  <c r="V362" i="3"/>
  <c r="U362" i="3"/>
  <c r="T362" i="3"/>
  <c r="S362" i="3"/>
  <c r="V361" i="3"/>
  <c r="U361" i="3"/>
  <c r="T361" i="3"/>
  <c r="S361" i="3"/>
  <c r="V360" i="3"/>
  <c r="U360" i="3"/>
  <c r="T360" i="3"/>
  <c r="S360" i="3"/>
  <c r="V359" i="3"/>
  <c r="U359" i="3"/>
  <c r="T359" i="3"/>
  <c r="S359" i="3"/>
  <c r="V358" i="3"/>
  <c r="U358" i="3"/>
  <c r="T358" i="3"/>
  <c r="S358" i="3"/>
  <c r="V357" i="3"/>
  <c r="U357" i="3"/>
  <c r="T357" i="3"/>
  <c r="S357" i="3"/>
  <c r="V356" i="3"/>
  <c r="U356" i="3"/>
  <c r="T356" i="3"/>
  <c r="S356" i="3"/>
  <c r="V355" i="3"/>
  <c r="U355" i="3"/>
  <c r="T355" i="3"/>
  <c r="S355" i="3"/>
  <c r="V354" i="3"/>
  <c r="U354" i="3"/>
  <c r="T354" i="3"/>
  <c r="S354" i="3"/>
  <c r="V353" i="3"/>
  <c r="U353" i="3"/>
  <c r="T353" i="3"/>
  <c r="S353" i="3"/>
  <c r="V352" i="3"/>
  <c r="U352" i="3"/>
  <c r="T352" i="3"/>
  <c r="S352" i="3"/>
  <c r="V351" i="3"/>
  <c r="U351" i="3"/>
  <c r="T351" i="3"/>
  <c r="S351" i="3"/>
  <c r="V350" i="3"/>
  <c r="U350" i="3"/>
  <c r="T350" i="3"/>
  <c r="S350" i="3"/>
  <c r="V349" i="3"/>
  <c r="U349" i="3"/>
  <c r="T349" i="3"/>
  <c r="S349" i="3"/>
  <c r="V348" i="3"/>
  <c r="U348" i="3"/>
  <c r="T348" i="3"/>
  <c r="S348" i="3"/>
  <c r="V347" i="3"/>
  <c r="U347" i="3"/>
  <c r="T347" i="3"/>
  <c r="S347" i="3"/>
  <c r="V346" i="3"/>
  <c r="U346" i="3"/>
  <c r="T346" i="3"/>
  <c r="S346" i="3"/>
  <c r="V345" i="3"/>
  <c r="U345" i="3"/>
  <c r="T345" i="3"/>
  <c r="S345" i="3"/>
  <c r="V344" i="3"/>
  <c r="U344" i="3"/>
  <c r="T344" i="3"/>
  <c r="S344" i="3"/>
  <c r="V343" i="3"/>
  <c r="U343" i="3"/>
  <c r="T343" i="3"/>
  <c r="S343" i="3"/>
  <c r="V342" i="3"/>
  <c r="U342" i="3"/>
  <c r="T342" i="3"/>
  <c r="S342" i="3"/>
  <c r="V341" i="3"/>
  <c r="U341" i="3"/>
  <c r="T341" i="3"/>
  <c r="S341" i="3"/>
  <c r="V340" i="3"/>
  <c r="U340" i="3"/>
  <c r="T340" i="3"/>
  <c r="S340" i="3"/>
  <c r="V339" i="3"/>
  <c r="U339" i="3"/>
  <c r="T339" i="3"/>
  <c r="S339" i="3"/>
  <c r="V338" i="3"/>
  <c r="U338" i="3"/>
  <c r="T338" i="3"/>
  <c r="S338" i="3"/>
  <c r="V337" i="3"/>
  <c r="U337" i="3"/>
  <c r="T337" i="3"/>
  <c r="S337" i="3"/>
  <c r="V336" i="3"/>
  <c r="U336" i="3"/>
  <c r="T336" i="3"/>
  <c r="S336" i="3"/>
  <c r="V335" i="3"/>
  <c r="U335" i="3"/>
  <c r="T335" i="3"/>
  <c r="S335" i="3"/>
  <c r="V334" i="3"/>
  <c r="U334" i="3"/>
  <c r="T334" i="3"/>
  <c r="S334" i="3"/>
  <c r="V333" i="3"/>
  <c r="U333" i="3"/>
  <c r="T333" i="3"/>
  <c r="S333" i="3"/>
  <c r="V332" i="3"/>
  <c r="U332" i="3"/>
  <c r="T332" i="3"/>
  <c r="S332" i="3"/>
  <c r="V331" i="3"/>
  <c r="U331" i="3"/>
  <c r="T331" i="3"/>
  <c r="S331" i="3"/>
  <c r="V330" i="3"/>
  <c r="U330" i="3"/>
  <c r="T330" i="3"/>
  <c r="S330" i="3"/>
  <c r="V329" i="3"/>
  <c r="U329" i="3"/>
  <c r="T329" i="3"/>
  <c r="S329" i="3"/>
  <c r="V328" i="3"/>
  <c r="U328" i="3"/>
  <c r="T328" i="3"/>
  <c r="S328" i="3"/>
  <c r="V327" i="3"/>
  <c r="U327" i="3"/>
  <c r="T327" i="3"/>
  <c r="S327" i="3"/>
  <c r="V326" i="3"/>
  <c r="U326" i="3"/>
  <c r="T326" i="3"/>
  <c r="S326" i="3"/>
  <c r="V325" i="3"/>
  <c r="U325" i="3"/>
  <c r="T325" i="3"/>
  <c r="S325" i="3"/>
  <c r="V324" i="3"/>
  <c r="U324" i="3"/>
  <c r="T324" i="3"/>
  <c r="S324" i="3"/>
  <c r="V323" i="3"/>
  <c r="U323" i="3"/>
  <c r="T323" i="3"/>
  <c r="S323" i="3"/>
  <c r="V322" i="3"/>
  <c r="U322" i="3"/>
  <c r="T322" i="3"/>
  <c r="S322" i="3"/>
  <c r="V321" i="3"/>
  <c r="U321" i="3"/>
  <c r="T321" i="3"/>
  <c r="S321" i="3"/>
  <c r="V320" i="3"/>
  <c r="U320" i="3"/>
  <c r="T320" i="3"/>
  <c r="S320" i="3"/>
  <c r="V319" i="3"/>
  <c r="U319" i="3"/>
  <c r="T319" i="3"/>
  <c r="S319" i="3"/>
  <c r="V318" i="3"/>
  <c r="U318" i="3"/>
  <c r="T318" i="3"/>
  <c r="S318" i="3"/>
  <c r="V317" i="3"/>
  <c r="U317" i="3"/>
  <c r="T317" i="3"/>
  <c r="S317" i="3"/>
  <c r="V316" i="3"/>
  <c r="U316" i="3"/>
  <c r="T316" i="3"/>
  <c r="S316" i="3"/>
  <c r="V315" i="3"/>
  <c r="U315" i="3"/>
  <c r="T315" i="3"/>
  <c r="S315" i="3"/>
  <c r="V314" i="3"/>
  <c r="U314" i="3"/>
  <c r="T314" i="3"/>
  <c r="S314" i="3"/>
  <c r="V313" i="3"/>
  <c r="U313" i="3"/>
  <c r="T313" i="3"/>
  <c r="S313" i="3"/>
  <c r="V312" i="3"/>
  <c r="U312" i="3"/>
  <c r="T312" i="3"/>
  <c r="S312" i="3"/>
  <c r="V311" i="3"/>
  <c r="U311" i="3"/>
  <c r="T311" i="3"/>
  <c r="S311" i="3"/>
  <c r="V310" i="3"/>
  <c r="U310" i="3"/>
  <c r="T310" i="3"/>
  <c r="S310" i="3"/>
  <c r="V309" i="3"/>
  <c r="U309" i="3"/>
  <c r="T309" i="3"/>
  <c r="S309" i="3"/>
  <c r="V308" i="3"/>
  <c r="U308" i="3"/>
  <c r="T308" i="3"/>
  <c r="S308" i="3"/>
  <c r="V307" i="3"/>
  <c r="U307" i="3"/>
  <c r="T307" i="3"/>
  <c r="S307" i="3"/>
  <c r="V306" i="3"/>
  <c r="U306" i="3"/>
  <c r="T306" i="3"/>
  <c r="S306" i="3"/>
  <c r="V305" i="3"/>
  <c r="U305" i="3"/>
  <c r="T305" i="3"/>
  <c r="S305" i="3"/>
  <c r="V304" i="3"/>
  <c r="U304" i="3"/>
  <c r="T304" i="3"/>
  <c r="S304" i="3"/>
  <c r="V303" i="3"/>
  <c r="U303" i="3"/>
  <c r="T303" i="3"/>
  <c r="S303" i="3"/>
  <c r="V302" i="3"/>
  <c r="U302" i="3"/>
  <c r="T302" i="3"/>
  <c r="S302" i="3"/>
  <c r="V301" i="3"/>
  <c r="U301" i="3"/>
  <c r="T301" i="3"/>
  <c r="S301" i="3"/>
  <c r="V300" i="3"/>
  <c r="U300" i="3"/>
  <c r="T300" i="3"/>
  <c r="S300" i="3"/>
  <c r="V299" i="3"/>
  <c r="U299" i="3"/>
  <c r="T299" i="3"/>
  <c r="S299" i="3"/>
  <c r="V298" i="3"/>
  <c r="U298" i="3"/>
  <c r="T298" i="3"/>
  <c r="S298" i="3"/>
  <c r="V297" i="3"/>
  <c r="U297" i="3"/>
  <c r="T297" i="3"/>
  <c r="S297" i="3"/>
  <c r="V296" i="3"/>
  <c r="U296" i="3"/>
  <c r="T296" i="3"/>
  <c r="S296" i="3"/>
  <c r="V295" i="3"/>
  <c r="U295" i="3"/>
  <c r="T295" i="3"/>
  <c r="S295" i="3"/>
  <c r="V294" i="3"/>
  <c r="U294" i="3"/>
  <c r="T294" i="3"/>
  <c r="S294" i="3"/>
  <c r="V293" i="3"/>
  <c r="U293" i="3"/>
  <c r="T293" i="3"/>
  <c r="S293" i="3"/>
  <c r="V292" i="3"/>
  <c r="U292" i="3"/>
  <c r="T292" i="3"/>
  <c r="S292" i="3"/>
  <c r="V291" i="3"/>
  <c r="U291" i="3"/>
  <c r="T291" i="3"/>
  <c r="S291" i="3"/>
  <c r="V290" i="3"/>
  <c r="U290" i="3"/>
  <c r="T290" i="3"/>
  <c r="S290" i="3"/>
  <c r="V289" i="3"/>
  <c r="U289" i="3"/>
  <c r="T289" i="3"/>
  <c r="S289" i="3"/>
  <c r="V288" i="3"/>
  <c r="U288" i="3"/>
  <c r="T288" i="3"/>
  <c r="S288" i="3"/>
  <c r="V287" i="3"/>
  <c r="U287" i="3"/>
  <c r="T287" i="3"/>
  <c r="S287" i="3"/>
  <c r="V286" i="3"/>
  <c r="U286" i="3"/>
  <c r="T286" i="3"/>
  <c r="S286" i="3"/>
  <c r="V285" i="3"/>
  <c r="U285" i="3"/>
  <c r="T285" i="3"/>
  <c r="S285" i="3"/>
  <c r="V284" i="3"/>
  <c r="U284" i="3"/>
  <c r="T284" i="3"/>
  <c r="S284" i="3"/>
  <c r="V283" i="3"/>
  <c r="U283" i="3"/>
  <c r="T283" i="3"/>
  <c r="S283" i="3"/>
  <c r="V282" i="3"/>
  <c r="U282" i="3"/>
  <c r="T282" i="3"/>
  <c r="S282" i="3"/>
  <c r="V281" i="3"/>
  <c r="U281" i="3"/>
  <c r="T281" i="3"/>
  <c r="S281" i="3"/>
  <c r="V280" i="3"/>
  <c r="U280" i="3"/>
  <c r="T280" i="3"/>
  <c r="S280" i="3"/>
  <c r="V279" i="3"/>
  <c r="U279" i="3"/>
  <c r="T279" i="3"/>
  <c r="S279" i="3"/>
  <c r="V278" i="3"/>
  <c r="U278" i="3"/>
  <c r="T278" i="3"/>
  <c r="S278" i="3"/>
  <c r="V277" i="3"/>
  <c r="U277" i="3"/>
  <c r="T277" i="3"/>
  <c r="S277" i="3"/>
  <c r="V276" i="3"/>
  <c r="U276" i="3"/>
  <c r="T276" i="3"/>
  <c r="S276" i="3"/>
  <c r="V275" i="3"/>
  <c r="U275" i="3"/>
  <c r="T275" i="3"/>
  <c r="S275" i="3"/>
  <c r="V274" i="3"/>
  <c r="U274" i="3"/>
  <c r="T274" i="3"/>
  <c r="S274" i="3"/>
  <c r="V273" i="3"/>
  <c r="U273" i="3"/>
  <c r="T273" i="3"/>
  <c r="S273" i="3"/>
  <c r="V272" i="3"/>
  <c r="U272" i="3"/>
  <c r="T272" i="3"/>
  <c r="S272" i="3"/>
  <c r="V271" i="3"/>
  <c r="U271" i="3"/>
  <c r="T271" i="3"/>
  <c r="S271" i="3"/>
  <c r="V270" i="3"/>
  <c r="U270" i="3"/>
  <c r="T270" i="3"/>
  <c r="S270" i="3"/>
  <c r="V269" i="3"/>
  <c r="U269" i="3"/>
  <c r="T269" i="3"/>
  <c r="S269" i="3"/>
  <c r="V268" i="3"/>
  <c r="U268" i="3"/>
  <c r="T268" i="3"/>
  <c r="S268" i="3"/>
  <c r="V267" i="3"/>
  <c r="U267" i="3"/>
  <c r="T267" i="3"/>
  <c r="S267" i="3"/>
  <c r="V266" i="3"/>
  <c r="U266" i="3"/>
  <c r="T266" i="3"/>
  <c r="S266" i="3"/>
  <c r="V265" i="3"/>
  <c r="U265" i="3"/>
  <c r="T265" i="3"/>
  <c r="S265" i="3"/>
  <c r="V264" i="3"/>
  <c r="U264" i="3"/>
  <c r="T264" i="3"/>
  <c r="S264" i="3"/>
  <c r="V263" i="3"/>
  <c r="U263" i="3"/>
  <c r="T263" i="3"/>
  <c r="S263" i="3"/>
  <c r="V262" i="3"/>
  <c r="U262" i="3"/>
  <c r="T262" i="3"/>
  <c r="S262" i="3"/>
  <c r="V261" i="3"/>
  <c r="U261" i="3"/>
  <c r="T261" i="3"/>
  <c r="S261" i="3"/>
  <c r="V260" i="3"/>
  <c r="U260" i="3"/>
  <c r="T260" i="3"/>
  <c r="S260" i="3"/>
  <c r="V259" i="3"/>
  <c r="U259" i="3"/>
  <c r="T259" i="3"/>
  <c r="S259" i="3"/>
  <c r="V258" i="3"/>
  <c r="U258" i="3"/>
  <c r="T258" i="3"/>
  <c r="S258" i="3"/>
  <c r="V257" i="3"/>
  <c r="U257" i="3"/>
  <c r="T257" i="3"/>
  <c r="S257" i="3"/>
  <c r="V256" i="3"/>
  <c r="U256" i="3"/>
  <c r="T256" i="3"/>
  <c r="S256" i="3"/>
  <c r="V255" i="3"/>
  <c r="U255" i="3"/>
  <c r="T255" i="3"/>
  <c r="S255" i="3"/>
  <c r="V254" i="3"/>
  <c r="U254" i="3"/>
  <c r="T254" i="3"/>
  <c r="S254" i="3"/>
  <c r="V253" i="3"/>
  <c r="U253" i="3"/>
  <c r="T253" i="3"/>
  <c r="S253" i="3"/>
  <c r="V252" i="3"/>
  <c r="U252" i="3"/>
  <c r="T252" i="3"/>
  <c r="S252" i="3"/>
  <c r="V251" i="3"/>
  <c r="U251" i="3"/>
  <c r="T251" i="3"/>
  <c r="S251" i="3"/>
  <c r="V250" i="3"/>
  <c r="U250" i="3"/>
  <c r="T250" i="3"/>
  <c r="S250" i="3"/>
  <c r="V249" i="3"/>
  <c r="U249" i="3"/>
  <c r="T249" i="3"/>
  <c r="S249" i="3"/>
  <c r="V248" i="3"/>
  <c r="U248" i="3"/>
  <c r="T248" i="3"/>
  <c r="S248" i="3"/>
  <c r="V247" i="3"/>
  <c r="U247" i="3"/>
  <c r="T247" i="3"/>
  <c r="S247" i="3"/>
  <c r="V246" i="3"/>
  <c r="U246" i="3"/>
  <c r="T246" i="3"/>
  <c r="S246" i="3"/>
  <c r="V245" i="3"/>
  <c r="U245" i="3"/>
  <c r="T245" i="3"/>
  <c r="S245" i="3"/>
  <c r="V244" i="3"/>
  <c r="U244" i="3"/>
  <c r="T244" i="3"/>
  <c r="S244" i="3"/>
  <c r="V243" i="3"/>
  <c r="U243" i="3"/>
  <c r="T243" i="3"/>
  <c r="S243" i="3"/>
  <c r="V242" i="3"/>
  <c r="U242" i="3"/>
  <c r="T242" i="3"/>
  <c r="S242" i="3"/>
  <c r="V241" i="3"/>
  <c r="U241" i="3"/>
  <c r="T241" i="3"/>
  <c r="S241" i="3"/>
  <c r="V240" i="3"/>
  <c r="U240" i="3"/>
  <c r="T240" i="3"/>
  <c r="S240" i="3"/>
  <c r="V239" i="3"/>
  <c r="U239" i="3"/>
  <c r="T239" i="3"/>
  <c r="S239" i="3"/>
  <c r="V238" i="3"/>
  <c r="U238" i="3"/>
  <c r="T238" i="3"/>
  <c r="S238" i="3"/>
  <c r="V237" i="3"/>
  <c r="U237" i="3"/>
  <c r="T237" i="3"/>
  <c r="S237" i="3"/>
  <c r="V236" i="3"/>
  <c r="U236" i="3"/>
  <c r="T236" i="3"/>
  <c r="S236" i="3"/>
  <c r="V235" i="3"/>
  <c r="U235" i="3"/>
  <c r="T235" i="3"/>
  <c r="S235" i="3"/>
  <c r="V234" i="3"/>
  <c r="U234" i="3"/>
  <c r="T234" i="3"/>
  <c r="S234" i="3"/>
  <c r="V233" i="3"/>
  <c r="U233" i="3"/>
  <c r="T233" i="3"/>
  <c r="S233" i="3"/>
  <c r="V232" i="3"/>
  <c r="U232" i="3"/>
  <c r="T232" i="3"/>
  <c r="S232" i="3"/>
  <c r="V231" i="3"/>
  <c r="U231" i="3"/>
  <c r="T231" i="3"/>
  <c r="S231" i="3"/>
  <c r="V230" i="3"/>
  <c r="U230" i="3"/>
  <c r="T230" i="3"/>
  <c r="S230" i="3"/>
  <c r="V229" i="3"/>
  <c r="U229" i="3"/>
  <c r="T229" i="3"/>
  <c r="S229" i="3"/>
  <c r="V228" i="3"/>
  <c r="U228" i="3"/>
  <c r="T228" i="3"/>
  <c r="S228" i="3"/>
  <c r="V227" i="3"/>
  <c r="U227" i="3"/>
  <c r="T227" i="3"/>
  <c r="S227" i="3"/>
  <c r="V226" i="3"/>
  <c r="U226" i="3"/>
  <c r="T226" i="3"/>
  <c r="S226" i="3"/>
  <c r="V225" i="3"/>
  <c r="U225" i="3"/>
  <c r="T225" i="3"/>
  <c r="S225" i="3"/>
  <c r="V224" i="3"/>
  <c r="U224" i="3"/>
  <c r="T224" i="3"/>
  <c r="S224" i="3"/>
  <c r="V223" i="3"/>
  <c r="U223" i="3"/>
  <c r="T223" i="3"/>
  <c r="S223" i="3"/>
  <c r="V222" i="3"/>
  <c r="U222" i="3"/>
  <c r="T222" i="3"/>
  <c r="S222" i="3"/>
  <c r="V221" i="3"/>
  <c r="U221" i="3"/>
  <c r="T221" i="3"/>
  <c r="S221" i="3"/>
  <c r="V220" i="3"/>
  <c r="U220" i="3"/>
  <c r="T220" i="3"/>
  <c r="S220" i="3"/>
  <c r="V219" i="3"/>
  <c r="U219" i="3"/>
  <c r="T219" i="3"/>
  <c r="S219" i="3"/>
  <c r="V218" i="3"/>
  <c r="U218" i="3"/>
  <c r="T218" i="3"/>
  <c r="S218" i="3"/>
  <c r="V217" i="3"/>
  <c r="U217" i="3"/>
  <c r="T217" i="3"/>
  <c r="S217" i="3"/>
  <c r="V216" i="3"/>
  <c r="U216" i="3"/>
  <c r="T216" i="3"/>
  <c r="S216" i="3"/>
  <c r="V215" i="3"/>
  <c r="U215" i="3"/>
  <c r="T215" i="3"/>
  <c r="S215" i="3"/>
  <c r="V214" i="3"/>
  <c r="U214" i="3"/>
  <c r="T214" i="3"/>
  <c r="S214" i="3"/>
  <c r="V213" i="3"/>
  <c r="U213" i="3"/>
  <c r="T213" i="3"/>
  <c r="S213" i="3"/>
  <c r="V212" i="3"/>
  <c r="U212" i="3"/>
  <c r="T212" i="3"/>
  <c r="S212" i="3"/>
  <c r="V211" i="3"/>
  <c r="U211" i="3"/>
  <c r="T211" i="3"/>
  <c r="S211" i="3"/>
  <c r="V210" i="3"/>
  <c r="U210" i="3"/>
  <c r="T210" i="3"/>
  <c r="S210" i="3"/>
  <c r="V209" i="3"/>
  <c r="U209" i="3"/>
  <c r="T209" i="3"/>
  <c r="S209" i="3"/>
  <c r="V208" i="3"/>
  <c r="U208" i="3"/>
  <c r="T208" i="3"/>
  <c r="S208" i="3"/>
  <c r="V207" i="3"/>
  <c r="U207" i="3"/>
  <c r="T207" i="3"/>
  <c r="S207" i="3"/>
  <c r="V206" i="3"/>
  <c r="U206" i="3"/>
  <c r="T206" i="3"/>
  <c r="S206" i="3"/>
  <c r="V205" i="3"/>
  <c r="U205" i="3"/>
  <c r="T205" i="3"/>
  <c r="S205" i="3"/>
  <c r="V204" i="3"/>
  <c r="U204" i="3"/>
  <c r="T204" i="3"/>
  <c r="S204" i="3"/>
  <c r="V203" i="3"/>
  <c r="U203" i="3"/>
  <c r="T203" i="3"/>
  <c r="S203" i="3"/>
  <c r="V202" i="3"/>
  <c r="U202" i="3"/>
  <c r="T202" i="3"/>
  <c r="S202" i="3"/>
  <c r="V201" i="3"/>
  <c r="U201" i="3"/>
  <c r="T201" i="3"/>
  <c r="S201" i="3"/>
  <c r="V200" i="3"/>
  <c r="U200" i="3"/>
  <c r="T200" i="3"/>
  <c r="S200" i="3"/>
  <c r="V199" i="3"/>
  <c r="U199" i="3"/>
  <c r="T199" i="3"/>
  <c r="S199" i="3"/>
  <c r="V198" i="3"/>
  <c r="U198" i="3"/>
  <c r="T198" i="3"/>
  <c r="S198" i="3"/>
  <c r="V197" i="3"/>
  <c r="U197" i="3"/>
  <c r="T197" i="3"/>
  <c r="S197" i="3"/>
  <c r="V196" i="3"/>
  <c r="U196" i="3"/>
  <c r="T196" i="3"/>
  <c r="S196" i="3"/>
  <c r="V195" i="3"/>
  <c r="U195" i="3"/>
  <c r="T195" i="3"/>
  <c r="S195" i="3"/>
  <c r="V194" i="3"/>
  <c r="U194" i="3"/>
  <c r="T194" i="3"/>
  <c r="S194" i="3"/>
  <c r="V193" i="3"/>
  <c r="U193" i="3"/>
  <c r="T193" i="3"/>
  <c r="S193" i="3"/>
  <c r="V192" i="3"/>
  <c r="U192" i="3"/>
  <c r="T192" i="3"/>
  <c r="S192" i="3"/>
  <c r="V191" i="3"/>
  <c r="U191" i="3"/>
  <c r="T191" i="3"/>
  <c r="S191" i="3"/>
  <c r="V190" i="3"/>
  <c r="U190" i="3"/>
  <c r="T190" i="3"/>
  <c r="S190" i="3"/>
  <c r="V189" i="3"/>
  <c r="U189" i="3"/>
  <c r="T189" i="3"/>
  <c r="S189" i="3"/>
  <c r="V188" i="3"/>
  <c r="U188" i="3"/>
  <c r="T188" i="3"/>
  <c r="S188" i="3"/>
  <c r="V187" i="3"/>
  <c r="U187" i="3"/>
  <c r="T187" i="3"/>
  <c r="S187" i="3"/>
  <c r="V186" i="3"/>
  <c r="U186" i="3"/>
  <c r="T186" i="3"/>
  <c r="S186" i="3"/>
  <c r="V185" i="3"/>
  <c r="U185" i="3"/>
  <c r="T185" i="3"/>
  <c r="S185" i="3"/>
  <c r="V184" i="3"/>
  <c r="U184" i="3"/>
  <c r="T184" i="3"/>
  <c r="S184" i="3"/>
  <c r="V183" i="3"/>
  <c r="U183" i="3"/>
  <c r="T183" i="3"/>
  <c r="S183" i="3"/>
  <c r="V182" i="3"/>
  <c r="U182" i="3"/>
  <c r="T182" i="3"/>
  <c r="S182" i="3"/>
  <c r="V181" i="3"/>
  <c r="U181" i="3"/>
  <c r="T181" i="3"/>
  <c r="S181" i="3"/>
  <c r="V180" i="3"/>
  <c r="U180" i="3"/>
  <c r="T180" i="3"/>
  <c r="S180" i="3"/>
  <c r="V179" i="3"/>
  <c r="U179" i="3"/>
  <c r="T179" i="3"/>
  <c r="S179" i="3"/>
  <c r="V178" i="3"/>
  <c r="U178" i="3"/>
  <c r="T178" i="3"/>
  <c r="S178" i="3"/>
  <c r="V177" i="3"/>
  <c r="U177" i="3"/>
  <c r="T177" i="3"/>
  <c r="S177" i="3"/>
  <c r="V176" i="3"/>
  <c r="U176" i="3"/>
  <c r="T176" i="3"/>
  <c r="S176" i="3"/>
  <c r="V175" i="3"/>
  <c r="U175" i="3"/>
  <c r="T175" i="3"/>
  <c r="S175" i="3"/>
  <c r="V174" i="3"/>
  <c r="U174" i="3"/>
  <c r="T174" i="3"/>
  <c r="S174" i="3"/>
  <c r="V173" i="3"/>
  <c r="U173" i="3"/>
  <c r="T173" i="3"/>
  <c r="S173" i="3"/>
  <c r="V172" i="3"/>
  <c r="U172" i="3"/>
  <c r="T172" i="3"/>
  <c r="S172" i="3"/>
  <c r="V171" i="3"/>
  <c r="U171" i="3"/>
  <c r="T171" i="3"/>
  <c r="S171" i="3"/>
  <c r="V170" i="3"/>
  <c r="U170" i="3"/>
  <c r="T170" i="3"/>
  <c r="S170" i="3"/>
  <c r="V169" i="3"/>
  <c r="U169" i="3"/>
  <c r="T169" i="3"/>
  <c r="S169" i="3"/>
  <c r="V168" i="3"/>
  <c r="U168" i="3"/>
  <c r="T168" i="3"/>
  <c r="S168" i="3"/>
  <c r="V167" i="3"/>
  <c r="U167" i="3"/>
  <c r="T167" i="3"/>
  <c r="S167" i="3"/>
  <c r="V166" i="3"/>
  <c r="U166" i="3"/>
  <c r="T166" i="3"/>
  <c r="S166" i="3"/>
  <c r="V165" i="3"/>
  <c r="U165" i="3"/>
  <c r="T165" i="3"/>
  <c r="S165" i="3"/>
  <c r="V164" i="3"/>
  <c r="U164" i="3"/>
  <c r="T164" i="3"/>
  <c r="S164" i="3"/>
  <c r="V163" i="3"/>
  <c r="U163" i="3"/>
  <c r="T163" i="3"/>
  <c r="S163" i="3"/>
  <c r="V162" i="3"/>
  <c r="U162" i="3"/>
  <c r="T162" i="3"/>
  <c r="S162" i="3"/>
  <c r="V161" i="3"/>
  <c r="U161" i="3"/>
  <c r="T161" i="3"/>
  <c r="S161" i="3"/>
  <c r="V160" i="3"/>
  <c r="U160" i="3"/>
  <c r="T160" i="3"/>
  <c r="S160" i="3"/>
  <c r="V159" i="3"/>
  <c r="U159" i="3"/>
  <c r="T159" i="3"/>
  <c r="S159" i="3"/>
  <c r="V158" i="3"/>
  <c r="U158" i="3"/>
  <c r="T158" i="3"/>
  <c r="S158" i="3"/>
  <c r="V157" i="3"/>
  <c r="U157" i="3"/>
  <c r="T157" i="3"/>
  <c r="S157" i="3"/>
  <c r="V156" i="3"/>
  <c r="U156" i="3"/>
  <c r="T156" i="3"/>
  <c r="S156" i="3"/>
  <c r="V155" i="3"/>
  <c r="U155" i="3"/>
  <c r="T155" i="3"/>
  <c r="S155" i="3"/>
  <c r="V154" i="3"/>
  <c r="U154" i="3"/>
  <c r="T154" i="3"/>
  <c r="S154" i="3"/>
  <c r="V153" i="3"/>
  <c r="U153" i="3"/>
  <c r="T153" i="3"/>
  <c r="S153" i="3"/>
  <c r="V152" i="3"/>
  <c r="U152" i="3"/>
  <c r="T152" i="3"/>
  <c r="S152" i="3"/>
  <c r="V151" i="3"/>
  <c r="U151" i="3"/>
  <c r="T151" i="3"/>
  <c r="S151" i="3"/>
  <c r="V150" i="3"/>
  <c r="U150" i="3"/>
  <c r="T150" i="3"/>
  <c r="S150" i="3"/>
  <c r="V149" i="3"/>
  <c r="U149" i="3"/>
  <c r="T149" i="3"/>
  <c r="S149" i="3"/>
  <c r="V148" i="3"/>
  <c r="U148" i="3"/>
  <c r="T148" i="3"/>
  <c r="S148" i="3"/>
  <c r="V147" i="3"/>
  <c r="U147" i="3"/>
  <c r="T147" i="3"/>
  <c r="S147" i="3"/>
  <c r="V146" i="3"/>
  <c r="U146" i="3"/>
  <c r="T146" i="3"/>
  <c r="S146" i="3"/>
  <c r="V145" i="3"/>
  <c r="U145" i="3"/>
  <c r="T145" i="3"/>
  <c r="S145" i="3"/>
  <c r="V144" i="3"/>
  <c r="U144" i="3"/>
  <c r="T144" i="3"/>
  <c r="S144" i="3"/>
  <c r="V143" i="3"/>
  <c r="U143" i="3"/>
  <c r="T143" i="3"/>
  <c r="S143" i="3"/>
  <c r="V142" i="3"/>
  <c r="U142" i="3"/>
  <c r="T142" i="3"/>
  <c r="S142" i="3"/>
  <c r="V141" i="3"/>
  <c r="U141" i="3"/>
  <c r="T141" i="3"/>
  <c r="S141" i="3"/>
  <c r="V140" i="3"/>
  <c r="U140" i="3"/>
  <c r="T140" i="3"/>
  <c r="S140" i="3"/>
  <c r="V139" i="3"/>
  <c r="U139" i="3"/>
  <c r="T139" i="3"/>
  <c r="S139" i="3"/>
  <c r="V138" i="3"/>
  <c r="U138" i="3"/>
  <c r="T138" i="3"/>
  <c r="S138" i="3"/>
  <c r="V137" i="3"/>
  <c r="U137" i="3"/>
  <c r="T137" i="3"/>
  <c r="S137" i="3"/>
  <c r="V136" i="3"/>
  <c r="U136" i="3"/>
  <c r="T136" i="3"/>
  <c r="S136" i="3"/>
  <c r="V135" i="3"/>
  <c r="U135" i="3"/>
  <c r="T135" i="3"/>
  <c r="S135" i="3"/>
  <c r="V134" i="3"/>
  <c r="U134" i="3"/>
  <c r="T134" i="3"/>
  <c r="S134" i="3"/>
  <c r="V133" i="3"/>
  <c r="U133" i="3"/>
  <c r="T133" i="3"/>
  <c r="S133" i="3"/>
  <c r="V132" i="3"/>
  <c r="U132" i="3"/>
  <c r="T132" i="3"/>
  <c r="S132" i="3"/>
  <c r="V131" i="3"/>
  <c r="U131" i="3"/>
  <c r="T131" i="3"/>
  <c r="S131" i="3"/>
  <c r="V130" i="3"/>
  <c r="U130" i="3"/>
  <c r="T130" i="3"/>
  <c r="S130" i="3"/>
  <c r="V129" i="3"/>
  <c r="U129" i="3"/>
  <c r="T129" i="3"/>
  <c r="S129" i="3"/>
  <c r="V128" i="3"/>
  <c r="U128" i="3"/>
  <c r="T128" i="3"/>
  <c r="S128" i="3"/>
  <c r="V127" i="3"/>
  <c r="U127" i="3"/>
  <c r="T127" i="3"/>
  <c r="S127" i="3"/>
  <c r="V126" i="3"/>
  <c r="U126" i="3"/>
  <c r="T126" i="3"/>
  <c r="S126" i="3"/>
  <c r="V125" i="3"/>
  <c r="U125" i="3"/>
  <c r="T125" i="3"/>
  <c r="S125" i="3"/>
  <c r="V124" i="3"/>
  <c r="U124" i="3"/>
  <c r="T124" i="3"/>
  <c r="S124" i="3"/>
  <c r="V123" i="3"/>
  <c r="U123" i="3"/>
  <c r="T123" i="3"/>
  <c r="S123" i="3"/>
  <c r="V122" i="3"/>
  <c r="U122" i="3"/>
  <c r="T122" i="3"/>
  <c r="S122" i="3"/>
  <c r="V121" i="3"/>
  <c r="U121" i="3"/>
  <c r="T121" i="3"/>
  <c r="S121" i="3"/>
  <c r="V120" i="3"/>
  <c r="U120" i="3"/>
  <c r="T120" i="3"/>
  <c r="S120" i="3"/>
  <c r="V119" i="3"/>
  <c r="U119" i="3"/>
  <c r="T119" i="3"/>
  <c r="S119" i="3"/>
  <c r="V118" i="3"/>
  <c r="U118" i="3"/>
  <c r="T118" i="3"/>
  <c r="S118" i="3"/>
  <c r="V117" i="3"/>
  <c r="U117" i="3"/>
  <c r="T117" i="3"/>
  <c r="S117" i="3"/>
  <c r="V116" i="3"/>
  <c r="U116" i="3"/>
  <c r="T116" i="3"/>
  <c r="S116" i="3"/>
  <c r="V115" i="3"/>
  <c r="U115" i="3"/>
  <c r="T115" i="3"/>
  <c r="S115" i="3"/>
  <c r="V114" i="3"/>
  <c r="U114" i="3"/>
  <c r="T114" i="3"/>
  <c r="S114" i="3"/>
  <c r="V113" i="3"/>
  <c r="U113" i="3"/>
  <c r="T113" i="3"/>
  <c r="S113" i="3"/>
  <c r="V112" i="3"/>
  <c r="U112" i="3"/>
  <c r="T112" i="3"/>
  <c r="S112" i="3"/>
  <c r="V111" i="3"/>
  <c r="U111" i="3"/>
  <c r="T111" i="3"/>
  <c r="S111" i="3"/>
  <c r="V110" i="3"/>
  <c r="U110" i="3"/>
  <c r="T110" i="3"/>
  <c r="S110" i="3"/>
  <c r="V109" i="3"/>
  <c r="U109" i="3"/>
  <c r="T109" i="3"/>
  <c r="S109" i="3"/>
  <c r="V108" i="3"/>
  <c r="U108" i="3"/>
  <c r="T108" i="3"/>
  <c r="S108" i="3"/>
  <c r="V107" i="3"/>
  <c r="U107" i="3"/>
  <c r="T107" i="3"/>
  <c r="S107" i="3"/>
  <c r="V106" i="3"/>
  <c r="U106" i="3"/>
  <c r="T106" i="3"/>
  <c r="S106" i="3"/>
  <c r="V105" i="3"/>
  <c r="U105" i="3"/>
  <c r="T105" i="3"/>
  <c r="S105" i="3"/>
  <c r="V104" i="3"/>
  <c r="U104" i="3"/>
  <c r="T104" i="3"/>
  <c r="S104" i="3"/>
  <c r="V103" i="3"/>
  <c r="U103" i="3"/>
  <c r="T103" i="3"/>
  <c r="S103" i="3"/>
  <c r="V102" i="3"/>
  <c r="U102" i="3"/>
  <c r="T102" i="3"/>
  <c r="S102" i="3"/>
  <c r="V101" i="3"/>
  <c r="U101" i="3"/>
  <c r="T101" i="3"/>
  <c r="S101" i="3"/>
  <c r="V100" i="3"/>
  <c r="U100" i="3"/>
  <c r="T100" i="3"/>
  <c r="S100" i="3"/>
  <c r="V99" i="3"/>
  <c r="U99" i="3"/>
  <c r="T99" i="3"/>
  <c r="S99" i="3"/>
  <c r="V98" i="3"/>
  <c r="U98" i="3"/>
  <c r="T98" i="3"/>
  <c r="S98" i="3"/>
  <c r="V97" i="3"/>
  <c r="U97" i="3"/>
  <c r="T97" i="3"/>
  <c r="S97" i="3"/>
  <c r="V96" i="3"/>
  <c r="U96" i="3"/>
  <c r="T96" i="3"/>
  <c r="S96" i="3"/>
  <c r="V95" i="3"/>
  <c r="U95" i="3"/>
  <c r="T95" i="3"/>
  <c r="S95" i="3"/>
  <c r="V94" i="3"/>
  <c r="U94" i="3"/>
  <c r="T94" i="3"/>
  <c r="S94" i="3"/>
  <c r="V93" i="3"/>
  <c r="U93" i="3"/>
  <c r="T93" i="3"/>
  <c r="S93" i="3"/>
  <c r="V92" i="3"/>
  <c r="U92" i="3"/>
  <c r="T92" i="3"/>
  <c r="S92" i="3"/>
  <c r="V91" i="3"/>
  <c r="U91" i="3"/>
  <c r="T91" i="3"/>
  <c r="S91" i="3"/>
  <c r="V90" i="3"/>
  <c r="U90" i="3"/>
  <c r="T90" i="3"/>
  <c r="S90" i="3"/>
  <c r="V89" i="3"/>
  <c r="U89" i="3"/>
  <c r="T89" i="3"/>
  <c r="S89" i="3"/>
  <c r="V88" i="3"/>
  <c r="U88" i="3"/>
  <c r="T88" i="3"/>
  <c r="S88" i="3"/>
  <c r="V87" i="3"/>
  <c r="U87" i="3"/>
  <c r="T87" i="3"/>
  <c r="S87" i="3"/>
  <c r="V86" i="3"/>
  <c r="U86" i="3"/>
  <c r="T86" i="3"/>
  <c r="S86" i="3"/>
  <c r="V85" i="3"/>
  <c r="U85" i="3"/>
  <c r="T85" i="3"/>
  <c r="S85" i="3"/>
  <c r="V84" i="3"/>
  <c r="U84" i="3"/>
  <c r="T84" i="3"/>
  <c r="S84" i="3"/>
  <c r="V83" i="3"/>
  <c r="U83" i="3"/>
  <c r="T83" i="3"/>
  <c r="S83" i="3"/>
  <c r="V82" i="3"/>
  <c r="U82" i="3"/>
  <c r="T82" i="3"/>
  <c r="S82" i="3"/>
  <c r="V81" i="3"/>
  <c r="U81" i="3"/>
  <c r="T81" i="3"/>
  <c r="S81" i="3"/>
  <c r="V80" i="3"/>
  <c r="U80" i="3"/>
  <c r="T80" i="3"/>
  <c r="S80" i="3"/>
  <c r="V79" i="3"/>
  <c r="U79" i="3"/>
  <c r="T79" i="3"/>
  <c r="S79" i="3"/>
  <c r="V78" i="3"/>
  <c r="U78" i="3"/>
  <c r="T78" i="3"/>
  <c r="S78" i="3"/>
  <c r="V77" i="3"/>
  <c r="U77" i="3"/>
  <c r="T77" i="3"/>
  <c r="S77" i="3"/>
  <c r="V76" i="3"/>
  <c r="U76" i="3"/>
  <c r="T76" i="3"/>
  <c r="S76" i="3"/>
  <c r="V75" i="3"/>
  <c r="U75" i="3"/>
  <c r="T75" i="3"/>
  <c r="S75" i="3"/>
  <c r="V74" i="3"/>
  <c r="U74" i="3"/>
  <c r="T74" i="3"/>
  <c r="S74" i="3"/>
  <c r="V73" i="3"/>
  <c r="U73" i="3"/>
  <c r="T73" i="3"/>
  <c r="S73" i="3"/>
  <c r="V72" i="3"/>
  <c r="U72" i="3"/>
  <c r="T72" i="3"/>
  <c r="S72" i="3"/>
  <c r="V71" i="3"/>
  <c r="U71" i="3"/>
  <c r="T71" i="3"/>
  <c r="S71" i="3"/>
  <c r="V70" i="3"/>
  <c r="U70" i="3"/>
  <c r="T70" i="3"/>
  <c r="S70" i="3"/>
  <c r="V69" i="3"/>
  <c r="U69" i="3"/>
  <c r="T69" i="3"/>
  <c r="S69" i="3"/>
  <c r="V68" i="3"/>
  <c r="U68" i="3"/>
  <c r="T68" i="3"/>
  <c r="S68" i="3"/>
  <c r="V67" i="3"/>
  <c r="U67" i="3"/>
  <c r="T67" i="3"/>
  <c r="S67" i="3"/>
  <c r="V66" i="3"/>
  <c r="U66" i="3"/>
  <c r="T66" i="3"/>
  <c r="S66" i="3"/>
  <c r="V65" i="3"/>
  <c r="U65" i="3"/>
  <c r="T65" i="3"/>
  <c r="S65" i="3"/>
  <c r="V64" i="3"/>
  <c r="U64" i="3"/>
  <c r="T64" i="3"/>
  <c r="S64" i="3"/>
  <c r="V63" i="3"/>
  <c r="U63" i="3"/>
  <c r="T63" i="3"/>
  <c r="S63" i="3"/>
  <c r="V62" i="3"/>
  <c r="U62" i="3"/>
  <c r="T62" i="3"/>
  <c r="S62" i="3"/>
  <c r="V61" i="3"/>
  <c r="U61" i="3"/>
  <c r="T61" i="3"/>
  <c r="S61" i="3"/>
  <c r="V60" i="3"/>
  <c r="U60" i="3"/>
  <c r="T60" i="3"/>
  <c r="S60" i="3"/>
  <c r="V59" i="3"/>
  <c r="U59" i="3"/>
  <c r="T59" i="3"/>
  <c r="S59" i="3"/>
  <c r="V58" i="3"/>
  <c r="U58" i="3"/>
  <c r="T58" i="3"/>
  <c r="S58" i="3"/>
  <c r="V57" i="3"/>
  <c r="U57" i="3"/>
  <c r="T57" i="3"/>
  <c r="S57" i="3"/>
  <c r="V56" i="3"/>
  <c r="U56" i="3"/>
  <c r="T56" i="3"/>
  <c r="S56" i="3"/>
  <c r="V55" i="3"/>
  <c r="U55" i="3"/>
  <c r="T55" i="3"/>
  <c r="S55" i="3"/>
  <c r="V54" i="3"/>
  <c r="U54" i="3"/>
  <c r="T54" i="3"/>
  <c r="S54" i="3"/>
  <c r="V53" i="3"/>
  <c r="U53" i="3"/>
  <c r="T53" i="3"/>
  <c r="S53" i="3"/>
  <c r="V52" i="3"/>
  <c r="U52" i="3"/>
  <c r="T52" i="3"/>
  <c r="S52" i="3"/>
  <c r="V51" i="3"/>
  <c r="U51" i="3"/>
  <c r="T51" i="3"/>
  <c r="S51" i="3"/>
  <c r="V50" i="3"/>
  <c r="U50" i="3"/>
  <c r="T50" i="3"/>
  <c r="S50" i="3"/>
  <c r="V49" i="3"/>
  <c r="U49" i="3"/>
  <c r="T49" i="3"/>
  <c r="S49" i="3"/>
  <c r="V48" i="3"/>
  <c r="U48" i="3"/>
  <c r="T48" i="3"/>
  <c r="S48" i="3"/>
  <c r="V47" i="3"/>
  <c r="U47" i="3"/>
  <c r="T47" i="3"/>
  <c r="S47" i="3"/>
  <c r="V46" i="3"/>
  <c r="U46" i="3"/>
  <c r="T46" i="3"/>
  <c r="S46" i="3"/>
  <c r="V45" i="3"/>
  <c r="U45" i="3"/>
  <c r="T45" i="3"/>
  <c r="S45" i="3"/>
  <c r="V44" i="3"/>
  <c r="U44" i="3"/>
  <c r="T44" i="3"/>
  <c r="S44" i="3"/>
  <c r="V43" i="3"/>
  <c r="U43" i="3"/>
  <c r="T43" i="3"/>
  <c r="S43" i="3"/>
  <c r="V42" i="3"/>
  <c r="U42" i="3"/>
  <c r="T42" i="3"/>
  <c r="S42" i="3"/>
  <c r="V41" i="3"/>
  <c r="U41" i="3"/>
  <c r="T41" i="3"/>
  <c r="S41" i="3"/>
  <c r="V40" i="3"/>
  <c r="U40" i="3"/>
  <c r="T40" i="3"/>
  <c r="S40" i="3"/>
  <c r="V39" i="3"/>
  <c r="U39" i="3"/>
  <c r="T39" i="3"/>
  <c r="S39" i="3"/>
  <c r="V38" i="3"/>
  <c r="U38" i="3"/>
  <c r="T38" i="3"/>
  <c r="S38" i="3"/>
  <c r="V37" i="3"/>
  <c r="U37" i="3"/>
  <c r="T37" i="3"/>
  <c r="S37" i="3"/>
  <c r="V36" i="3"/>
  <c r="U36" i="3"/>
  <c r="T36" i="3"/>
  <c r="S36" i="3"/>
  <c r="V35" i="3"/>
  <c r="U35" i="3"/>
  <c r="T35" i="3"/>
  <c r="S35" i="3"/>
  <c r="V34" i="3"/>
  <c r="U34" i="3"/>
  <c r="T34" i="3"/>
  <c r="S34" i="3"/>
  <c r="V33" i="3"/>
  <c r="U33" i="3"/>
  <c r="T33" i="3"/>
  <c r="S33" i="3"/>
  <c r="V32" i="3"/>
  <c r="U32" i="3"/>
  <c r="T32" i="3"/>
  <c r="S32" i="3"/>
  <c r="V31" i="3"/>
  <c r="U31" i="3"/>
  <c r="T31" i="3"/>
  <c r="S31" i="3"/>
  <c r="V30" i="3"/>
  <c r="U30" i="3"/>
  <c r="T30" i="3"/>
  <c r="S30" i="3"/>
  <c r="V29" i="3"/>
  <c r="U29" i="3"/>
  <c r="T29" i="3"/>
  <c r="S29" i="3"/>
  <c r="V28" i="3"/>
  <c r="U28" i="3"/>
  <c r="T28" i="3"/>
  <c r="S28" i="3"/>
  <c r="V27" i="3"/>
  <c r="U27" i="3"/>
  <c r="T27" i="3"/>
  <c r="S27" i="3"/>
  <c r="V26" i="3"/>
  <c r="U26" i="3"/>
  <c r="T26" i="3"/>
  <c r="S26" i="3"/>
  <c r="V25" i="3"/>
  <c r="U25" i="3"/>
  <c r="T25" i="3"/>
  <c r="S25" i="3"/>
  <c r="V24" i="3"/>
  <c r="U24" i="3"/>
  <c r="T24" i="3"/>
  <c r="S24" i="3"/>
  <c r="V23" i="3"/>
  <c r="U23" i="3"/>
  <c r="T23" i="3"/>
  <c r="S23" i="3"/>
  <c r="V22" i="3"/>
  <c r="U22" i="3"/>
  <c r="T22" i="3"/>
  <c r="S22" i="3"/>
  <c r="V21" i="3"/>
  <c r="U21" i="3"/>
  <c r="T21" i="3"/>
  <c r="S21" i="3"/>
  <c r="V20" i="3"/>
  <c r="U20" i="3"/>
  <c r="T20" i="3"/>
  <c r="S20" i="3"/>
  <c r="V19" i="3"/>
  <c r="U19" i="3"/>
  <c r="T19" i="3"/>
  <c r="S19" i="3"/>
  <c r="V18" i="3"/>
  <c r="U18" i="3"/>
  <c r="T18" i="3"/>
  <c r="S18" i="3"/>
  <c r="V17" i="3"/>
  <c r="U17" i="3"/>
  <c r="T17" i="3"/>
  <c r="S17" i="3"/>
  <c r="V16" i="3"/>
  <c r="U16" i="3"/>
  <c r="T16" i="3"/>
  <c r="S16" i="3"/>
  <c r="V15" i="3"/>
  <c r="U15" i="3"/>
  <c r="T15" i="3"/>
  <c r="S15" i="3"/>
  <c r="V14" i="3"/>
  <c r="U14" i="3"/>
  <c r="T14" i="3"/>
  <c r="S14" i="3"/>
  <c r="V13" i="3"/>
  <c r="U13" i="3"/>
  <c r="T13" i="3"/>
  <c r="S13" i="3"/>
  <c r="V12" i="3"/>
  <c r="U12" i="3"/>
  <c r="T12" i="3"/>
  <c r="S12" i="3"/>
  <c r="V11" i="3"/>
  <c r="U11" i="3"/>
  <c r="T11" i="3"/>
  <c r="S11" i="3"/>
  <c r="V10" i="3"/>
  <c r="U10" i="3"/>
  <c r="T10" i="3"/>
  <c r="S10" i="3"/>
  <c r="V9" i="3"/>
  <c r="U9" i="3"/>
  <c r="T9" i="3"/>
  <c r="S9" i="3"/>
  <c r="V8" i="3"/>
  <c r="U8" i="3"/>
  <c r="T8" i="3"/>
  <c r="S8" i="3"/>
  <c r="V7" i="3"/>
  <c r="U7" i="3"/>
  <c r="T7" i="3"/>
  <c r="S7" i="3"/>
  <c r="V6" i="3"/>
  <c r="U6" i="3"/>
  <c r="T6" i="3"/>
  <c r="S6" i="3"/>
  <c r="G455" i="2"/>
  <c r="F455" i="2"/>
  <c r="G454" i="2"/>
  <c r="F454" i="2"/>
  <c r="G453" i="2"/>
  <c r="F453" i="2"/>
  <c r="G452" i="2"/>
  <c r="F452" i="2"/>
  <c r="G451" i="2"/>
  <c r="F451" i="2"/>
  <c r="G450" i="2"/>
  <c r="F450" i="2"/>
  <c r="G449" i="2"/>
  <c r="F449" i="2"/>
  <c r="G448" i="2"/>
  <c r="F448" i="2"/>
  <c r="G447" i="2"/>
  <c r="F447" i="2"/>
  <c r="G446" i="2"/>
  <c r="F446" i="2"/>
  <c r="G445" i="2"/>
  <c r="F445" i="2"/>
  <c r="G444" i="2"/>
  <c r="F444" i="2"/>
  <c r="G443" i="2"/>
  <c r="F443" i="2"/>
  <c r="G442" i="2"/>
  <c r="F442" i="2"/>
  <c r="G441" i="2"/>
  <c r="F441" i="2"/>
  <c r="G440" i="2"/>
  <c r="F440" i="2"/>
  <c r="G439" i="2"/>
  <c r="F439" i="2"/>
  <c r="G438" i="2"/>
  <c r="F438" i="2"/>
  <c r="G437" i="2"/>
  <c r="F437" i="2"/>
  <c r="G436" i="2"/>
  <c r="F436" i="2"/>
  <c r="G435" i="2"/>
  <c r="F435" i="2"/>
  <c r="G434" i="2"/>
  <c r="F434" i="2"/>
  <c r="G433" i="2"/>
  <c r="F433" i="2"/>
  <c r="G432" i="2"/>
  <c r="F432" i="2"/>
  <c r="G431" i="2"/>
  <c r="F431" i="2"/>
  <c r="G430" i="2"/>
  <c r="F430" i="2"/>
  <c r="G429" i="2"/>
  <c r="F429" i="2"/>
  <c r="G428" i="2"/>
  <c r="F428" i="2"/>
  <c r="G427" i="2"/>
  <c r="F427" i="2"/>
  <c r="G426" i="2"/>
  <c r="F426" i="2"/>
  <c r="G425" i="2"/>
  <c r="F425" i="2"/>
  <c r="G424" i="2"/>
  <c r="F424" i="2"/>
  <c r="G423" i="2"/>
  <c r="F423" i="2"/>
  <c r="G422" i="2"/>
  <c r="F422" i="2"/>
  <c r="G421" i="2"/>
  <c r="F421" i="2"/>
  <c r="G420" i="2"/>
  <c r="F420" i="2"/>
  <c r="G419" i="2"/>
  <c r="F419" i="2"/>
  <c r="G418" i="2"/>
  <c r="F418" i="2"/>
  <c r="G417" i="2"/>
  <c r="F417" i="2"/>
  <c r="G416" i="2"/>
  <c r="F416" i="2"/>
  <c r="G415" i="2"/>
  <c r="F415" i="2"/>
  <c r="G414" i="2"/>
  <c r="F414" i="2"/>
  <c r="G413" i="2"/>
  <c r="F413" i="2"/>
  <c r="G412" i="2"/>
  <c r="F412" i="2"/>
  <c r="G411" i="2"/>
  <c r="F411" i="2"/>
  <c r="G410" i="2"/>
  <c r="F410" i="2"/>
  <c r="G409" i="2"/>
  <c r="F409" i="2"/>
  <c r="G408" i="2"/>
  <c r="F408" i="2"/>
  <c r="G407" i="2"/>
  <c r="F407" i="2"/>
  <c r="G406" i="2"/>
  <c r="F406" i="2"/>
  <c r="G405" i="2"/>
  <c r="F405" i="2"/>
  <c r="G404" i="2"/>
  <c r="F404" i="2"/>
  <c r="G403" i="2"/>
  <c r="F403" i="2"/>
  <c r="G402" i="2"/>
  <c r="F402" i="2"/>
  <c r="G401" i="2"/>
  <c r="F401" i="2"/>
  <c r="G400" i="2"/>
  <c r="F400" i="2"/>
  <c r="G399" i="2"/>
  <c r="F399" i="2"/>
  <c r="G398" i="2"/>
  <c r="F398" i="2"/>
  <c r="G397" i="2"/>
  <c r="F397" i="2"/>
  <c r="G396" i="2"/>
  <c r="F396" i="2"/>
  <c r="G395" i="2"/>
  <c r="F395" i="2"/>
  <c r="G394" i="2"/>
  <c r="F394" i="2"/>
  <c r="G393" i="2"/>
  <c r="F393" i="2"/>
  <c r="G392" i="2"/>
  <c r="F392" i="2"/>
  <c r="G391" i="2"/>
  <c r="F391" i="2"/>
  <c r="G390" i="2"/>
  <c r="F390" i="2"/>
  <c r="G389" i="2"/>
  <c r="F389" i="2"/>
  <c r="G388" i="2"/>
  <c r="F388" i="2"/>
  <c r="G387" i="2"/>
  <c r="F387" i="2"/>
  <c r="G386" i="2"/>
  <c r="F386" i="2"/>
  <c r="G385" i="2"/>
  <c r="F385" i="2"/>
  <c r="G384" i="2"/>
  <c r="F384" i="2"/>
  <c r="G383" i="2"/>
  <c r="F383" i="2"/>
  <c r="G382" i="2"/>
  <c r="F382" i="2"/>
  <c r="G381" i="2"/>
  <c r="F381" i="2"/>
  <c r="G380" i="2"/>
  <c r="F380" i="2"/>
  <c r="G379" i="2"/>
  <c r="F379" i="2"/>
  <c r="G378" i="2"/>
  <c r="F378" i="2"/>
  <c r="G377" i="2"/>
  <c r="F377" i="2"/>
  <c r="G376" i="2"/>
  <c r="F376" i="2"/>
  <c r="G375" i="2"/>
  <c r="F375" i="2"/>
  <c r="G374" i="2"/>
  <c r="F374" i="2"/>
  <c r="G373" i="2"/>
  <c r="F373" i="2"/>
  <c r="G372" i="2"/>
  <c r="F372" i="2"/>
  <c r="G371" i="2"/>
  <c r="F371" i="2"/>
  <c r="G370" i="2"/>
  <c r="F370" i="2"/>
  <c r="G369" i="2"/>
  <c r="F369" i="2"/>
  <c r="G368" i="2"/>
  <c r="F368" i="2"/>
  <c r="G367" i="2"/>
  <c r="F367" i="2"/>
  <c r="G366" i="2"/>
  <c r="F366" i="2"/>
  <c r="G365" i="2"/>
  <c r="F365" i="2"/>
  <c r="G364" i="2"/>
  <c r="F364" i="2"/>
  <c r="G363" i="2"/>
  <c r="F363" i="2"/>
  <c r="G362" i="2"/>
  <c r="F362" i="2"/>
  <c r="G361" i="2"/>
  <c r="F361" i="2"/>
  <c r="G360" i="2"/>
  <c r="F360" i="2"/>
  <c r="G359" i="2"/>
  <c r="F359" i="2"/>
  <c r="G358" i="2"/>
  <c r="F358" i="2"/>
  <c r="G357" i="2"/>
  <c r="F357" i="2"/>
  <c r="G356" i="2"/>
  <c r="F356" i="2"/>
  <c r="G355" i="2"/>
  <c r="F355" i="2"/>
  <c r="G354" i="2"/>
  <c r="F354" i="2"/>
  <c r="G353" i="2"/>
  <c r="F353" i="2"/>
  <c r="G352" i="2"/>
  <c r="F352" i="2"/>
  <c r="G351" i="2"/>
  <c r="F351" i="2"/>
  <c r="G350" i="2"/>
  <c r="F350" i="2"/>
  <c r="G349" i="2"/>
  <c r="F349" i="2"/>
  <c r="G348" i="2"/>
  <c r="F348" i="2"/>
  <c r="G347" i="2"/>
  <c r="F347" i="2"/>
  <c r="G346" i="2"/>
  <c r="F346" i="2"/>
  <c r="G345" i="2"/>
  <c r="F345" i="2"/>
  <c r="G344" i="2"/>
  <c r="F344" i="2"/>
  <c r="G343" i="2"/>
  <c r="F343" i="2"/>
  <c r="G342" i="2"/>
  <c r="F342" i="2"/>
  <c r="G341" i="2"/>
  <c r="F341" i="2"/>
  <c r="G340" i="2"/>
  <c r="F340" i="2"/>
  <c r="G339" i="2"/>
  <c r="F339" i="2"/>
  <c r="G338" i="2"/>
  <c r="F338" i="2"/>
  <c r="G337" i="2"/>
  <c r="F337" i="2"/>
  <c r="G336" i="2"/>
  <c r="F336" i="2"/>
  <c r="G335" i="2"/>
  <c r="F335" i="2"/>
  <c r="G334" i="2"/>
  <c r="F334" i="2"/>
  <c r="G333" i="2"/>
  <c r="F333" i="2"/>
  <c r="G332" i="2"/>
  <c r="F332" i="2"/>
  <c r="G331" i="2"/>
  <c r="F331" i="2"/>
  <c r="G330" i="2"/>
  <c r="F330" i="2"/>
  <c r="G329" i="2"/>
  <c r="F329" i="2"/>
  <c r="G328" i="2"/>
  <c r="F328" i="2"/>
  <c r="G327" i="2"/>
  <c r="F327" i="2"/>
  <c r="G326" i="2"/>
  <c r="F326" i="2"/>
  <c r="G325" i="2"/>
  <c r="F325" i="2"/>
  <c r="G324" i="2"/>
  <c r="F324" i="2"/>
  <c r="G323" i="2"/>
  <c r="F323" i="2"/>
  <c r="G322" i="2"/>
  <c r="F322" i="2"/>
  <c r="G321" i="2"/>
  <c r="F321" i="2"/>
  <c r="G320" i="2"/>
  <c r="F320" i="2"/>
  <c r="G319" i="2"/>
  <c r="F319" i="2"/>
  <c r="G318" i="2"/>
  <c r="F318" i="2"/>
  <c r="G317" i="2"/>
  <c r="F317" i="2"/>
  <c r="G316" i="2"/>
  <c r="F316" i="2"/>
  <c r="G315" i="2"/>
  <c r="F315" i="2"/>
  <c r="G314" i="2"/>
  <c r="F314" i="2"/>
  <c r="G313" i="2"/>
  <c r="F313" i="2"/>
  <c r="G312" i="2"/>
  <c r="F312" i="2"/>
  <c r="G311" i="2"/>
  <c r="F311" i="2"/>
  <c r="G310" i="2"/>
  <c r="F310" i="2"/>
  <c r="G309" i="2"/>
  <c r="F309" i="2"/>
  <c r="G308" i="2"/>
  <c r="F308" i="2"/>
  <c r="G307" i="2"/>
  <c r="F307" i="2"/>
  <c r="G306" i="2"/>
  <c r="F306" i="2"/>
  <c r="G305" i="2"/>
  <c r="F305" i="2"/>
  <c r="G304" i="2"/>
  <c r="F304" i="2"/>
  <c r="G303" i="2"/>
  <c r="F303" i="2"/>
  <c r="G302" i="2"/>
  <c r="F302" i="2"/>
  <c r="G301" i="2"/>
  <c r="F301" i="2"/>
  <c r="G300" i="2"/>
  <c r="F300" i="2"/>
  <c r="G299" i="2"/>
  <c r="F299" i="2"/>
  <c r="G298" i="2"/>
  <c r="F298" i="2"/>
  <c r="G297" i="2"/>
  <c r="F297" i="2"/>
  <c r="G296" i="2"/>
  <c r="F296" i="2"/>
  <c r="G295" i="2"/>
  <c r="F295" i="2"/>
  <c r="G294" i="2"/>
  <c r="F294" i="2"/>
  <c r="G293" i="2"/>
  <c r="F293" i="2"/>
  <c r="G292" i="2"/>
  <c r="F292" i="2"/>
  <c r="G291" i="2"/>
  <c r="F291" i="2"/>
  <c r="G290" i="2"/>
  <c r="F290" i="2"/>
  <c r="G289" i="2"/>
  <c r="F289" i="2"/>
  <c r="G288" i="2"/>
  <c r="F288" i="2"/>
  <c r="G287" i="2"/>
  <c r="F287" i="2"/>
  <c r="G286" i="2"/>
  <c r="F286" i="2"/>
  <c r="G285" i="2"/>
  <c r="F285" i="2"/>
  <c r="G284" i="2"/>
  <c r="F284" i="2"/>
  <c r="G283" i="2"/>
  <c r="F283" i="2"/>
  <c r="G282" i="2"/>
  <c r="F282" i="2"/>
  <c r="G281" i="2"/>
  <c r="F281" i="2"/>
  <c r="G280" i="2"/>
  <c r="F280" i="2"/>
  <c r="G279" i="2"/>
  <c r="F279" i="2"/>
  <c r="G278" i="2"/>
  <c r="F278" i="2"/>
  <c r="G277" i="2"/>
  <c r="F277" i="2"/>
  <c r="G276" i="2"/>
  <c r="F276" i="2"/>
  <c r="G275" i="2"/>
  <c r="F275" i="2"/>
  <c r="G274" i="2"/>
  <c r="F274" i="2"/>
  <c r="G273" i="2"/>
  <c r="F273" i="2"/>
  <c r="G272" i="2"/>
  <c r="F272" i="2"/>
  <c r="G271" i="2"/>
  <c r="F271" i="2"/>
  <c r="G270" i="2"/>
  <c r="F270" i="2"/>
  <c r="G269" i="2"/>
  <c r="F269" i="2"/>
  <c r="G268" i="2"/>
  <c r="F268" i="2"/>
  <c r="G267" i="2"/>
  <c r="F267" i="2"/>
  <c r="G266" i="2"/>
  <c r="F266" i="2"/>
  <c r="G265" i="2"/>
  <c r="F265" i="2"/>
  <c r="G264" i="2"/>
  <c r="F264" i="2"/>
  <c r="G263" i="2"/>
  <c r="F263" i="2"/>
  <c r="G262" i="2"/>
  <c r="F262" i="2"/>
  <c r="G261" i="2"/>
  <c r="F261" i="2"/>
  <c r="G260" i="2"/>
  <c r="F260" i="2"/>
  <c r="G259" i="2"/>
  <c r="F259" i="2"/>
  <c r="G258" i="2"/>
  <c r="F258" i="2"/>
  <c r="G257" i="2"/>
  <c r="F257" i="2"/>
  <c r="G256" i="2"/>
  <c r="F256" i="2"/>
  <c r="G255" i="2"/>
  <c r="F255" i="2"/>
  <c r="G254" i="2"/>
  <c r="F254" i="2"/>
  <c r="G253" i="2"/>
  <c r="F253" i="2"/>
  <c r="G252" i="2"/>
  <c r="F252" i="2"/>
  <c r="G251" i="2"/>
  <c r="F251" i="2"/>
  <c r="G250" i="2"/>
  <c r="F250" i="2"/>
  <c r="G249" i="2"/>
  <c r="F249" i="2"/>
  <c r="G248" i="2"/>
  <c r="F248" i="2"/>
  <c r="G247" i="2"/>
  <c r="F247" i="2"/>
  <c r="G246" i="2"/>
  <c r="F246" i="2"/>
  <c r="G245" i="2"/>
  <c r="F245" i="2"/>
  <c r="G244" i="2"/>
  <c r="F244" i="2"/>
  <c r="G243" i="2"/>
  <c r="F243" i="2"/>
  <c r="G242" i="2"/>
  <c r="F242" i="2"/>
  <c r="G241" i="2"/>
  <c r="F241" i="2"/>
  <c r="G240" i="2"/>
  <c r="F240" i="2"/>
  <c r="G239" i="2"/>
  <c r="F239" i="2"/>
  <c r="G238" i="2"/>
  <c r="F238" i="2"/>
  <c r="G237" i="2"/>
  <c r="F237" i="2"/>
  <c r="G236" i="2"/>
  <c r="F236" i="2"/>
  <c r="G235" i="2"/>
  <c r="F235" i="2"/>
  <c r="G234" i="2"/>
  <c r="F234" i="2"/>
  <c r="G233" i="2"/>
  <c r="F233" i="2"/>
  <c r="G232" i="2"/>
  <c r="F232" i="2"/>
  <c r="G231" i="2"/>
  <c r="F231" i="2"/>
  <c r="G230" i="2"/>
  <c r="F230" i="2"/>
  <c r="G229" i="2"/>
  <c r="F229" i="2"/>
  <c r="G228" i="2"/>
  <c r="F228" i="2"/>
  <c r="G227" i="2"/>
  <c r="F227" i="2"/>
  <c r="G226" i="2"/>
  <c r="F226" i="2"/>
  <c r="G225" i="2"/>
  <c r="F225" i="2"/>
  <c r="G224" i="2"/>
  <c r="F224" i="2"/>
  <c r="G223" i="2"/>
  <c r="F223" i="2"/>
  <c r="G222" i="2"/>
  <c r="F222" i="2"/>
  <c r="G221" i="2"/>
  <c r="F221" i="2"/>
  <c r="G220" i="2"/>
  <c r="F220" i="2"/>
  <c r="G219" i="2"/>
  <c r="F219" i="2"/>
  <c r="G218" i="2"/>
  <c r="F218" i="2"/>
  <c r="G217" i="2"/>
  <c r="F217" i="2"/>
  <c r="G216" i="2"/>
  <c r="F216" i="2"/>
  <c r="G215" i="2"/>
  <c r="F215" i="2"/>
  <c r="G214" i="2"/>
  <c r="F214" i="2"/>
  <c r="G213" i="2"/>
  <c r="F213" i="2"/>
  <c r="G212" i="2"/>
  <c r="F212" i="2"/>
  <c r="G211" i="2"/>
  <c r="F211" i="2"/>
  <c r="G210" i="2"/>
  <c r="F210" i="2"/>
  <c r="G209" i="2"/>
  <c r="F209" i="2"/>
  <c r="G208" i="2"/>
  <c r="F208" i="2"/>
  <c r="G207" i="2"/>
  <c r="F207" i="2"/>
  <c r="G206" i="2"/>
  <c r="F206" i="2"/>
  <c r="G205" i="2"/>
  <c r="F205" i="2"/>
  <c r="G204" i="2"/>
  <c r="F204" i="2"/>
  <c r="G203" i="2"/>
  <c r="F203" i="2"/>
  <c r="G202" i="2"/>
  <c r="F202" i="2"/>
  <c r="G201" i="2"/>
  <c r="F201" i="2"/>
  <c r="G200" i="2"/>
  <c r="F200" i="2"/>
  <c r="G199" i="2"/>
  <c r="F199" i="2"/>
  <c r="G198" i="2"/>
  <c r="F198" i="2"/>
  <c r="G197" i="2"/>
  <c r="F197" i="2"/>
  <c r="G196" i="2"/>
  <c r="F196" i="2"/>
  <c r="G195" i="2"/>
  <c r="F195" i="2"/>
  <c r="G194" i="2"/>
  <c r="F194" i="2"/>
  <c r="G193" i="2"/>
  <c r="F193" i="2"/>
  <c r="G192" i="2"/>
  <c r="F192" i="2"/>
  <c r="G191" i="2"/>
  <c r="F191" i="2"/>
  <c r="G190" i="2"/>
  <c r="F190" i="2"/>
  <c r="G189" i="2"/>
  <c r="F189" i="2"/>
  <c r="G188" i="2"/>
  <c r="F188" i="2"/>
  <c r="G187" i="2"/>
  <c r="F187" i="2"/>
  <c r="G186" i="2"/>
  <c r="F186" i="2"/>
  <c r="G185" i="2"/>
  <c r="F185" i="2"/>
  <c r="G184" i="2"/>
  <c r="F184" i="2"/>
  <c r="G183" i="2"/>
  <c r="F183" i="2"/>
  <c r="G182" i="2"/>
  <c r="F182" i="2"/>
  <c r="G181" i="2"/>
  <c r="F181" i="2"/>
  <c r="G180" i="2"/>
  <c r="F180" i="2"/>
  <c r="G179" i="2"/>
  <c r="F179" i="2"/>
  <c r="G178" i="2"/>
  <c r="F178" i="2"/>
  <c r="G177" i="2"/>
  <c r="F177" i="2"/>
  <c r="G176" i="2"/>
  <c r="F176" i="2"/>
  <c r="G175" i="2"/>
  <c r="F175" i="2"/>
  <c r="G174" i="2"/>
  <c r="F174" i="2"/>
  <c r="G173" i="2"/>
  <c r="F173" i="2"/>
  <c r="G172" i="2"/>
  <c r="F172" i="2"/>
  <c r="G171" i="2"/>
  <c r="F171" i="2"/>
  <c r="G170" i="2"/>
  <c r="F170" i="2"/>
  <c r="G169" i="2"/>
  <c r="F169" i="2"/>
  <c r="G168" i="2"/>
  <c r="F168" i="2"/>
  <c r="G167" i="2"/>
  <c r="F167" i="2"/>
  <c r="G166" i="2"/>
  <c r="F166" i="2"/>
  <c r="G165" i="2"/>
  <c r="F165" i="2"/>
  <c r="G164" i="2"/>
  <c r="F164" i="2"/>
  <c r="G163" i="2"/>
  <c r="F163" i="2"/>
  <c r="G162" i="2"/>
  <c r="F162" i="2"/>
  <c r="G161" i="2"/>
  <c r="F161" i="2"/>
  <c r="G160" i="2"/>
  <c r="F160" i="2"/>
  <c r="G159" i="2"/>
  <c r="F159" i="2"/>
  <c r="G158" i="2"/>
  <c r="F158" i="2"/>
  <c r="G157" i="2"/>
  <c r="F157" i="2"/>
  <c r="G156" i="2"/>
  <c r="F156" i="2"/>
  <c r="G155" i="2"/>
  <c r="F155" i="2"/>
  <c r="G154" i="2"/>
  <c r="F154" i="2"/>
  <c r="G153" i="2"/>
  <c r="F153" i="2"/>
  <c r="G152" i="2"/>
  <c r="F152" i="2"/>
  <c r="G151" i="2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B14" i="1"/>
  <c r="B13" i="1"/>
  <c r="B12" i="1"/>
  <c r="B11" i="1"/>
  <c r="B10" i="1"/>
  <c r="B9" i="1"/>
  <c r="B8" i="1"/>
  <c r="E577" i="3" l="1"/>
  <c r="E523" i="3"/>
  <c r="E529" i="3"/>
  <c r="E535" i="3"/>
  <c r="E409" i="3"/>
  <c r="E588" i="3"/>
  <c r="E543" i="3"/>
  <c r="E579" i="3"/>
  <c r="E415" i="3"/>
  <c r="E452" i="3"/>
  <c r="E518" i="3"/>
  <c r="E290" i="3"/>
  <c r="E96" i="3"/>
  <c r="E314" i="3"/>
  <c r="E446" i="3"/>
  <c r="E524" i="3"/>
  <c r="E252" i="3"/>
  <c r="E169" i="3"/>
  <c r="E175" i="3"/>
  <c r="E211" i="3"/>
  <c r="E241" i="3"/>
  <c r="E164" i="3"/>
  <c r="E116" i="3"/>
  <c r="E146" i="3"/>
  <c r="E99" i="3"/>
  <c r="E111" i="3"/>
  <c r="E200" i="3"/>
  <c r="E331" i="3"/>
  <c r="E504" i="3"/>
  <c r="E583" i="3"/>
  <c r="E206" i="3"/>
  <c r="E325" i="3"/>
  <c r="E73" i="3"/>
  <c r="E32" i="3"/>
  <c r="E482" i="3"/>
  <c r="E506" i="3"/>
  <c r="E512" i="3"/>
  <c r="E255" i="3"/>
  <c r="E267" i="3"/>
  <c r="E187" i="3"/>
  <c r="E351" i="3"/>
  <c r="E387" i="3"/>
  <c r="E217" i="3"/>
  <c r="E85" i="3"/>
  <c r="E127" i="3"/>
  <c r="E180" i="3"/>
  <c r="E260" i="3"/>
  <c r="E284" i="3"/>
  <c r="E50" i="3"/>
  <c r="E62" i="3"/>
  <c r="E457" i="3"/>
  <c r="E463" i="3"/>
  <c r="E487" i="3"/>
  <c r="E434" i="3"/>
  <c r="E12" i="3"/>
  <c r="E194" i="3"/>
  <c r="E435" i="3"/>
  <c r="E336" i="3"/>
  <c r="E230" i="3"/>
  <c r="E516" i="3"/>
  <c r="E192" i="3"/>
  <c r="E56" i="3"/>
  <c r="E350" i="3"/>
  <c r="E368" i="3"/>
  <c r="E48" i="3"/>
  <c r="E324" i="3"/>
  <c r="E123" i="3"/>
  <c r="E301" i="3"/>
  <c r="E313" i="3"/>
  <c r="E110" i="3"/>
  <c r="E420" i="3"/>
  <c r="E476" i="3"/>
  <c r="E499" i="3"/>
  <c r="E247" i="3"/>
  <c r="E361" i="3"/>
  <c r="E373" i="3"/>
  <c r="E379" i="3"/>
  <c r="E121" i="3"/>
  <c r="E493" i="3"/>
  <c r="E91" i="3"/>
  <c r="E362" i="3"/>
  <c r="E495" i="3"/>
  <c r="E74" i="3"/>
  <c r="E97" i="3"/>
  <c r="E507" i="3"/>
  <c r="E86" i="3"/>
  <c r="E39" i="3"/>
  <c r="E92" i="3"/>
  <c r="E278" i="3"/>
  <c r="E339" i="3"/>
  <c r="E312" i="3"/>
  <c r="E104" i="3"/>
  <c r="E271" i="3"/>
  <c r="E31" i="3"/>
  <c r="E37" i="3"/>
  <c r="E43" i="3"/>
  <c r="E236" i="3"/>
  <c r="E528" i="3"/>
  <c r="E540" i="3"/>
  <c r="E216" i="3"/>
  <c r="E228" i="3"/>
  <c r="E439" i="3"/>
  <c r="E20" i="3"/>
  <c r="E26" i="3"/>
  <c r="E392" i="3"/>
  <c r="E404" i="3"/>
  <c r="E445" i="3"/>
  <c r="E176" i="3"/>
  <c r="E205" i="3"/>
  <c r="E145" i="3"/>
  <c r="E548" i="3"/>
  <c r="E572" i="3"/>
  <c r="E265" i="3"/>
  <c r="E514" i="3"/>
  <c r="E525" i="3"/>
  <c r="E295" i="3"/>
  <c r="E488" i="3"/>
  <c r="E248" i="3"/>
  <c r="E468" i="3"/>
  <c r="E14" i="3"/>
  <c r="E132" i="3"/>
  <c r="E188" i="3"/>
  <c r="E7" i="3"/>
  <c r="E115" i="3"/>
  <c r="E183" i="3"/>
  <c r="E320" i="3"/>
  <c r="E343" i="3"/>
  <c r="E384" i="3"/>
  <c r="E423" i="3"/>
  <c r="E153" i="3"/>
  <c r="E410" i="3"/>
  <c r="E84" i="3"/>
  <c r="E310" i="3"/>
  <c r="E338" i="3"/>
  <c r="E396" i="3"/>
  <c r="E422" i="3"/>
  <c r="E428" i="3"/>
  <c r="E38" i="3"/>
  <c r="E58" i="3"/>
  <c r="E136" i="3"/>
  <c r="E139" i="3"/>
  <c r="E223" i="3"/>
  <c r="E405" i="3"/>
  <c r="E47" i="3"/>
  <c r="E67" i="3"/>
  <c r="E157" i="3"/>
  <c r="E547" i="3"/>
  <c r="E13" i="3"/>
  <c r="E215" i="3"/>
  <c r="E458" i="3"/>
  <c r="E218" i="3"/>
  <c r="E444" i="3"/>
  <c r="E494" i="3"/>
  <c r="E587" i="3"/>
  <c r="E234" i="3"/>
  <c r="E240" i="3"/>
  <c r="E254" i="3"/>
  <c r="E220" i="3"/>
  <c r="E344" i="3"/>
  <c r="E24" i="3"/>
  <c r="E151" i="3"/>
  <c r="E469" i="3"/>
  <c r="E475" i="3"/>
  <c r="E299" i="3"/>
  <c r="E319" i="3"/>
  <c r="E140" i="3"/>
  <c r="E374" i="3"/>
  <c r="E464" i="3"/>
  <c r="E51" i="3"/>
  <c r="E103" i="3"/>
  <c r="E303" i="3"/>
  <c r="E360" i="3"/>
  <c r="E380" i="3"/>
  <c r="E398" i="3"/>
  <c r="E566" i="3"/>
  <c r="E413" i="3"/>
  <c r="E517" i="3"/>
  <c r="E584" i="3"/>
  <c r="E49" i="3"/>
  <c r="E480" i="3"/>
  <c r="E41" i="3"/>
  <c r="E408" i="3"/>
  <c r="E576" i="3"/>
  <c r="E30" i="3"/>
  <c r="E108" i="3"/>
  <c r="E122" i="3"/>
  <c r="E125" i="3"/>
  <c r="E235" i="3"/>
  <c r="E385" i="3"/>
  <c r="E212" i="3"/>
  <c r="E134" i="3"/>
  <c r="E224" i="3"/>
  <c r="E276" i="3"/>
  <c r="E117" i="3"/>
  <c r="E181" i="3"/>
  <c r="E106" i="3"/>
  <c r="E135" i="3"/>
  <c r="E219" i="3"/>
  <c r="E300" i="3"/>
  <c r="E349" i="3"/>
  <c r="E456" i="3"/>
  <c r="E542" i="3"/>
  <c r="E589" i="3"/>
  <c r="E355" i="3"/>
  <c r="E578" i="3"/>
  <c r="E168" i="3"/>
  <c r="E332" i="3"/>
  <c r="E500" i="3"/>
  <c r="E503" i="3"/>
  <c r="E564" i="3"/>
  <c r="E44" i="3"/>
  <c r="E229" i="3"/>
  <c r="E296" i="3"/>
  <c r="E391" i="3"/>
  <c r="E302" i="3"/>
  <c r="E308" i="3"/>
  <c r="E553" i="3"/>
  <c r="E559" i="3"/>
  <c r="E72" i="3"/>
  <c r="E170" i="3"/>
  <c r="E193" i="3"/>
  <c r="E199" i="3"/>
  <c r="E259" i="3"/>
  <c r="E289" i="3"/>
  <c r="E372" i="3"/>
  <c r="E424" i="3"/>
  <c r="E433" i="3"/>
  <c r="E471" i="3"/>
  <c r="E505" i="3"/>
  <c r="E531" i="3"/>
  <c r="E489" i="3"/>
  <c r="E36" i="3"/>
  <c r="E386" i="3"/>
  <c r="E76" i="3"/>
  <c r="E79" i="3"/>
  <c r="E152" i="3"/>
  <c r="E155" i="3"/>
  <c r="E272" i="3"/>
  <c r="E275" i="3"/>
  <c r="E356" i="3"/>
  <c r="E359" i="3"/>
  <c r="E440" i="3"/>
  <c r="E443" i="3"/>
  <c r="E454" i="3"/>
  <c r="E554" i="3"/>
  <c r="E557" i="3"/>
  <c r="E280" i="3"/>
  <c r="E22" i="3"/>
  <c r="E565" i="3"/>
  <c r="E25" i="3"/>
  <c r="E266" i="3"/>
  <c r="E400" i="3"/>
  <c r="E462" i="3"/>
  <c r="E158" i="3"/>
  <c r="E63" i="3"/>
  <c r="E80" i="3"/>
  <c r="E156" i="3"/>
  <c r="E195" i="3"/>
  <c r="E250" i="3"/>
  <c r="E261" i="3"/>
  <c r="E337" i="3"/>
  <c r="E555" i="3"/>
  <c r="E394" i="3"/>
  <c r="E492" i="3"/>
  <c r="E8" i="3"/>
  <c r="E481" i="3"/>
  <c r="E269" i="3"/>
  <c r="E378" i="3"/>
  <c r="E403" i="3"/>
  <c r="E451" i="3"/>
  <c r="E470" i="3"/>
  <c r="E71" i="3"/>
  <c r="E348" i="3"/>
  <c r="E15" i="3"/>
  <c r="E57" i="3"/>
  <c r="E60" i="3"/>
  <c r="E133" i="3"/>
  <c r="E150" i="3"/>
  <c r="E159" i="3"/>
  <c r="E279" i="3"/>
  <c r="E307" i="3"/>
  <c r="E318" i="3"/>
  <c r="E326" i="3"/>
  <c r="E329" i="3"/>
  <c r="E421" i="3"/>
  <c r="E538" i="3"/>
  <c r="E549" i="3"/>
  <c r="E182" i="3"/>
  <c r="E414" i="3"/>
  <c r="E364" i="3"/>
  <c r="E473" i="3"/>
  <c r="E68" i="3"/>
  <c r="E345" i="3"/>
  <c r="E19" i="3"/>
  <c r="E174" i="3"/>
  <c r="E277" i="3"/>
  <c r="E11" i="3"/>
  <c r="E166" i="3"/>
  <c r="E90" i="3"/>
  <c r="E144" i="3"/>
  <c r="E172" i="3"/>
  <c r="E432" i="3"/>
  <c r="E291" i="3"/>
  <c r="E327" i="3"/>
  <c r="E363" i="3"/>
  <c r="E399" i="3"/>
  <c r="E447" i="3"/>
  <c r="E483" i="3"/>
  <c r="E536" i="3"/>
  <c r="E567" i="3"/>
  <c r="E163" i="3"/>
  <c r="E185" i="3"/>
  <c r="E33" i="3"/>
  <c r="E286" i="3"/>
  <c r="E397" i="3"/>
  <c r="E367" i="3"/>
  <c r="E389" i="3"/>
  <c r="E568" i="3"/>
  <c r="E161" i="3"/>
  <c r="E61" i="3"/>
  <c r="E55" i="3"/>
  <c r="E75" i="3"/>
  <c r="E201" i="3"/>
  <c r="E204" i="3"/>
  <c r="E207" i="3"/>
  <c r="E243" i="3"/>
  <c r="E288" i="3"/>
  <c r="E508" i="3"/>
  <c r="E511" i="3"/>
  <c r="E522" i="3"/>
  <c r="E264" i="3"/>
  <c r="E370" i="3"/>
  <c r="E498" i="3"/>
  <c r="E17" i="3"/>
  <c r="E131" i="3"/>
  <c r="E253" i="3"/>
  <c r="E242" i="3"/>
  <c r="E256" i="3"/>
  <c r="E465" i="3"/>
  <c r="E479" i="3"/>
  <c r="E340" i="3"/>
  <c r="E365" i="3"/>
  <c r="E574" i="3"/>
  <c r="E101" i="3"/>
  <c r="E321" i="3"/>
  <c r="E210" i="3"/>
  <c r="E221" i="3"/>
  <c r="E430" i="3"/>
  <c r="E552" i="3"/>
  <c r="E142" i="3"/>
  <c r="E484" i="3"/>
  <c r="E395" i="3"/>
  <c r="E582" i="3"/>
  <c r="E120" i="3"/>
  <c r="E226" i="3"/>
  <c r="E354" i="3"/>
  <c r="E237" i="3"/>
  <c r="E438" i="3"/>
  <c r="E449" i="3"/>
  <c r="E112" i="3"/>
  <c r="E346" i="3"/>
  <c r="E427" i="3"/>
  <c r="E82" i="3"/>
  <c r="E196" i="3"/>
  <c r="E93" i="3"/>
  <c r="E107" i="3"/>
  <c r="E294" i="3"/>
  <c r="E305" i="3"/>
  <c r="E316" i="3"/>
  <c r="E416" i="3"/>
  <c r="E419" i="3"/>
  <c r="E541" i="3"/>
  <c r="E6" i="3"/>
  <c r="E28" i="3"/>
  <c r="E270" i="3"/>
  <c r="E381" i="3"/>
  <c r="E9" i="3"/>
  <c r="E245" i="3"/>
  <c r="E126" i="3"/>
  <c r="E251" i="3"/>
  <c r="E563" i="3"/>
  <c r="E335" i="3"/>
  <c r="E177" i="3"/>
  <c r="E191" i="3"/>
  <c r="E202" i="3"/>
  <c r="E411" i="3"/>
  <c r="E530" i="3"/>
  <c r="E533" i="3"/>
  <c r="E544" i="3"/>
  <c r="E128" i="3"/>
  <c r="E571" i="3"/>
  <c r="E109" i="3"/>
  <c r="E560" i="3"/>
  <c r="E98" i="3"/>
  <c r="E441" i="3"/>
  <c r="E147" i="3"/>
  <c r="E283" i="3"/>
  <c r="E297" i="3"/>
  <c r="E52" i="3"/>
  <c r="E66" i="3"/>
  <c r="E77" i="3"/>
  <c r="E460" i="3"/>
  <c r="E42" i="3"/>
  <c r="E232" i="3"/>
  <c r="E281" i="3"/>
  <c r="E376" i="3"/>
  <c r="E406" i="3"/>
  <c r="E455" i="3"/>
  <c r="E520" i="3"/>
  <c r="E550" i="3"/>
  <c r="E102" i="3"/>
  <c r="E129" i="3"/>
  <c r="E197" i="3"/>
  <c r="E292" i="3"/>
  <c r="E322" i="3"/>
  <c r="E390" i="3"/>
  <c r="E417" i="3"/>
  <c r="E561" i="3"/>
  <c r="E64" i="3"/>
  <c r="E94" i="3"/>
  <c r="E189" i="3"/>
  <c r="E257" i="3"/>
  <c r="E306" i="3"/>
  <c r="E333" i="3"/>
  <c r="E431" i="3"/>
  <c r="E450" i="3"/>
  <c r="E575" i="3"/>
  <c r="E10" i="3"/>
  <c r="E105" i="3"/>
  <c r="E173" i="3"/>
  <c r="E203" i="3"/>
  <c r="E222" i="3"/>
  <c r="E268" i="3"/>
  <c r="E510" i="3"/>
  <c r="E537" i="3"/>
  <c r="E556" i="3"/>
  <c r="E586" i="3"/>
  <c r="E23" i="3"/>
  <c r="E69" i="3"/>
  <c r="E311" i="3"/>
  <c r="E330" i="3"/>
  <c r="E425" i="3"/>
  <c r="E474" i="3"/>
  <c r="E501" i="3"/>
  <c r="E53" i="3"/>
  <c r="E148" i="3"/>
  <c r="E580" i="3"/>
  <c r="E382" i="3"/>
  <c r="E401" i="3"/>
  <c r="E496" i="3"/>
  <c r="E526" i="3"/>
  <c r="E545" i="3"/>
  <c r="E347" i="3"/>
  <c r="E491" i="3"/>
  <c r="E184" i="3"/>
  <c r="E233" i="3"/>
  <c r="E407" i="3"/>
  <c r="E426" i="3"/>
  <c r="E453" i="3"/>
  <c r="E472" i="3"/>
  <c r="E502" i="3"/>
  <c r="E521" i="3"/>
  <c r="E551" i="3"/>
  <c r="E570" i="3"/>
  <c r="E539" i="3"/>
  <c r="E585" i="3"/>
  <c r="E88" i="3"/>
  <c r="E118" i="3"/>
  <c r="E137" i="3"/>
  <c r="E213" i="3"/>
  <c r="E262" i="3"/>
  <c r="E569" i="3"/>
  <c r="E34" i="3"/>
  <c r="E83" i="3"/>
  <c r="E178" i="3"/>
  <c r="E227" i="3"/>
  <c r="E246" i="3"/>
  <c r="E341" i="3"/>
  <c r="E113" i="3"/>
  <c r="E143" i="3"/>
  <c r="E162" i="3"/>
  <c r="E208" i="3"/>
  <c r="E352" i="3"/>
  <c r="E124" i="3"/>
  <c r="E249" i="3"/>
  <c r="E298" i="3"/>
  <c r="E317" i="3"/>
  <c r="E366" i="3"/>
  <c r="E393" i="3"/>
  <c r="E442" i="3"/>
  <c r="E40" i="3"/>
  <c r="E70" i="3"/>
  <c r="E309" i="3"/>
  <c r="E377" i="3"/>
  <c r="E27" i="3"/>
  <c r="E35" i="3"/>
  <c r="E54" i="3"/>
  <c r="E81" i="3"/>
  <c r="E100" i="3"/>
  <c r="E130" i="3"/>
  <c r="E149" i="3"/>
  <c r="E171" i="3"/>
  <c r="E179" i="3"/>
  <c r="E198" i="3"/>
  <c r="E225" i="3"/>
  <c r="E244" i="3"/>
  <c r="E274" i="3"/>
  <c r="E293" i="3"/>
  <c r="E315" i="3"/>
  <c r="E323" i="3"/>
  <c r="E342" i="3"/>
  <c r="E369" i="3"/>
  <c r="E388" i="3"/>
  <c r="E418" i="3"/>
  <c r="E437" i="3"/>
  <c r="E459" i="3"/>
  <c r="E467" i="3"/>
  <c r="E486" i="3"/>
  <c r="E513" i="3"/>
  <c r="E532" i="3"/>
  <c r="E562" i="3"/>
  <c r="E581" i="3"/>
  <c r="E490" i="3"/>
  <c r="E509" i="3"/>
  <c r="E558" i="3"/>
  <c r="E167" i="3"/>
  <c r="E186" i="3"/>
  <c r="E357" i="3"/>
  <c r="E273" i="3"/>
  <c r="E371" i="3"/>
  <c r="E436" i="3"/>
  <c r="E466" i="3"/>
  <c r="E485" i="3"/>
  <c r="E515" i="3"/>
  <c r="E534" i="3"/>
  <c r="E18" i="3"/>
  <c r="E45" i="3"/>
  <c r="E238" i="3"/>
  <c r="E287" i="3"/>
  <c r="E477" i="3"/>
  <c r="E29" i="3"/>
  <c r="E59" i="3"/>
  <c r="E78" i="3"/>
  <c r="E154" i="3"/>
  <c r="E412" i="3"/>
  <c r="E461" i="3"/>
  <c r="E21" i="3"/>
  <c r="E89" i="3"/>
  <c r="E119" i="3"/>
  <c r="E138" i="3"/>
  <c r="E165" i="3"/>
  <c r="E214" i="3"/>
  <c r="E263" i="3"/>
  <c r="E282" i="3"/>
  <c r="E328" i="3"/>
  <c r="E358" i="3"/>
  <c r="E16" i="3"/>
  <c r="E46" i="3"/>
  <c r="E65" i="3"/>
  <c r="E87" i="3"/>
  <c r="E95" i="3"/>
  <c r="E114" i="3"/>
  <c r="E141" i="3"/>
  <c r="E160" i="3"/>
  <c r="E190" i="3"/>
  <c r="E209" i="3"/>
  <c r="E231" i="3"/>
  <c r="E239" i="3"/>
  <c r="E258" i="3"/>
  <c r="E285" i="3"/>
  <c r="E304" i="3"/>
  <c r="E334" i="3"/>
  <c r="E353" i="3"/>
  <c r="E375" i="3"/>
  <c r="E383" i="3"/>
  <c r="E402" i="3"/>
  <c r="E429" i="3"/>
  <c r="E448" i="3"/>
  <c r="E478" i="3"/>
  <c r="E497" i="3"/>
  <c r="E519" i="3"/>
  <c r="E527" i="3"/>
  <c r="E546" i="3"/>
  <c r="E573" i="3"/>
</calcChain>
</file>

<file path=xl/sharedStrings.xml><?xml version="1.0" encoding="utf-8"?>
<sst xmlns="http://schemas.openxmlformats.org/spreadsheetml/2006/main" count="9871" uniqueCount="1320">
  <si>
    <t>ATLAS data for OpenPath</t>
  </si>
  <si>
    <t>Useful starter data for your map and route prototype.</t>
  </si>
  <si>
    <t>Verify the pilot buildings, entrances, and connecting paths before offering accessibility routes.</t>
  </si>
  <si>
    <t>Inventory</t>
  </si>
  <si>
    <t>Count</t>
  </si>
  <si>
    <t>Meaning</t>
  </si>
  <si>
    <t>Landmarks</t>
  </si>
  <si>
    <t>Building and place labels. These are not documented entrance locations.</t>
  </si>
  <si>
    <t>Path points</t>
  </si>
  <si>
    <t>Intermediate points used to connect routes.</t>
  </si>
  <si>
    <t>Connections</t>
  </si>
  <si>
    <t>Connections treated as bidirectional in the ATLAS app.</t>
  </si>
  <si>
    <t>Legacy TRUE labels</t>
  </si>
  <si>
    <t>The source calls these accessible. Current conditions are unverified.</t>
  </si>
  <si>
    <t>Legacy FALSE labels</t>
  </si>
  <si>
    <t>The source calls these inaccessible. The reason is not recorded.</t>
  </si>
  <si>
    <t>Field-checked connections</t>
  </si>
  <si>
    <t>Manual status in Connections. Checked does not itself mean accessible.</t>
  </si>
  <si>
    <t>Confirmed accessible</t>
  </si>
  <si>
    <t>The new field starts unknown for every connection.</t>
  </si>
  <si>
    <t>Next steps for your team</t>
  </si>
  <si>
    <t>Role</t>
  </si>
  <si>
    <t>Step</t>
  </si>
  <si>
    <t>Action</t>
  </si>
  <si>
    <t>Data team</t>
  </si>
  <si>
    <t>Start with your two or three pilot buildings and one connecting outdoor route. Verify the actual entrances.</t>
  </si>
  <si>
    <t>Walk each pilot segment. Record stairs, ramps, surface, width, slope, access restrictions, date, and evidence.</t>
  </si>
  <si>
    <t>Backend</t>
  </si>
  <si>
    <t>Import Locations and Connections by ID. Keep the legacy flag separate from confirmed accessibility.</t>
  </si>
  <si>
    <t>Pathfinder</t>
  </si>
  <si>
    <t>Use the coordinates for prototype distances. Return “no verified route available” when the verified graph cannot connect the request.</t>
  </si>
  <si>
    <t>Frontend</t>
  </si>
  <si>
    <t>Plot the points and connections in Leaflet. Label unverified data and preserve GPS accuracy information.</t>
  </si>
  <si>
    <t>How the file is organized</t>
  </si>
  <si>
    <t>Locations</t>
  </si>
  <si>
    <t>All 448 points in one ID-based table. Landmarks are alphabetized and path points are sorted by number.</t>
  </si>
  <si>
    <t>All 584 edges. One obvious spelling mismatch is mapped to the existing landmark ID and logged.</t>
  </si>
  <si>
    <t>Issues</t>
  </si>
  <si>
    <t>Exact source rows, unresolved problems, code review notes, and long segments to inspect.</t>
  </si>
  <si>
    <t>Landmarks / Nodes / Edges</t>
  </si>
  <si>
    <t>Original source records and values, with the original row numbers retained.</t>
  </si>
  <si>
    <t>Before marking a connection checked</t>
  </si>
  <si>
    <t>Fill the applicable observations, verifier, date, and evidence. Set confirmed_accessible separately.</t>
  </si>
  <si>
    <t>Unknown is never equivalent to accessible. A legacy FALSE label does not prove that the segment has stairs.</t>
  </si>
  <si>
    <t>Implementation notes</t>
  </si>
  <si>
    <t>Distance units</t>
  </si>
  <si>
    <t>straight_line_m uses Haversine distance with Earth radius 6,371,000 m. It is not a surveyed path length.</t>
  </si>
  <si>
    <t>IDs</t>
  </si>
  <si>
    <t>Do not regenerate L IDs after sorting. Keep an explicit location-to-entrance mapping as entrances are verified.</t>
  </si>
  <si>
    <t>App compatibility</t>
  </si>
  <si>
    <t>The existing app is Kotlin/Android. Its CSV data transfers to your web project. The Android UI needs a web implementation.</t>
  </si>
  <si>
    <t>L001–L071 are assigned landmark IDs. Existing N IDs are kept. IDs stay fixed when sorted.</t>
  </si>
  <si>
    <t>node_id</t>
  </si>
  <si>
    <t>label</t>
  </si>
  <si>
    <t>kind</t>
  </si>
  <si>
    <t>latitude</t>
  </si>
  <si>
    <t>longitude</t>
  </si>
  <si>
    <t>edge_count</t>
  </si>
  <si>
    <t>legacy_true_count</t>
  </si>
  <si>
    <t>confirmed_entrance</t>
  </si>
  <si>
    <t>field_status</t>
  </si>
  <si>
    <t>verified_on</t>
  </si>
  <si>
    <t>verified_by</t>
  </si>
  <si>
    <t>notes</t>
  </si>
  <si>
    <t>source_sheet</t>
  </si>
  <si>
    <t>source_row</t>
  </si>
  <si>
    <t>L069</t>
  </si>
  <si>
    <t>86 Field</t>
  </si>
  <si>
    <t>landmark</t>
  </si>
  <si>
    <t>unknown</t>
  </si>
  <si>
    <t>unverified</t>
  </si>
  <si>
    <t>L013</t>
  </si>
  <si>
    <t>87 Gymnasium</t>
  </si>
  <si>
    <t>L058</t>
  </si>
  <si>
    <t>Academy Hall</t>
  </si>
  <si>
    <t>L033</t>
  </si>
  <si>
    <t>Admissions Office</t>
  </si>
  <si>
    <t>L035</t>
  </si>
  <si>
    <t>Alumni Sports and Recreation Center (Armory)</t>
  </si>
  <si>
    <t>L026</t>
  </si>
  <si>
    <t>Amos Eaton Hall</t>
  </si>
  <si>
    <t>L060</t>
  </si>
  <si>
    <t>Barton Hall</t>
  </si>
  <si>
    <t>L027</t>
  </si>
  <si>
    <t>Black Cultural Center</t>
  </si>
  <si>
    <t>L029</t>
  </si>
  <si>
    <t>Blaw-Knox 1&amp;2</t>
  </si>
  <si>
    <t>L070</t>
  </si>
  <si>
    <t>Blitman Commons</t>
  </si>
  <si>
    <t>L007</t>
  </si>
  <si>
    <t>Boiler House</t>
  </si>
  <si>
    <t>L064</t>
  </si>
  <si>
    <t>Boiler House 2</t>
  </si>
  <si>
    <t>L047</t>
  </si>
  <si>
    <t>Bray Hall</t>
  </si>
  <si>
    <t>L055</t>
  </si>
  <si>
    <t>Bryckwyck</t>
  </si>
  <si>
    <t>L049</t>
  </si>
  <si>
    <t>Burdett Residence Hall (BARH)</t>
  </si>
  <si>
    <t>L005</t>
  </si>
  <si>
    <t>Carnegie Building</t>
  </si>
  <si>
    <t>L046</t>
  </si>
  <si>
    <t>Cary Hall</t>
  </si>
  <si>
    <t>L061</t>
  </si>
  <si>
    <t>Center for Biotechnology and Interdisciplinary Studies</t>
  </si>
  <si>
    <t>L048</t>
  </si>
  <si>
    <t>Chapel and Cultural Center</t>
  </si>
  <si>
    <t>L020</t>
  </si>
  <si>
    <t>Cogswell Laboratory</t>
  </si>
  <si>
    <t>L057</t>
  </si>
  <si>
    <t>Colonie Apartments</t>
  </si>
  <si>
    <t>L038</t>
  </si>
  <si>
    <t>Commons Dining Hall</t>
  </si>
  <si>
    <t>L039</t>
  </si>
  <si>
    <t>Crockett Hall</t>
  </si>
  <si>
    <t>L017</t>
  </si>
  <si>
    <t>Darrin Communications Center</t>
  </si>
  <si>
    <t>L041</t>
  </si>
  <si>
    <t>Davison Hall</t>
  </si>
  <si>
    <t>L011</t>
  </si>
  <si>
    <t>E Complex</t>
  </si>
  <si>
    <t>L059</t>
  </si>
  <si>
    <t>East Campus Athletic Village</t>
  </si>
  <si>
    <t>L063</t>
  </si>
  <si>
    <t>Experimental Media and Performing Arts Center</t>
  </si>
  <si>
    <t>L023</t>
  </si>
  <si>
    <t>Folsom Library</t>
  </si>
  <si>
    <t>L024</t>
  </si>
  <si>
    <t>Greene Building</t>
  </si>
  <si>
    <t>L052</t>
  </si>
  <si>
    <t>Greenhouses and Grounds Barn</t>
  </si>
  <si>
    <t>L031</t>
  </si>
  <si>
    <t>H Building</t>
  </si>
  <si>
    <t>L045</t>
  </si>
  <si>
    <t>Hall Hall</t>
  </si>
  <si>
    <t>L067</t>
  </si>
  <si>
    <t>Harkness Field</t>
  </si>
  <si>
    <t>L032</t>
  </si>
  <si>
    <t>Heffner Alumni House</t>
  </si>
  <si>
    <t>L050</t>
  </si>
  <si>
    <t>Houston Field House</t>
  </si>
  <si>
    <t>L030</t>
  </si>
  <si>
    <t>J Building</t>
  </si>
  <si>
    <t>L018</t>
  </si>
  <si>
    <t>Jonsson Engineering Center</t>
  </si>
  <si>
    <t>L019</t>
  </si>
  <si>
    <t>Jonsson-Rowland Science Center</t>
  </si>
  <si>
    <t>L025</t>
  </si>
  <si>
    <t>Lally Hall</t>
  </si>
  <si>
    <t>L015</t>
  </si>
  <si>
    <t>Low Center for Industrial Innovation</t>
  </si>
  <si>
    <t>L021</t>
  </si>
  <si>
    <t>Materials Research Center</t>
  </si>
  <si>
    <t>L036</t>
  </si>
  <si>
    <t>Mueller Center</t>
  </si>
  <si>
    <t>L040</t>
  </si>
  <si>
    <t>Nason Hall</t>
  </si>
  <si>
    <t>L010</t>
  </si>
  <si>
    <t>North hall</t>
  </si>
  <si>
    <t>L043</t>
  </si>
  <si>
    <t>Nugent Hall</t>
  </si>
  <si>
    <t>L062</t>
  </si>
  <si>
    <t>Parking Garage</t>
  </si>
  <si>
    <t>L003</t>
  </si>
  <si>
    <t>Pittsburgh Building</t>
  </si>
  <si>
    <t>L034</t>
  </si>
  <si>
    <t>Public Safety</t>
  </si>
  <si>
    <t>L014</t>
  </si>
  <si>
    <t>Quadrangle Complex</t>
  </si>
  <si>
    <t>L054</t>
  </si>
  <si>
    <t>Radio Club W2SZ</t>
  </si>
  <si>
    <t>L051</t>
  </si>
  <si>
    <t>RAHPS A</t>
  </si>
  <si>
    <t>L056</t>
  </si>
  <si>
    <t>RAHPS B</t>
  </si>
  <si>
    <t>L002</t>
  </si>
  <si>
    <t>Rensselaer Union</t>
  </si>
  <si>
    <t>L012</t>
  </si>
  <si>
    <t>Ricketts Building</t>
  </si>
  <si>
    <t>L037</t>
  </si>
  <si>
    <t>Robison Pool</t>
  </si>
  <si>
    <t>L065</t>
  </si>
  <si>
    <t>RPI Ambulance</t>
  </si>
  <si>
    <t>L016</t>
  </si>
  <si>
    <t>RPI Playhouse</t>
  </si>
  <si>
    <t>L001</t>
  </si>
  <si>
    <t>Russell Sage Dining Hall</t>
  </si>
  <si>
    <t>L008</t>
  </si>
  <si>
    <t>Russell Sage Laboratory</t>
  </si>
  <si>
    <t>L068</t>
  </si>
  <si>
    <t>Samaritan Hospital</t>
  </si>
  <si>
    <t>L028</t>
  </si>
  <si>
    <t>Service Building</t>
  </si>
  <si>
    <t>L042</t>
  </si>
  <si>
    <t>Sharp Hall</t>
  </si>
  <si>
    <t>L053</t>
  </si>
  <si>
    <t>Stacwyck Apartments</t>
  </si>
  <si>
    <t>L066</t>
  </si>
  <si>
    <t>Stadium Field</t>
  </si>
  <si>
    <t>L009</t>
  </si>
  <si>
    <t>Troy Building</t>
  </si>
  <si>
    <t>L022</t>
  </si>
  <si>
    <t>Voorhees Computing Center</t>
  </si>
  <si>
    <t>L006</t>
  </si>
  <si>
    <t>Walker Laboratory</t>
  </si>
  <si>
    <t>L044</t>
  </si>
  <si>
    <t>Warren Hall</t>
  </si>
  <si>
    <t>L004</t>
  </si>
  <si>
    <t>West Hall</t>
  </si>
  <si>
    <t>L071</t>
  </si>
  <si>
    <t>Winslow Building</t>
  </si>
  <si>
    <t>No connection. Coordinates overlap N71. Confirm how to link this landmark.</t>
  </si>
  <si>
    <t>N71</t>
  </si>
  <si>
    <t>path_point</t>
  </si>
  <si>
    <t>Coordinates overlap Winslow Building. Confirm whether they identify the same place.</t>
  </si>
  <si>
    <t>Nodes</t>
  </si>
  <si>
    <t>N72</t>
  </si>
  <si>
    <t>N73</t>
  </si>
  <si>
    <t>N74</t>
  </si>
  <si>
    <t>N75</t>
  </si>
  <si>
    <t>N76</t>
  </si>
  <si>
    <t>N77</t>
  </si>
  <si>
    <t>N78</t>
  </si>
  <si>
    <t>N79</t>
  </si>
  <si>
    <t>N80</t>
  </si>
  <si>
    <t>N81</t>
  </si>
  <si>
    <t>N82</t>
  </si>
  <si>
    <t>N83</t>
  </si>
  <si>
    <t>N84</t>
  </si>
  <si>
    <t>N85</t>
  </si>
  <si>
    <t>N86</t>
  </si>
  <si>
    <t>N87</t>
  </si>
  <si>
    <t>N88</t>
  </si>
  <si>
    <t>N89</t>
  </si>
  <si>
    <t>N90</t>
  </si>
  <si>
    <t>N91</t>
  </si>
  <si>
    <t>N92</t>
  </si>
  <si>
    <t>N93</t>
  </si>
  <si>
    <t>N94</t>
  </si>
  <si>
    <t>N95</t>
  </si>
  <si>
    <t>N96</t>
  </si>
  <si>
    <t>N97</t>
  </si>
  <si>
    <t>N98</t>
  </si>
  <si>
    <t>N99</t>
  </si>
  <si>
    <t>N100</t>
  </si>
  <si>
    <t>N101</t>
  </si>
  <si>
    <t>N102</t>
  </si>
  <si>
    <t>N103</t>
  </si>
  <si>
    <t>N104</t>
  </si>
  <si>
    <t>N105</t>
  </si>
  <si>
    <t>N106</t>
  </si>
  <si>
    <t>N107</t>
  </si>
  <si>
    <t>N108</t>
  </si>
  <si>
    <t>N109</t>
  </si>
  <si>
    <t>N110</t>
  </si>
  <si>
    <t>N111</t>
  </si>
  <si>
    <t>N112</t>
  </si>
  <si>
    <t>N113</t>
  </si>
  <si>
    <t>N114</t>
  </si>
  <si>
    <t>N115</t>
  </si>
  <si>
    <t>N116</t>
  </si>
  <si>
    <t>N117</t>
  </si>
  <si>
    <t>N118</t>
  </si>
  <si>
    <t>N119</t>
  </si>
  <si>
    <t>N120</t>
  </si>
  <si>
    <t>N121</t>
  </si>
  <si>
    <t>N122</t>
  </si>
  <si>
    <t>N123</t>
  </si>
  <si>
    <t>N124</t>
  </si>
  <si>
    <t>N125</t>
  </si>
  <si>
    <t>N126</t>
  </si>
  <si>
    <t>N127</t>
  </si>
  <si>
    <t>N128</t>
  </si>
  <si>
    <t>N129</t>
  </si>
  <si>
    <t>N130</t>
  </si>
  <si>
    <t>N131</t>
  </si>
  <si>
    <t>N132</t>
  </si>
  <si>
    <t>N133</t>
  </si>
  <si>
    <t>N134</t>
  </si>
  <si>
    <t>N135</t>
  </si>
  <si>
    <t>N136</t>
  </si>
  <si>
    <t>N137</t>
  </si>
  <si>
    <t>N138</t>
  </si>
  <si>
    <t>N139</t>
  </si>
  <si>
    <t>N140</t>
  </si>
  <si>
    <t>N141</t>
  </si>
  <si>
    <t>N142</t>
  </si>
  <si>
    <t>N143</t>
  </si>
  <si>
    <t>N144</t>
  </si>
  <si>
    <t>N145</t>
  </si>
  <si>
    <t>N146</t>
  </si>
  <si>
    <t>N147</t>
  </si>
  <si>
    <t>N148</t>
  </si>
  <si>
    <t>N149</t>
  </si>
  <si>
    <t>N150</t>
  </si>
  <si>
    <t>N151</t>
  </si>
  <si>
    <t>N152</t>
  </si>
  <si>
    <t>N153</t>
  </si>
  <si>
    <t>N154</t>
  </si>
  <si>
    <t>N155</t>
  </si>
  <si>
    <t>N156</t>
  </si>
  <si>
    <t>N157</t>
  </si>
  <si>
    <t>N158</t>
  </si>
  <si>
    <t>N159</t>
  </si>
  <si>
    <t>N161</t>
  </si>
  <si>
    <t>N162</t>
  </si>
  <si>
    <t>N163</t>
  </si>
  <si>
    <t>N164</t>
  </si>
  <si>
    <t>N165</t>
  </si>
  <si>
    <t>N166</t>
  </si>
  <si>
    <t>N167</t>
  </si>
  <si>
    <t>N168</t>
  </si>
  <si>
    <t>N169</t>
  </si>
  <si>
    <t>N170</t>
  </si>
  <si>
    <t>N171</t>
  </si>
  <si>
    <t>N172</t>
  </si>
  <si>
    <t>N173</t>
  </si>
  <si>
    <t>N174</t>
  </si>
  <si>
    <t>N175</t>
  </si>
  <si>
    <t>N176</t>
  </si>
  <si>
    <t>N177</t>
  </si>
  <si>
    <t>N178</t>
  </si>
  <si>
    <t>N179</t>
  </si>
  <si>
    <t>N180</t>
  </si>
  <si>
    <t>N181</t>
  </si>
  <si>
    <t>N182</t>
  </si>
  <si>
    <t>N183</t>
  </si>
  <si>
    <t>N184</t>
  </si>
  <si>
    <t>N185</t>
  </si>
  <si>
    <t>N186</t>
  </si>
  <si>
    <t>N187</t>
  </si>
  <si>
    <t>N188</t>
  </si>
  <si>
    <t>N189</t>
  </si>
  <si>
    <t>N190</t>
  </si>
  <si>
    <t>N191</t>
  </si>
  <si>
    <t>N192</t>
  </si>
  <si>
    <t>N193</t>
  </si>
  <si>
    <t>N194</t>
  </si>
  <si>
    <t>N195</t>
  </si>
  <si>
    <t>N196</t>
  </si>
  <si>
    <t>N197</t>
  </si>
  <si>
    <t>N198</t>
  </si>
  <si>
    <t>N199</t>
  </si>
  <si>
    <t>N200</t>
  </si>
  <si>
    <t>N201</t>
  </si>
  <si>
    <t>N202</t>
  </si>
  <si>
    <t>N203</t>
  </si>
  <si>
    <t>N204</t>
  </si>
  <si>
    <t>N205</t>
  </si>
  <si>
    <t>N206</t>
  </si>
  <si>
    <t>N207</t>
  </si>
  <si>
    <t>N208</t>
  </si>
  <si>
    <t>N209</t>
  </si>
  <si>
    <t>N210</t>
  </si>
  <si>
    <t>N211</t>
  </si>
  <si>
    <t>N212</t>
  </si>
  <si>
    <t>N213</t>
  </si>
  <si>
    <t>N214</t>
  </si>
  <si>
    <t>N215</t>
  </si>
  <si>
    <t>N216</t>
  </si>
  <si>
    <t>N217</t>
  </si>
  <si>
    <t>N218</t>
  </si>
  <si>
    <t>N219</t>
  </si>
  <si>
    <t>N220</t>
  </si>
  <si>
    <t>N221</t>
  </si>
  <si>
    <t>N222</t>
  </si>
  <si>
    <t>N223</t>
  </si>
  <si>
    <t>N224</t>
  </si>
  <si>
    <t>N225</t>
  </si>
  <si>
    <t>N226</t>
  </si>
  <si>
    <t>N227</t>
  </si>
  <si>
    <t>N228</t>
  </si>
  <si>
    <t>N229</t>
  </si>
  <si>
    <t>N230</t>
  </si>
  <si>
    <t>N231</t>
  </si>
  <si>
    <t>N232</t>
  </si>
  <si>
    <t>N233</t>
  </si>
  <si>
    <t>N234</t>
  </si>
  <si>
    <t>N235</t>
  </si>
  <si>
    <t>N236</t>
  </si>
  <si>
    <t>N237</t>
  </si>
  <si>
    <t>N238</t>
  </si>
  <si>
    <t>N239</t>
  </si>
  <si>
    <t>N240</t>
  </si>
  <si>
    <t>N241</t>
  </si>
  <si>
    <t>N242</t>
  </si>
  <si>
    <t>N243</t>
  </si>
  <si>
    <t>N244</t>
  </si>
  <si>
    <t>N245</t>
  </si>
  <si>
    <t>N246</t>
  </si>
  <si>
    <t>N247</t>
  </si>
  <si>
    <t>N248</t>
  </si>
  <si>
    <t>N249</t>
  </si>
  <si>
    <t>N250</t>
  </si>
  <si>
    <t>N251</t>
  </si>
  <si>
    <t>N252</t>
  </si>
  <si>
    <t>N253</t>
  </si>
  <si>
    <t>N254</t>
  </si>
  <si>
    <t>N255</t>
  </si>
  <si>
    <t>N256</t>
  </si>
  <si>
    <t>N257</t>
  </si>
  <si>
    <t>N258</t>
  </si>
  <si>
    <t>N259</t>
  </si>
  <si>
    <t>N260</t>
  </si>
  <si>
    <t>N261</t>
  </si>
  <si>
    <t>N262</t>
  </si>
  <si>
    <t>N263</t>
  </si>
  <si>
    <t>N264</t>
  </si>
  <si>
    <t>N265</t>
  </si>
  <si>
    <t>N266</t>
  </si>
  <si>
    <t>N267</t>
  </si>
  <si>
    <t>N268</t>
  </si>
  <si>
    <t>N269</t>
  </si>
  <si>
    <t>N270</t>
  </si>
  <si>
    <t>N271</t>
  </si>
  <si>
    <t>N272</t>
  </si>
  <si>
    <t>N273</t>
  </si>
  <si>
    <t>N274</t>
  </si>
  <si>
    <t>N275</t>
  </si>
  <si>
    <t>N276</t>
  </si>
  <si>
    <t>N277</t>
  </si>
  <si>
    <t>N278</t>
  </si>
  <si>
    <t>N279</t>
  </si>
  <si>
    <t>N280</t>
  </si>
  <si>
    <t>N281</t>
  </si>
  <si>
    <t>N282</t>
  </si>
  <si>
    <t>N283</t>
  </si>
  <si>
    <t>N284</t>
  </si>
  <si>
    <t>N285</t>
  </si>
  <si>
    <t>N286</t>
  </si>
  <si>
    <t>N287</t>
  </si>
  <si>
    <t>N288</t>
  </si>
  <si>
    <t>N289</t>
  </si>
  <si>
    <t>N290</t>
  </si>
  <si>
    <t>N291</t>
  </si>
  <si>
    <t>N292</t>
  </si>
  <si>
    <t>N293</t>
  </si>
  <si>
    <t>N294</t>
  </si>
  <si>
    <t>N295</t>
  </si>
  <si>
    <t>N296</t>
  </si>
  <si>
    <t>N297</t>
  </si>
  <si>
    <t>N298</t>
  </si>
  <si>
    <t>N299</t>
  </si>
  <si>
    <t>N300</t>
  </si>
  <si>
    <t>N301</t>
  </si>
  <si>
    <t>N302</t>
  </si>
  <si>
    <t>N303</t>
  </si>
  <si>
    <t>N304</t>
  </si>
  <si>
    <t>N305</t>
  </si>
  <si>
    <t>N306</t>
  </si>
  <si>
    <t>N307</t>
  </si>
  <si>
    <t>N308</t>
  </si>
  <si>
    <t>N309</t>
  </si>
  <si>
    <t>N310</t>
  </si>
  <si>
    <t>N311</t>
  </si>
  <si>
    <t>N312</t>
  </si>
  <si>
    <t>N313</t>
  </si>
  <si>
    <t>N314</t>
  </si>
  <si>
    <t>N315</t>
  </si>
  <si>
    <t>N316</t>
  </si>
  <si>
    <t>N317</t>
  </si>
  <si>
    <t>N318</t>
  </si>
  <si>
    <t>N319</t>
  </si>
  <si>
    <t>N320</t>
  </si>
  <si>
    <t>N321</t>
  </si>
  <si>
    <t>N322</t>
  </si>
  <si>
    <t>N323</t>
  </si>
  <si>
    <t>N324</t>
  </si>
  <si>
    <t>N325</t>
  </si>
  <si>
    <t>N326</t>
  </si>
  <si>
    <t>N327</t>
  </si>
  <si>
    <t>N328</t>
  </si>
  <si>
    <t>N329</t>
  </si>
  <si>
    <t>N330</t>
  </si>
  <si>
    <t>N331</t>
  </si>
  <si>
    <t>N332</t>
  </si>
  <si>
    <t>N333</t>
  </si>
  <si>
    <t>N334</t>
  </si>
  <si>
    <t>N335</t>
  </si>
  <si>
    <t>N336</t>
  </si>
  <si>
    <t>N337</t>
  </si>
  <si>
    <t>N338</t>
  </si>
  <si>
    <t>N339</t>
  </si>
  <si>
    <t>N340</t>
  </si>
  <si>
    <t>N341</t>
  </si>
  <si>
    <t>N342</t>
  </si>
  <si>
    <t>N343</t>
  </si>
  <si>
    <t>N344</t>
  </si>
  <si>
    <t>N345</t>
  </si>
  <si>
    <t>N346</t>
  </si>
  <si>
    <t>N347</t>
  </si>
  <si>
    <t>N348</t>
  </si>
  <si>
    <t>N349</t>
  </si>
  <si>
    <t>N350</t>
  </si>
  <si>
    <t>N351</t>
  </si>
  <si>
    <t>N352</t>
  </si>
  <si>
    <t>N353</t>
  </si>
  <si>
    <t>N354</t>
  </si>
  <si>
    <t>N355</t>
  </si>
  <si>
    <t>N356</t>
  </si>
  <si>
    <t>N357</t>
  </si>
  <si>
    <t>N358</t>
  </si>
  <si>
    <t>N359</t>
  </si>
  <si>
    <t>N360</t>
  </si>
  <si>
    <t>N361</t>
  </si>
  <si>
    <t>N362</t>
  </si>
  <si>
    <t>N363</t>
  </si>
  <si>
    <t>N364</t>
  </si>
  <si>
    <t>N365</t>
  </si>
  <si>
    <t>N366</t>
  </si>
  <si>
    <t>N367</t>
  </si>
  <si>
    <t>N368</t>
  </si>
  <si>
    <t>N369</t>
  </si>
  <si>
    <t>N370</t>
  </si>
  <si>
    <t>N371</t>
  </si>
  <si>
    <t>N372</t>
  </si>
  <si>
    <t>N373</t>
  </si>
  <si>
    <t>N374</t>
  </si>
  <si>
    <t>N375</t>
  </si>
  <si>
    <t>N376</t>
  </si>
  <si>
    <t>N377</t>
  </si>
  <si>
    <t>N378</t>
  </si>
  <si>
    <t>N379</t>
  </si>
  <si>
    <t>N380</t>
  </si>
  <si>
    <t>N381</t>
  </si>
  <si>
    <t>N382</t>
  </si>
  <si>
    <t>N383</t>
  </si>
  <si>
    <t>N384</t>
  </si>
  <si>
    <t>N385</t>
  </si>
  <si>
    <t>N386</t>
  </si>
  <si>
    <t>N387</t>
  </si>
  <si>
    <t>N388</t>
  </si>
  <si>
    <t>N389</t>
  </si>
  <si>
    <t>N390</t>
  </si>
  <si>
    <t>N391</t>
  </si>
  <si>
    <t>N392</t>
  </si>
  <si>
    <t>N393</t>
  </si>
  <si>
    <t>N394</t>
  </si>
  <si>
    <t>N395</t>
  </si>
  <si>
    <t>N396</t>
  </si>
  <si>
    <t>N397</t>
  </si>
  <si>
    <t>N398</t>
  </si>
  <si>
    <t>N399</t>
  </si>
  <si>
    <t>N400</t>
  </si>
  <si>
    <t>N401</t>
  </si>
  <si>
    <t>N402</t>
  </si>
  <si>
    <t>N403</t>
  </si>
  <si>
    <t>N404</t>
  </si>
  <si>
    <t>N405</t>
  </si>
  <si>
    <t>N406</t>
  </si>
  <si>
    <t>N407</t>
  </si>
  <si>
    <t>N408</t>
  </si>
  <si>
    <t>N409</t>
  </si>
  <si>
    <t>N410</t>
  </si>
  <si>
    <t>N411</t>
  </si>
  <si>
    <t>N412</t>
  </si>
  <si>
    <t>N413</t>
  </si>
  <si>
    <t>N414</t>
  </si>
  <si>
    <t>N415</t>
  </si>
  <si>
    <t>N416</t>
  </si>
  <si>
    <t>N417</t>
  </si>
  <si>
    <t>N418</t>
  </si>
  <si>
    <t>N419</t>
  </si>
  <si>
    <t>N420</t>
  </si>
  <si>
    <t>N421</t>
  </si>
  <si>
    <t>N422</t>
  </si>
  <si>
    <t>N423</t>
  </si>
  <si>
    <t>N424</t>
  </si>
  <si>
    <t>N425</t>
  </si>
  <si>
    <t>N426</t>
  </si>
  <si>
    <t>N427</t>
  </si>
  <si>
    <t>N428</t>
  </si>
  <si>
    <t>N429</t>
  </si>
  <si>
    <t>N430</t>
  </si>
  <si>
    <t>N431</t>
  </si>
  <si>
    <t>N432</t>
  </si>
  <si>
    <t>N433</t>
  </si>
  <si>
    <t>N434</t>
  </si>
  <si>
    <t>N435</t>
  </si>
  <si>
    <t>N436</t>
  </si>
  <si>
    <t>N437</t>
  </si>
  <si>
    <t>N438</t>
  </si>
  <si>
    <t>N439</t>
  </si>
  <si>
    <t>N440</t>
  </si>
  <si>
    <t>N441</t>
  </si>
  <si>
    <t>N442</t>
  </si>
  <si>
    <t>N443</t>
  </si>
  <si>
    <t>N444</t>
  </si>
  <si>
    <t>N445</t>
  </si>
  <si>
    <t>N446</t>
  </si>
  <si>
    <t>N447</t>
  </si>
  <si>
    <t>N448</t>
  </si>
  <si>
    <t>Legacy TRUE/FALSE is the source claim. Field inputs are amber. Distances are endpoint estimates in meters.</t>
  </si>
  <si>
    <t>edge_id</t>
  </si>
  <si>
    <t>from_id</t>
  </si>
  <si>
    <t>to_id</t>
  </si>
  <si>
    <t>legacy_accessible</t>
  </si>
  <si>
    <t>straight_line_m</t>
  </si>
  <si>
    <t>confirmed_accessible</t>
  </si>
  <si>
    <t>has_stairs</t>
  </si>
  <si>
    <t>has_ramp</t>
  </si>
  <si>
    <t>surface</t>
  </si>
  <si>
    <t>width_m</t>
  </si>
  <si>
    <t>slope_pct</t>
  </si>
  <si>
    <t>access_notes</t>
  </si>
  <si>
    <t>evidence</t>
  </si>
  <si>
    <t>import_note</t>
  </si>
  <si>
    <t>from_lat</t>
  </si>
  <si>
    <t>from_lon</t>
  </si>
  <si>
    <t>to_lat</t>
  </si>
  <si>
    <t>to_lon</t>
  </si>
  <si>
    <t>E0001</t>
  </si>
  <si>
    <t>TRUE</t>
  </si>
  <si>
    <t>E0002</t>
  </si>
  <si>
    <t>E0003</t>
  </si>
  <si>
    <t>E0004</t>
  </si>
  <si>
    <t>E0005</t>
  </si>
  <si>
    <t>E0006</t>
  </si>
  <si>
    <t>E0007</t>
  </si>
  <si>
    <t>E0008</t>
  </si>
  <si>
    <t>E0009</t>
  </si>
  <si>
    <t>E0010</t>
  </si>
  <si>
    <t>E0011</t>
  </si>
  <si>
    <t>E0012</t>
  </si>
  <si>
    <t>E0013</t>
  </si>
  <si>
    <t>E0014</t>
  </si>
  <si>
    <t>E0015</t>
  </si>
  <si>
    <t>E0016</t>
  </si>
  <si>
    <t>E0017</t>
  </si>
  <si>
    <t>E0018</t>
  </si>
  <si>
    <t>E0019</t>
  </si>
  <si>
    <t>E0020</t>
  </si>
  <si>
    <t>E0021</t>
  </si>
  <si>
    <t>E0022</t>
  </si>
  <si>
    <t>E0023</t>
  </si>
  <si>
    <t>E0024</t>
  </si>
  <si>
    <t>E0025</t>
  </si>
  <si>
    <t>E0026</t>
  </si>
  <si>
    <t>E0027</t>
  </si>
  <si>
    <t>E0028</t>
  </si>
  <si>
    <t>E0029</t>
  </si>
  <si>
    <t>E0030</t>
  </si>
  <si>
    <t>E0031</t>
  </si>
  <si>
    <t>E0032</t>
  </si>
  <si>
    <t>E0033</t>
  </si>
  <si>
    <t>E0034</t>
  </si>
  <si>
    <t>E0035</t>
  </si>
  <si>
    <t>E0036</t>
  </si>
  <si>
    <t>E0037</t>
  </si>
  <si>
    <t>E0038</t>
  </si>
  <si>
    <t>E0039</t>
  </si>
  <si>
    <t>E0040</t>
  </si>
  <si>
    <t>E0041</t>
  </si>
  <si>
    <t>E0042</t>
  </si>
  <si>
    <t>E0043</t>
  </si>
  <si>
    <t>E0044</t>
  </si>
  <si>
    <t>E0045</t>
  </si>
  <si>
    <t>E0046</t>
  </si>
  <si>
    <t>E0047</t>
  </si>
  <si>
    <t>E0048</t>
  </si>
  <si>
    <t>E0049</t>
  </si>
  <si>
    <t>E0050</t>
  </si>
  <si>
    <t>E0051</t>
  </si>
  <si>
    <t>E0052</t>
  </si>
  <si>
    <t>E0053</t>
  </si>
  <si>
    <t>E0054</t>
  </si>
  <si>
    <t>E0055</t>
  </si>
  <si>
    <t>FALSE</t>
  </si>
  <si>
    <t>E0056</t>
  </si>
  <si>
    <t>E0057</t>
  </si>
  <si>
    <t>E0058</t>
  </si>
  <si>
    <t>E0059</t>
  </si>
  <si>
    <t>E0060</t>
  </si>
  <si>
    <t>E0061</t>
  </si>
  <si>
    <t>E0062</t>
  </si>
  <si>
    <t>E0063</t>
  </si>
  <si>
    <t>E0064</t>
  </si>
  <si>
    <t>E0065</t>
  </si>
  <si>
    <t>E0066</t>
  </si>
  <si>
    <t>E0067</t>
  </si>
  <si>
    <t>E0068</t>
  </si>
  <si>
    <t>E0069</t>
  </si>
  <si>
    <t>E0070</t>
  </si>
  <si>
    <t>E0071</t>
  </si>
  <si>
    <t>E0072</t>
  </si>
  <si>
    <t>E0073</t>
  </si>
  <si>
    <t>E0074</t>
  </si>
  <si>
    <t>E0075</t>
  </si>
  <si>
    <t>E0076</t>
  </si>
  <si>
    <t>E0077</t>
  </si>
  <si>
    <t>E0078</t>
  </si>
  <si>
    <t>E0079</t>
  </si>
  <si>
    <t>E0080</t>
  </si>
  <si>
    <t>E0081</t>
  </si>
  <si>
    <t>E0082</t>
  </si>
  <si>
    <t>E0083</t>
  </si>
  <si>
    <t>E0084</t>
  </si>
  <si>
    <t>E0085</t>
  </si>
  <si>
    <t>E0086</t>
  </si>
  <si>
    <t>E0087</t>
  </si>
  <si>
    <t>E0088</t>
  </si>
  <si>
    <t>E0089</t>
  </si>
  <si>
    <t>Mapped Russel Sage Dining Hall to Russell Sage Dining Hall (L001).</t>
  </si>
  <si>
    <t>E0090</t>
  </si>
  <si>
    <t>E0091</t>
  </si>
  <si>
    <t>E0092</t>
  </si>
  <si>
    <t>E0093</t>
  </si>
  <si>
    <t>E0094</t>
  </si>
  <si>
    <t>E0095</t>
  </si>
  <si>
    <t>E0096</t>
  </si>
  <si>
    <t>E0097</t>
  </si>
  <si>
    <t>E0098</t>
  </si>
  <si>
    <t>E0099</t>
  </si>
  <si>
    <t>E0100</t>
  </si>
  <si>
    <t>E0101</t>
  </si>
  <si>
    <t>E0102</t>
  </si>
  <si>
    <t>E0103</t>
  </si>
  <si>
    <t>E0104</t>
  </si>
  <si>
    <t>E0105</t>
  </si>
  <si>
    <t>E0106</t>
  </si>
  <si>
    <t>E0107</t>
  </si>
  <si>
    <t>E0108</t>
  </si>
  <si>
    <t>E0109</t>
  </si>
  <si>
    <t>E0110</t>
  </si>
  <si>
    <t>E0111</t>
  </si>
  <si>
    <t>E0112</t>
  </si>
  <si>
    <t>E0113</t>
  </si>
  <si>
    <t>E0114</t>
  </si>
  <si>
    <t>E0115</t>
  </si>
  <si>
    <t>E0116</t>
  </si>
  <si>
    <t>E0117</t>
  </si>
  <si>
    <t>E0118</t>
  </si>
  <si>
    <t>E0119</t>
  </si>
  <si>
    <t>E0120</t>
  </si>
  <si>
    <t>E0121</t>
  </si>
  <si>
    <t>E0122</t>
  </si>
  <si>
    <t>E0123</t>
  </si>
  <si>
    <t>E0124</t>
  </si>
  <si>
    <t>E0125</t>
  </si>
  <si>
    <t>E0126</t>
  </si>
  <si>
    <t>E0127</t>
  </si>
  <si>
    <t>E0128</t>
  </si>
  <si>
    <t>E0129</t>
  </si>
  <si>
    <t>E0130</t>
  </si>
  <si>
    <t>E0131</t>
  </si>
  <si>
    <t>E0132</t>
  </si>
  <si>
    <t>E0133</t>
  </si>
  <si>
    <t>E0134</t>
  </si>
  <si>
    <t>E0135</t>
  </si>
  <si>
    <t>E0136</t>
  </si>
  <si>
    <t>E0137</t>
  </si>
  <si>
    <t>E0138</t>
  </si>
  <si>
    <t>E0139</t>
  </si>
  <si>
    <t>E0140</t>
  </si>
  <si>
    <t>E0141</t>
  </si>
  <si>
    <t>E0142</t>
  </si>
  <si>
    <t>E0143</t>
  </si>
  <si>
    <t>E0144</t>
  </si>
  <si>
    <t>E0145</t>
  </si>
  <si>
    <t>E0146</t>
  </si>
  <si>
    <t>E0147</t>
  </si>
  <si>
    <t>E0148</t>
  </si>
  <si>
    <t>E0149</t>
  </si>
  <si>
    <t>E0150</t>
  </si>
  <si>
    <t>E0151</t>
  </si>
  <si>
    <t>E0152</t>
  </si>
  <si>
    <t>E0153</t>
  </si>
  <si>
    <t>E0154</t>
  </si>
  <si>
    <t>E0155</t>
  </si>
  <si>
    <t>E0156</t>
  </si>
  <si>
    <t>E0157</t>
  </si>
  <si>
    <t>E0158</t>
  </si>
  <si>
    <t>E0159</t>
  </si>
  <si>
    <t>E0160</t>
  </si>
  <si>
    <t>E0161</t>
  </si>
  <si>
    <t>E0162</t>
  </si>
  <si>
    <t>E0163</t>
  </si>
  <si>
    <t>E0164</t>
  </si>
  <si>
    <t>E0165</t>
  </si>
  <si>
    <t>E0166</t>
  </si>
  <si>
    <t>E0167</t>
  </si>
  <si>
    <t>E0168</t>
  </si>
  <si>
    <t>E0169</t>
  </si>
  <si>
    <t>E0170</t>
  </si>
  <si>
    <t>E0171</t>
  </si>
  <si>
    <t>E0172</t>
  </si>
  <si>
    <t>E0173</t>
  </si>
  <si>
    <t>E0174</t>
  </si>
  <si>
    <t>E0175</t>
  </si>
  <si>
    <t>E0176</t>
  </si>
  <si>
    <t>E0177</t>
  </si>
  <si>
    <t>E0178</t>
  </si>
  <si>
    <t>E0179</t>
  </si>
  <si>
    <t>E0180</t>
  </si>
  <si>
    <t>E0181</t>
  </si>
  <si>
    <t>E0182</t>
  </si>
  <si>
    <t>E0183</t>
  </si>
  <si>
    <t>E0184</t>
  </si>
  <si>
    <t>E0185</t>
  </si>
  <si>
    <t>E0186</t>
  </si>
  <si>
    <t>E0187</t>
  </si>
  <si>
    <t>E0188</t>
  </si>
  <si>
    <t>E0189</t>
  </si>
  <si>
    <t>E0190</t>
  </si>
  <si>
    <t>E0191</t>
  </si>
  <si>
    <t>E0192</t>
  </si>
  <si>
    <t>E0193</t>
  </si>
  <si>
    <t>E0194</t>
  </si>
  <si>
    <t>E0195</t>
  </si>
  <si>
    <t>E0196</t>
  </si>
  <si>
    <t>E0197</t>
  </si>
  <si>
    <t>E0198</t>
  </si>
  <si>
    <t>E0199</t>
  </si>
  <si>
    <t>E0200</t>
  </si>
  <si>
    <t>E0201</t>
  </si>
  <si>
    <t>E0202</t>
  </si>
  <si>
    <t>E0203</t>
  </si>
  <si>
    <t>E0204</t>
  </si>
  <si>
    <t>E0205</t>
  </si>
  <si>
    <t>E0206</t>
  </si>
  <si>
    <t>E0207</t>
  </si>
  <si>
    <t>E0208</t>
  </si>
  <si>
    <t>E0209</t>
  </si>
  <si>
    <t>E0210</t>
  </si>
  <si>
    <t>E0211</t>
  </si>
  <si>
    <t>E0212</t>
  </si>
  <si>
    <t>E0213</t>
  </si>
  <si>
    <t>E0214</t>
  </si>
  <si>
    <t>E0215</t>
  </si>
  <si>
    <t>E0216</t>
  </si>
  <si>
    <t>E0217</t>
  </si>
  <si>
    <t>E0218</t>
  </si>
  <si>
    <t>E0219</t>
  </si>
  <si>
    <t>E0220</t>
  </si>
  <si>
    <t>E0221</t>
  </si>
  <si>
    <t>E0222</t>
  </si>
  <si>
    <t>E0223</t>
  </si>
  <si>
    <t>E0224</t>
  </si>
  <si>
    <t>E0225</t>
  </si>
  <si>
    <t>E0226</t>
  </si>
  <si>
    <t>E0227</t>
  </si>
  <si>
    <t>E0228</t>
  </si>
  <si>
    <t>E0229</t>
  </si>
  <si>
    <t>E0230</t>
  </si>
  <si>
    <t>E0231</t>
  </si>
  <si>
    <t>E0232</t>
  </si>
  <si>
    <t>E0233</t>
  </si>
  <si>
    <t>E0234</t>
  </si>
  <si>
    <t>E0235</t>
  </si>
  <si>
    <t>E0236</t>
  </si>
  <si>
    <t>E0237</t>
  </si>
  <si>
    <t>E0238</t>
  </si>
  <si>
    <t>E0239</t>
  </si>
  <si>
    <t>E0240</t>
  </si>
  <si>
    <t>E0241</t>
  </si>
  <si>
    <t>E0242</t>
  </si>
  <si>
    <t>E0243</t>
  </si>
  <si>
    <t>E0244</t>
  </si>
  <si>
    <t>E0245</t>
  </si>
  <si>
    <t>E0246</t>
  </si>
  <si>
    <t>E0247</t>
  </si>
  <si>
    <t>E0248</t>
  </si>
  <si>
    <t>E0249</t>
  </si>
  <si>
    <t>E0250</t>
  </si>
  <si>
    <t>E0251</t>
  </si>
  <si>
    <t>E0252</t>
  </si>
  <si>
    <t>E0253</t>
  </si>
  <si>
    <t>E0254</t>
  </si>
  <si>
    <t>E0255</t>
  </si>
  <si>
    <t>E0256</t>
  </si>
  <si>
    <t>E0257</t>
  </si>
  <si>
    <t>E0258</t>
  </si>
  <si>
    <t>E0259</t>
  </si>
  <si>
    <t>E0260</t>
  </si>
  <si>
    <t>E0261</t>
  </si>
  <si>
    <t>E0262</t>
  </si>
  <si>
    <t>E0263</t>
  </si>
  <si>
    <t>E0264</t>
  </si>
  <si>
    <t>E0265</t>
  </si>
  <si>
    <t>E0266</t>
  </si>
  <si>
    <t>E0267</t>
  </si>
  <si>
    <t>E0268</t>
  </si>
  <si>
    <t>E0269</t>
  </si>
  <si>
    <t>E0270</t>
  </si>
  <si>
    <t>E0271</t>
  </si>
  <si>
    <t>E0272</t>
  </si>
  <si>
    <t>E0273</t>
  </si>
  <si>
    <t>E0274</t>
  </si>
  <si>
    <t>E0275</t>
  </si>
  <si>
    <t>E0276</t>
  </si>
  <si>
    <t>E0277</t>
  </si>
  <si>
    <t>E0278</t>
  </si>
  <si>
    <t>E0279</t>
  </si>
  <si>
    <t>E0280</t>
  </si>
  <si>
    <t>E0281</t>
  </si>
  <si>
    <t>E0282</t>
  </si>
  <si>
    <t>E0283</t>
  </si>
  <si>
    <t>E0284</t>
  </si>
  <si>
    <t>E0285</t>
  </si>
  <si>
    <t>E0286</t>
  </si>
  <si>
    <t>E0287</t>
  </si>
  <si>
    <t>E0288</t>
  </si>
  <si>
    <t>E0289</t>
  </si>
  <si>
    <t>E0290</t>
  </si>
  <si>
    <t>E0291</t>
  </si>
  <si>
    <t>E0292</t>
  </si>
  <si>
    <t>E0293</t>
  </si>
  <si>
    <t>E0294</t>
  </si>
  <si>
    <t>E0295</t>
  </si>
  <si>
    <t>E0296</t>
  </si>
  <si>
    <t>E0297</t>
  </si>
  <si>
    <t>E0298</t>
  </si>
  <si>
    <t>E0299</t>
  </si>
  <si>
    <t>E0300</t>
  </si>
  <si>
    <t>E0301</t>
  </si>
  <si>
    <t>E0302</t>
  </si>
  <si>
    <t>E0303</t>
  </si>
  <si>
    <t>E0304</t>
  </si>
  <si>
    <t>E0305</t>
  </si>
  <si>
    <t>E0306</t>
  </si>
  <si>
    <t>E0307</t>
  </si>
  <si>
    <t>E0308</t>
  </si>
  <si>
    <t>E0309</t>
  </si>
  <si>
    <t>E0310</t>
  </si>
  <si>
    <t>E0311</t>
  </si>
  <si>
    <t>E0312</t>
  </si>
  <si>
    <t>E0313</t>
  </si>
  <si>
    <t>E0314</t>
  </si>
  <si>
    <t>E0315</t>
  </si>
  <si>
    <t>E0316</t>
  </si>
  <si>
    <t>E0317</t>
  </si>
  <si>
    <t>E0318</t>
  </si>
  <si>
    <t>E0319</t>
  </si>
  <si>
    <t>E0320</t>
  </si>
  <si>
    <t>E0321</t>
  </si>
  <si>
    <t>E0322</t>
  </si>
  <si>
    <t>E0323</t>
  </si>
  <si>
    <t>E0324</t>
  </si>
  <si>
    <t>E0325</t>
  </si>
  <si>
    <t>E0326</t>
  </si>
  <si>
    <t>E0327</t>
  </si>
  <si>
    <t>E0328</t>
  </si>
  <si>
    <t>E0329</t>
  </si>
  <si>
    <t>E0330</t>
  </si>
  <si>
    <t>E0331</t>
  </si>
  <si>
    <t>E0332</t>
  </si>
  <si>
    <t>E0333</t>
  </si>
  <si>
    <t>E0334</t>
  </si>
  <si>
    <t>E0335</t>
  </si>
  <si>
    <t>E0336</t>
  </si>
  <si>
    <t>E0337</t>
  </si>
  <si>
    <t>E0338</t>
  </si>
  <si>
    <t>E0339</t>
  </si>
  <si>
    <t>E0340</t>
  </si>
  <si>
    <t>E0341</t>
  </si>
  <si>
    <t>E0342</t>
  </si>
  <si>
    <t>E0343</t>
  </si>
  <si>
    <t>E0344</t>
  </si>
  <si>
    <t>E0345</t>
  </si>
  <si>
    <t>E0346</t>
  </si>
  <si>
    <t>E0347</t>
  </si>
  <si>
    <t>E0348</t>
  </si>
  <si>
    <t>E0349</t>
  </si>
  <si>
    <t>E0350</t>
  </si>
  <si>
    <t>E0351</t>
  </si>
  <si>
    <t>E0352</t>
  </si>
  <si>
    <t>E0353</t>
  </si>
  <si>
    <t>E0354</t>
  </si>
  <si>
    <t>E0355</t>
  </si>
  <si>
    <t>E0356</t>
  </si>
  <si>
    <t>E0357</t>
  </si>
  <si>
    <t>E0358</t>
  </si>
  <si>
    <t>E0359</t>
  </si>
  <si>
    <t>E0360</t>
  </si>
  <si>
    <t>E0361</t>
  </si>
  <si>
    <t>E0362</t>
  </si>
  <si>
    <t>E0363</t>
  </si>
  <si>
    <t>E0364</t>
  </si>
  <si>
    <t>E0365</t>
  </si>
  <si>
    <t>E0366</t>
  </si>
  <si>
    <t>E0367</t>
  </si>
  <si>
    <t>E0368</t>
  </si>
  <si>
    <t>E0369</t>
  </si>
  <si>
    <t>E0370</t>
  </si>
  <si>
    <t>E0371</t>
  </si>
  <si>
    <t>E0372</t>
  </si>
  <si>
    <t>E0373</t>
  </si>
  <si>
    <t>E0374</t>
  </si>
  <si>
    <t>E0375</t>
  </si>
  <si>
    <t>E0376</t>
  </si>
  <si>
    <t>E0377</t>
  </si>
  <si>
    <t>E0378</t>
  </si>
  <si>
    <t>E0379</t>
  </si>
  <si>
    <t>E0380</t>
  </si>
  <si>
    <t>E0381</t>
  </si>
  <si>
    <t>E0382</t>
  </si>
  <si>
    <t>E0383</t>
  </si>
  <si>
    <t>E0384</t>
  </si>
  <si>
    <t>E0385</t>
  </si>
  <si>
    <t>E0386</t>
  </si>
  <si>
    <t>E0387</t>
  </si>
  <si>
    <t>E0388</t>
  </si>
  <si>
    <t>E0389</t>
  </si>
  <si>
    <t>E0390</t>
  </si>
  <si>
    <t>E0391</t>
  </si>
  <si>
    <t>E0392</t>
  </si>
  <si>
    <t>E0393</t>
  </si>
  <si>
    <t>E0394</t>
  </si>
  <si>
    <t>E0395</t>
  </si>
  <si>
    <t>E0396</t>
  </si>
  <si>
    <t>E0397</t>
  </si>
  <si>
    <t>E0398</t>
  </si>
  <si>
    <t>E0399</t>
  </si>
  <si>
    <t>E0400</t>
  </si>
  <si>
    <t>E0401</t>
  </si>
  <si>
    <t>E0402</t>
  </si>
  <si>
    <t>E0403</t>
  </si>
  <si>
    <t>E0404</t>
  </si>
  <si>
    <t>E0405</t>
  </si>
  <si>
    <t>E0406</t>
  </si>
  <si>
    <t>E0407</t>
  </si>
  <si>
    <t>E0408</t>
  </si>
  <si>
    <t>E0409</t>
  </si>
  <si>
    <t>E0410</t>
  </si>
  <si>
    <t>E0411</t>
  </si>
  <si>
    <t>E0412</t>
  </si>
  <si>
    <t>E0413</t>
  </si>
  <si>
    <t>E0414</t>
  </si>
  <si>
    <t>E0415</t>
  </si>
  <si>
    <t>E0416</t>
  </si>
  <si>
    <t>E0417</t>
  </si>
  <si>
    <t>E0418</t>
  </si>
  <si>
    <t>E0419</t>
  </si>
  <si>
    <t>E0420</t>
  </si>
  <si>
    <t>E0421</t>
  </si>
  <si>
    <t>E0422</t>
  </si>
  <si>
    <t>E0423</t>
  </si>
  <si>
    <t>E0424</t>
  </si>
  <si>
    <t>E0425</t>
  </si>
  <si>
    <t>E0426</t>
  </si>
  <si>
    <t>E0427</t>
  </si>
  <si>
    <t>E0428</t>
  </si>
  <si>
    <t>E0429</t>
  </si>
  <si>
    <t>E0430</t>
  </si>
  <si>
    <t>E0431</t>
  </si>
  <si>
    <t>E0432</t>
  </si>
  <si>
    <t>E0433</t>
  </si>
  <si>
    <t>E0434</t>
  </si>
  <si>
    <t>E0435</t>
  </si>
  <si>
    <t>E0436</t>
  </si>
  <si>
    <t>E0437</t>
  </si>
  <si>
    <t>E0438</t>
  </si>
  <si>
    <t>E0439</t>
  </si>
  <si>
    <t>E0440</t>
  </si>
  <si>
    <t>E0441</t>
  </si>
  <si>
    <t>E0442</t>
  </si>
  <si>
    <t>E0443</t>
  </si>
  <si>
    <t>E0444</t>
  </si>
  <si>
    <t>E0445</t>
  </si>
  <si>
    <t>E0446</t>
  </si>
  <si>
    <t>E0447</t>
  </si>
  <si>
    <t>E0448</t>
  </si>
  <si>
    <t>E0449</t>
  </si>
  <si>
    <t>E0450</t>
  </si>
  <si>
    <t>E0451</t>
  </si>
  <si>
    <t>E0452</t>
  </si>
  <si>
    <t>E0453</t>
  </si>
  <si>
    <t>E0454</t>
  </si>
  <si>
    <t>E0455</t>
  </si>
  <si>
    <t>E0456</t>
  </si>
  <si>
    <t>E0457</t>
  </si>
  <si>
    <t>E0458</t>
  </si>
  <si>
    <t>E0459</t>
  </si>
  <si>
    <t>E0460</t>
  </si>
  <si>
    <t>E0461</t>
  </si>
  <si>
    <t>E0462</t>
  </si>
  <si>
    <t>E0463</t>
  </si>
  <si>
    <t>E0464</t>
  </si>
  <si>
    <t>E0465</t>
  </si>
  <si>
    <t>E0466</t>
  </si>
  <si>
    <t>E0467</t>
  </si>
  <si>
    <t>E0468</t>
  </si>
  <si>
    <t>E0469</t>
  </si>
  <si>
    <t>E0470</t>
  </si>
  <si>
    <t>E0471</t>
  </si>
  <si>
    <t>E0472</t>
  </si>
  <si>
    <t>E0473</t>
  </si>
  <si>
    <t>E0474</t>
  </si>
  <si>
    <t>E0475</t>
  </si>
  <si>
    <t>E0476</t>
  </si>
  <si>
    <t>E0477</t>
  </si>
  <si>
    <t>E0478</t>
  </si>
  <si>
    <t>E0479</t>
  </si>
  <si>
    <t>E0480</t>
  </si>
  <si>
    <t>E0481</t>
  </si>
  <si>
    <t>E0482</t>
  </si>
  <si>
    <t>E0483</t>
  </si>
  <si>
    <t>E0484</t>
  </si>
  <si>
    <t>E0485</t>
  </si>
  <si>
    <t>E0486</t>
  </si>
  <si>
    <t>E0487</t>
  </si>
  <si>
    <t>E0488</t>
  </si>
  <si>
    <t>E0489</t>
  </si>
  <si>
    <t>E0490</t>
  </si>
  <si>
    <t>E0491</t>
  </si>
  <si>
    <t>E0492</t>
  </si>
  <si>
    <t>E0493</t>
  </si>
  <si>
    <t>E0494</t>
  </si>
  <si>
    <t>E0495</t>
  </si>
  <si>
    <t>E0496</t>
  </si>
  <si>
    <t>E0497</t>
  </si>
  <si>
    <t>E0498</t>
  </si>
  <si>
    <t>E0499</t>
  </si>
  <si>
    <t>E0500</t>
  </si>
  <si>
    <t>E0501</t>
  </si>
  <si>
    <t>E0502</t>
  </si>
  <si>
    <t>E0503</t>
  </si>
  <si>
    <t>E0504</t>
  </si>
  <si>
    <t>E0505</t>
  </si>
  <si>
    <t>E0506</t>
  </si>
  <si>
    <t>E0507</t>
  </si>
  <si>
    <t>E0508</t>
  </si>
  <si>
    <t>E0509</t>
  </si>
  <si>
    <t>E0510</t>
  </si>
  <si>
    <t>E0511</t>
  </si>
  <si>
    <t>E0512</t>
  </si>
  <si>
    <t>E0513</t>
  </si>
  <si>
    <t>E0514</t>
  </si>
  <si>
    <t>E0515</t>
  </si>
  <si>
    <t>E0516</t>
  </si>
  <si>
    <t>E0517</t>
  </si>
  <si>
    <t>E0518</t>
  </si>
  <si>
    <t>E0519</t>
  </si>
  <si>
    <t>E0520</t>
  </si>
  <si>
    <t>E0521</t>
  </si>
  <si>
    <t>E0522</t>
  </si>
  <si>
    <t>E0523</t>
  </si>
  <si>
    <t>E0524</t>
  </si>
  <si>
    <t>E0525</t>
  </si>
  <si>
    <t>E0526</t>
  </si>
  <si>
    <t>E0527</t>
  </si>
  <si>
    <t>E0528</t>
  </si>
  <si>
    <t>E0529</t>
  </si>
  <si>
    <t>E0530</t>
  </si>
  <si>
    <t>E0531</t>
  </si>
  <si>
    <t>E0532</t>
  </si>
  <si>
    <t>E0533</t>
  </si>
  <si>
    <t>E0534</t>
  </si>
  <si>
    <t>E0535</t>
  </si>
  <si>
    <t>E0536</t>
  </si>
  <si>
    <t>E0537</t>
  </si>
  <si>
    <t>E0538</t>
  </si>
  <si>
    <t>E0539</t>
  </si>
  <si>
    <t>E0540</t>
  </si>
  <si>
    <t>E0541</t>
  </si>
  <si>
    <t>E0542</t>
  </si>
  <si>
    <t>E0543</t>
  </si>
  <si>
    <t>E0544</t>
  </si>
  <si>
    <t>E0545</t>
  </si>
  <si>
    <t>E0546</t>
  </si>
  <si>
    <t>E0547</t>
  </si>
  <si>
    <t>E0548</t>
  </si>
  <si>
    <t>E0549</t>
  </si>
  <si>
    <t>E0550</t>
  </si>
  <si>
    <t>E0551</t>
  </si>
  <si>
    <t>E0552</t>
  </si>
  <si>
    <t>E0553</t>
  </si>
  <si>
    <t>E0554</t>
  </si>
  <si>
    <t>E0555</t>
  </si>
  <si>
    <t>E0556</t>
  </si>
  <si>
    <t>E0557</t>
  </si>
  <si>
    <t>E0558</t>
  </si>
  <si>
    <t>E0559</t>
  </si>
  <si>
    <t>E0560</t>
  </si>
  <si>
    <t>E0561</t>
  </si>
  <si>
    <t>E0562</t>
  </si>
  <si>
    <t>E0563</t>
  </si>
  <si>
    <t>E0564</t>
  </si>
  <si>
    <t>E0565</t>
  </si>
  <si>
    <t>E0566</t>
  </si>
  <si>
    <t>E0567</t>
  </si>
  <si>
    <t>E0568</t>
  </si>
  <si>
    <t>E0569</t>
  </si>
  <si>
    <t>E0570</t>
  </si>
  <si>
    <t>E0571</t>
  </si>
  <si>
    <t>E0572</t>
  </si>
  <si>
    <t>E0573</t>
  </si>
  <si>
    <t>E0574</t>
  </si>
  <si>
    <t>E0575</t>
  </si>
  <si>
    <t>E0576</t>
  </si>
  <si>
    <t>E0577</t>
  </si>
  <si>
    <t>E0578</t>
  </si>
  <si>
    <t>E0579</t>
  </si>
  <si>
    <t>E0580</t>
  </si>
  <si>
    <t>E0581</t>
  </si>
  <si>
    <t>E0582</t>
  </si>
  <si>
    <t>E0583</t>
  </si>
  <si>
    <t>E0584</t>
  </si>
  <si>
    <t>Issues and reuse notes</t>
  </si>
  <si>
    <t>Audit dated 2026-09-29. Connectivity assumes bidirectional edges, matching the source app.</t>
  </si>
  <si>
    <t>Issue ID</t>
  </si>
  <si>
    <t>Status</t>
  </si>
  <si>
    <t>Problem</t>
  </si>
  <si>
    <t>Evidence</t>
  </si>
  <si>
    <t>Source</t>
  </si>
  <si>
    <t>I01</t>
  </si>
  <si>
    <t>Fixed</t>
  </si>
  <si>
    <t>Misspelled endpoint</t>
  </si>
  <si>
    <t>Edges row 90 uses Russel Sage Dining Hall. Landmarks row 2 uses Russell Sage Dining Hall.</t>
  </si>
  <si>
    <t>Connections maps E0089 to L001. Original data is retained. This repairs a name, not a field observation.</t>
  </si>
  <si>
    <t>Edges!A90:C90; Landmarks!A2:C2</t>
  </si>
  <si>
    <t>I02</t>
  </si>
  <si>
    <t>Resolve</t>
  </si>
  <si>
    <t>Winslow has no connection</t>
  </si>
  <si>
    <t>Winslow Building has degree 0. Its coordinates are within 0.001 m of N71, which is connected.</t>
  </si>
  <si>
    <t>Confirm the landmark-to-node relationship and entrance on site. No edge or alias has been invented.</t>
  </si>
  <si>
    <t>Landmarks!A72:C72; Nodes!A2:C2</t>
  </si>
  <si>
    <t>I03</t>
  </si>
  <si>
    <t>Verify</t>
  </si>
  <si>
    <t>E Complex loses access</t>
  </si>
  <si>
    <t>Its only source connection is E0194 to N135, flagged FALSE. It is isolated when FALSE edges are excluded.</t>
  </si>
  <si>
    <t>Verify whether an alternate accessible entrance/path exists. Preserve the FALSE label until checked.</t>
  </si>
  <si>
    <t>Edges!A195:C195</t>
  </si>
  <si>
    <t>I04</t>
  </si>
  <si>
    <t>Accessibility has no evidence</t>
  </si>
  <si>
    <t>All 584 records lack inspection dates, verifier names, and reasons for their TRUE/FALSE labels.</t>
  </si>
  <si>
    <t>Verify the pilot segments. Leave confirmed_accessible unknown until the team has evidence.</t>
  </si>
  <si>
    <t>Edges!A1:C585</t>
  </si>
  <si>
    <t>I05</t>
  </si>
  <si>
    <t>Entrances are unspecified</t>
  </si>
  <si>
    <t>Landmarks provide only name, latitude, and longitude. No entrance IDs, floors, or door access details are recorded.</t>
  </si>
  <si>
    <t>Locate the actual usable entrances and connect them to the outdoor graph. Do not assume a building pin is a door.</t>
  </si>
  <si>
    <t>Landmarks!A1:C72</t>
  </si>
  <si>
    <t>I06</t>
  </si>
  <si>
    <t>Inspect</t>
  </si>
  <si>
    <t>Long straight segments</t>
  </si>
  <si>
    <t>18 source segments exceed 200 m between endpoints. Long segments are inspection candidates, not proven errors.</t>
  </si>
  <si>
    <t>Check the real path shape, intermediate turns, crossings, and barriers. Add intermediate points if needed.</t>
  </si>
  <si>
    <t>Long-segment table below</t>
  </si>
  <si>
    <t>I07</t>
  </si>
  <si>
    <t>Reference</t>
  </si>
  <si>
    <t>Android implementation</t>
  </si>
  <si>
    <t>Graph.kt reads local CSVs, applies Dijkstra, and treats edges as bidirectional. The UI and location code use Android APIs.</t>
  </si>
  <si>
    <t>Reuse the data model and algorithm ideas within your chosen web stack. Confirm direction restrictions in the field.</t>
  </si>
  <si>
    <t>Graph.kt: parseEdgesFromCSV / shortestPath; app/build.gradle.kts</t>
  </si>
  <si>
    <t>I08</t>
  </si>
  <si>
    <t>Handle</t>
  </si>
  <si>
    <t>No-route result is ambiguous</t>
  </si>
  <si>
    <t>shortestPath returns an empty Route for an unreachable destination. An empty Route also totals 0 distance.</t>
  </si>
  <si>
    <t>Return an explicit no-route result. Test disconnected destinations separately from start equals destination.</t>
  </si>
  <si>
    <t>Graph.kt: shortestPath / Route.totalDistance</t>
  </si>
  <si>
    <t>I09</t>
  </si>
  <si>
    <t>Nearest-point GPS snapping</t>
  </si>
  <si>
    <t>getClosestNode selects the geographically nearest node without a maximum-distance or connected-path test.</t>
  </si>
  <si>
    <t>Keep users within the supported area and use verified, reachable paths. Nearby points can lie across a barrier.</t>
  </si>
  <si>
    <t>Graph.kt: getClosestNode / startRoute</t>
  </si>
  <si>
    <t>I10</t>
  </si>
  <si>
    <t>Older source branch</t>
  </si>
  <si>
    <t>new_main points to a commit dated 2024-12-11. No campus inspection dates are supplied.</t>
  </si>
  <si>
    <t>Check current campus conditions. The commit date describes the code history, not a field survey.</t>
  </si>
  <si>
    <t>Repository commit listed below</t>
  </si>
  <si>
    <t>I11</t>
  </si>
  <si>
    <t>Checked</t>
  </si>
  <si>
    <t>Basic structure is consistent</t>
  </si>
  <si>
    <t>448 unique point names. No invalid coordinate ranges, duplicate undirected pairs, or self-loops. One original missing endpoint, fixed in Connections.</t>
  </si>
  <si>
    <t>Keep import validation for duplicate IDs, unresolved endpoints, and missing coordinates.</t>
  </si>
  <si>
    <t>All three original source tables</t>
  </si>
  <si>
    <t>I12</t>
  </si>
  <si>
    <t>Snapshot</t>
  </si>
  <si>
    <t>Graph connectivity</t>
  </si>
  <si>
    <t>Original: 446 connected points, plus Russell Sage Dining Hall and Winslow isolated. TRUE-only: 445, plus those two and E Complex.</t>
  </si>
  <si>
    <t>After the spelling fix: 447 connected points (70 landmarks). TRUE-only: 446 (69 landmarks). These are topology checks, not verified routes.</t>
  </si>
  <si>
    <t>Graph audit on source tables; one documented name fix</t>
  </si>
  <si>
    <t>Segments over 200 m to inspect</t>
  </si>
  <si>
    <t>Edge ID</t>
  </si>
  <si>
    <t>Source row</t>
  </si>
  <si>
    <t>From</t>
  </si>
  <si>
    <t>To</t>
  </si>
  <si>
    <t>Straight line (m)</t>
  </si>
  <si>
    <t>Review note</t>
  </si>
  <si>
    <t>Check turns, crossings, and barriers.</t>
  </si>
  <si>
    <t>Repository sources</t>
  </si>
  <si>
    <t>Branch commit</t>
  </si>
  <si>
    <t>https://github.com/rgtdthrd/RPI-Atlas/commit/ad4c20d72a5a9116513332047e3ffc1b6d84443e</t>
  </si>
  <si>
    <t>Routing code</t>
  </si>
  <si>
    <t>https://github.com/rgtdthrd/RPI-Atlas/blob/ad4c20d72a5a9116513332047e3ffc1b6d84443e/app/src/main/java/com/example/myapplication/Graph.kt</t>
  </si>
  <si>
    <t>Android setup</t>
  </si>
  <si>
    <t>https://github.com/rgtdthrd/RPI-Atlas/blob/ad4c20d72a5a9116513332047e3ffc1b6d84443e/app/build.gradle.kts</t>
  </si>
  <si>
    <t>App description</t>
  </si>
  <si>
    <t>https://github.com/rgtdthrd/RPI-Atlas/blob/ad4c20d72a5a9116513332047e3ffc1b6d84443e/README.md</t>
  </si>
  <si>
    <t>License</t>
  </si>
  <si>
    <t>https://github.com/rgtdthrd/RPI-Atlas/blob/ad4c20d72a5a9116513332047e3ffc1b6d84443e/LICENSE</t>
  </si>
  <si>
    <t>The repository includes an MIT license. Keep its copyright and license notice when copying repository material.</t>
  </si>
  <si>
    <t>Review method: spreadsheet audit, CSV comparison, and static code inspection. The Android app was not built or run.</t>
  </si>
  <si>
    <t>Name</t>
  </si>
  <si>
    <t>Latitude</t>
  </si>
  <si>
    <t>Longitude</t>
  </si>
  <si>
    <t>Original source</t>
  </si>
  <si>
    <t>ATLAS Graph Data.xlsx / Landmarks</t>
  </si>
  <si>
    <t>All original records and values in A:C are preserved.</t>
  </si>
  <si>
    <t>Repository comparison</t>
  </si>
  <si>
    <t>All 71 names match in order. Coordinate differences are below 0.001 m.</t>
  </si>
  <si>
    <t>Repository CSV</t>
  </si>
  <si>
    <t>https://github.com/rgtdthrd/RPI-Atlas/blob/ad4c20d72a5a9116513332047e3ffc1b6d84443e/app/src/main/res/raw/landmarkdata.csv</t>
  </si>
  <si>
    <t>Reviewed 2026-09-29. The branch commit is dated 2024-12-11.</t>
  </si>
  <si>
    <t>The commit date is not a campus inspection date.</t>
  </si>
  <si>
    <t>Source labels do not establish current accessibility.</t>
  </si>
  <si>
    <t>ATLAS Graph Data.xlsx / Nodes</t>
  </si>
  <si>
    <t>All 377 names match in order. Coordinate differences are below 0.001 m.</t>
  </si>
  <si>
    <t>https://github.com/rgtdthrd/RPI-Atlas/blob/ad4c20d72a5a9116513332047e3ffc1b6d84443e/app/src/main/res/raw/nodedata.csv</t>
  </si>
  <si>
    <t>Node 1 Name</t>
  </si>
  <si>
    <t>Node 2 Name</t>
  </si>
  <si>
    <t>Is Accessible</t>
  </si>
  <si>
    <t>ATLAS Graph Data.xlsx / Edges</t>
  </si>
  <si>
    <t>All 584 connections and flags match the repository CSV in order.</t>
  </si>
  <si>
    <t>https://github.com/rgtdthrd/RPI-Atlas/blob/ad4c20d72a5a9116513332047e3ffc1b6d84443e/app/src/main/res/raw/edgedata.csv</t>
  </si>
  <si>
    <t>Russel Sage Dining Hall</t>
  </si>
  <si>
    <t>Russell Sage Laboratory (Accessibility Entrance)</t>
  </si>
  <si>
    <t>Walker Laboratory (South Entrance)</t>
  </si>
  <si>
    <t>Walker Laboratory (East Entrance)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</si>
</sst>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"/>
    <numFmt numFmtId="165" formatCode="yyyy\-mm\-dd"/>
    <numFmt numFmtId="166" formatCode="0.0"/>
  </numFmts>
  <fonts count="7">
    <font>
      <sz val="11"/>
      <name val="Carlito"/>
    </font>
    <font>
      <sz val="10"/>
      <color rgb="FF20334A"/>
      <name val="Arial"/>
    </font>
    <font>
      <b/>
      <sz val="10"/>
      <color rgb="FFFFFFFF"/>
      <name val="Arial"/>
    </font>
    <font>
      <b/>
      <sz val="10"/>
      <color rgb="FF20334A"/>
      <name val="Arial"/>
    </font>
    <font>
      <b/>
      <sz val="16"/>
      <color rgb="FF20334A"/>
      <name val="Arial"/>
    </font>
    <font>
      <i/>
      <sz val="10"/>
      <color rgb="FF5C6876"/>
      <name val="Arial"/>
    </font>
    <font>
      <b/>
      <sz val="10"/>
      <color rgb="FF20334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D4B6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A5B5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1" fillId="3" borderId="0" xfId="0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166" fontId="1" fillId="0" borderId="0" xfId="0" applyNumberFormat="1" applyFont="1" applyAlignment="1">
      <alignment vertical="center"/>
    </xf>
    <xf numFmtId="2" fontId="1" fillId="3" borderId="0" xfId="0" applyNumberFormat="1" applyFont="1" applyFill="1" applyAlignment="1">
      <alignment vertical="center"/>
    </xf>
    <xf numFmtId="3" fontId="1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 wrapText="1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4">
    <dxf>
      <font>
        <b/>
        <color rgb="FF9C2D1B"/>
      </font>
      <fill>
        <patternFill patternType="solid">
          <bgColor rgb="FFFCE5DD"/>
        </patternFill>
      </fill>
    </dxf>
    <dxf>
      <font>
        <b/>
        <color rgb="FF9C2D1B"/>
      </font>
      <fill>
        <patternFill patternType="solid">
          <bgColor rgb="FFFCE5DD"/>
        </patternFill>
      </fill>
    </dxf>
    <dxf>
      <font>
        <color rgb="FF855600"/>
      </font>
      <fill>
        <patternFill patternType="solid">
          <bgColor rgb="FFFFF2CC"/>
        </patternFill>
      </fill>
    </dxf>
    <dxf>
      <font>
        <b/>
        <color rgb="FF9C2D1B"/>
      </font>
      <fill>
        <patternFill patternType="solid">
          <bgColor rgb="FFFCE5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InventorySummary" displayName="InventorySummary" ref="A7:C14" totalsRowShown="0">
  <autoFilter ref="A7:C14" xr:uid="{00000000-0009-0000-0100-000006000000}"/>
  <tableColumns count="3">
    <tableColumn id="1" xr3:uid="{00000000-0010-0000-0000-000001000000}" name="Inventory"/>
    <tableColumn id="2" xr3:uid="{00000000-0010-0000-0000-000002000000}" name="Count"/>
    <tableColumn id="3" xr3:uid="{00000000-0010-0000-0000-000003000000}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NextSteps" displayName="NextSteps" ref="A18:C23" totalsRowShown="0">
  <autoFilter ref="A18:C23" xr:uid="{00000000-0009-0000-0100-000007000000}"/>
  <tableColumns count="3">
    <tableColumn id="1" xr3:uid="{00000000-0010-0000-0100-000001000000}" name="Role"/>
    <tableColumn id="2" xr3:uid="{00000000-0010-0000-0100-000002000000}" name="Step"/>
    <tableColumn id="3" xr3:uid="{00000000-0010-0000-0100-000003000000}" name="A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LocationData" displayName="LocationData" ref="A5:N455" totalsRowShown="0">
  <autoFilter ref="A5:N455" xr:uid="{00000000-0009-0000-0100-000004000000}"/>
  <tableColumns count="14">
    <tableColumn id="1" xr3:uid="{00000000-0010-0000-0200-000001000000}" name="node_id"/>
    <tableColumn id="2" xr3:uid="{00000000-0010-0000-0200-000002000000}" name="label"/>
    <tableColumn id="3" xr3:uid="{00000000-0010-0000-0200-000003000000}" name="kind"/>
    <tableColumn id="4" xr3:uid="{00000000-0010-0000-0200-000004000000}" name="latitude"/>
    <tableColumn id="5" xr3:uid="{00000000-0010-0000-0200-000005000000}" name="longitude"/>
    <tableColumn id="6" xr3:uid="{00000000-0010-0000-0200-000006000000}" name="edge_count"/>
    <tableColumn id="7" xr3:uid="{00000000-0010-0000-0200-000007000000}" name="legacy_true_count"/>
    <tableColumn id="8" xr3:uid="{00000000-0010-0000-0200-000008000000}" name="confirmed_entrance"/>
    <tableColumn id="9" xr3:uid="{00000000-0010-0000-0200-000009000000}" name="field_status"/>
    <tableColumn id="10" xr3:uid="{00000000-0010-0000-0200-00000A000000}" name="verified_on"/>
    <tableColumn id="11" xr3:uid="{00000000-0010-0000-0200-00000B000000}" name="verified_by"/>
    <tableColumn id="12" xr3:uid="{00000000-0010-0000-0200-00000C000000}" name="notes"/>
    <tableColumn id="13" xr3:uid="{00000000-0010-0000-0200-00000D000000}" name="source_sheet"/>
    <tableColumn id="14" xr3:uid="{00000000-0010-0000-0200-00000E000000}" name="source_ro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ConnectionData" displayName="ConnectionData" ref="A5:V589" totalsRowShown="0">
  <autoFilter ref="A5:V589" xr:uid="{00000000-0009-0000-0100-000005000000}"/>
  <tableColumns count="22">
    <tableColumn id="1" xr3:uid="{00000000-0010-0000-0300-000001000000}" name="edge_id"/>
    <tableColumn id="2" xr3:uid="{00000000-0010-0000-0300-000002000000}" name="from_id"/>
    <tableColumn id="3" xr3:uid="{00000000-0010-0000-0300-000003000000}" name="to_id"/>
    <tableColumn id="4" xr3:uid="{00000000-0010-0000-0300-000004000000}" name="legacy_accessible"/>
    <tableColumn id="5" xr3:uid="{00000000-0010-0000-0300-000005000000}" name="straight_line_m"/>
    <tableColumn id="6" xr3:uid="{00000000-0010-0000-0300-000006000000}" name="field_status"/>
    <tableColumn id="7" xr3:uid="{00000000-0010-0000-0300-000007000000}" name="confirmed_accessible"/>
    <tableColumn id="8" xr3:uid="{00000000-0010-0000-0300-000008000000}" name="has_stairs"/>
    <tableColumn id="9" xr3:uid="{00000000-0010-0000-0300-000009000000}" name="has_ramp"/>
    <tableColumn id="10" xr3:uid="{00000000-0010-0000-0300-00000A000000}" name="surface"/>
    <tableColumn id="11" xr3:uid="{00000000-0010-0000-0300-00000B000000}" name="width_m"/>
    <tableColumn id="12" xr3:uid="{00000000-0010-0000-0300-00000C000000}" name="slope_pct"/>
    <tableColumn id="13" xr3:uid="{00000000-0010-0000-0300-00000D000000}" name="access_notes"/>
    <tableColumn id="14" xr3:uid="{00000000-0010-0000-0300-00000E000000}" name="verified_on"/>
    <tableColumn id="15" xr3:uid="{00000000-0010-0000-0300-00000F000000}" name="verified_by"/>
    <tableColumn id="16" xr3:uid="{00000000-0010-0000-0300-000010000000}" name="evidence"/>
    <tableColumn id="17" xr3:uid="{00000000-0010-0000-0300-000011000000}" name="source_row"/>
    <tableColumn id="18" xr3:uid="{00000000-0010-0000-0300-000012000000}" name="import_note"/>
    <tableColumn id="19" xr3:uid="{00000000-0010-0000-0300-000013000000}" name="from_lat"/>
    <tableColumn id="20" xr3:uid="{00000000-0010-0000-0300-000014000000}" name="from_lon"/>
    <tableColumn id="21" xr3:uid="{00000000-0010-0000-0300-000015000000}" name="to_lat"/>
    <tableColumn id="22" xr3:uid="{00000000-0010-0000-0300-000016000000}" name="to_l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4000000}" name="IssuesTable" displayName="IssuesTable" ref="A5:F17" totalsRowShown="0">
  <autoFilter ref="A5:F17" xr:uid="{00000000-0009-0000-0100-000008000000}"/>
  <tableColumns count="6">
    <tableColumn id="1" xr3:uid="{00000000-0010-0000-0400-000001000000}" name="Issue ID"/>
    <tableColumn id="2" xr3:uid="{00000000-0010-0000-0400-000002000000}" name="Status"/>
    <tableColumn id="3" xr3:uid="{00000000-0010-0000-0400-000003000000}" name="Problem"/>
    <tableColumn id="4" xr3:uid="{00000000-0010-0000-0400-000004000000}" name="Evidence"/>
    <tableColumn id="5" xr3:uid="{00000000-0010-0000-0400-000005000000}" name="Action"/>
    <tableColumn id="6" xr3:uid="{00000000-0010-0000-0400-000006000000}" name="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LongSegments" displayName="LongSegments" ref="A21:F39" totalsRowShown="0">
  <autoFilter ref="A21:F39" xr:uid="{00000000-0009-0000-0100-000009000000}"/>
  <tableColumns count="6">
    <tableColumn id="1" xr3:uid="{00000000-0010-0000-0500-000001000000}" name="Edge ID"/>
    <tableColumn id="2" xr3:uid="{00000000-0010-0000-0500-000002000000}" name="Source row"/>
    <tableColumn id="3" xr3:uid="{00000000-0010-0000-0500-000003000000}" name="From"/>
    <tableColumn id="4" xr3:uid="{00000000-0010-0000-0500-000004000000}" name="To"/>
    <tableColumn id="5" xr3:uid="{00000000-0010-0000-0500-000005000000}" name="Straight line (m)"/>
    <tableColumn id="6" xr3:uid="{00000000-0010-0000-0500-000006000000}" name="Review no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OriginalLandmarks" displayName="OriginalLandmarks" ref="A1:C72" totalsRowShown="0">
  <autoFilter ref="A1:C72" xr:uid="{00000000-0009-0000-0100-000001000000}"/>
  <tableColumns count="3">
    <tableColumn id="1" xr3:uid="{00000000-0010-0000-0600-000001000000}" name="Name"/>
    <tableColumn id="2" xr3:uid="{00000000-0010-0000-0600-000002000000}" name="Latitude"/>
    <tableColumn id="3" xr3:uid="{00000000-0010-0000-0600-000003000000}" name="Longitu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OriginalNodes" displayName="OriginalNodes" ref="A1:C378" totalsRowShown="0">
  <autoFilter ref="A1:C378" xr:uid="{00000000-0009-0000-0100-000002000000}"/>
  <tableColumns count="3">
    <tableColumn id="1" xr3:uid="{00000000-0010-0000-0700-000001000000}" name="Name"/>
    <tableColumn id="2" xr3:uid="{00000000-0010-0000-0700-000002000000}" name="Latitude"/>
    <tableColumn id="3" xr3:uid="{00000000-0010-0000-0700-000003000000}" name="Longitu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8000000}" name="OriginalEdges" displayName="OriginalEdges" ref="A1:C585" totalsRowShown="0">
  <autoFilter ref="A1:C585" xr:uid="{00000000-0009-0000-0100-000003000000}"/>
  <tableColumns count="3">
    <tableColumn id="1" xr3:uid="{00000000-0010-0000-0800-000001000000}" name="Node 1 Name"/>
    <tableColumn id="2" xr3:uid="{00000000-0010-0000-0800-000002000000}" name="Node 2 Name"/>
    <tableColumn id="3" xr3:uid="{00000000-0010-0000-0800-000003000000}" name="Is Accessi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4B68"/>
  </sheetPr>
  <dimension ref="A1:C43"/>
  <sheetViews>
    <sheetView showGridLines="0" workbookViewId="0"/>
  </sheetViews>
  <sheetFormatPr defaultRowHeight="14.25"/>
  <cols>
    <col min="1" max="1" width="31" customWidth="1"/>
    <col min="2" max="2" width="17" customWidth="1"/>
    <col min="3" max="3" width="109" customWidth="1"/>
  </cols>
  <sheetData>
    <row r="1" spans="1:3" ht="23.1" customHeight="1">
      <c r="A1" s="1"/>
      <c r="B1" s="1"/>
      <c r="C1" s="1"/>
    </row>
    <row r="2" spans="1:3" ht="23.1" customHeight="1">
      <c r="A2" s="7" t="s">
        <v>0</v>
      </c>
      <c r="B2" s="1"/>
      <c r="C2" s="1"/>
    </row>
    <row r="3" spans="1:3" ht="23.1" customHeight="1">
      <c r="A3" s="8"/>
      <c r="B3" s="8"/>
      <c r="C3" s="8"/>
    </row>
    <row r="4" spans="1:3" ht="23.1" customHeight="1">
      <c r="A4" s="5" t="s">
        <v>1</v>
      </c>
      <c r="B4" s="1"/>
      <c r="C4" s="1"/>
    </row>
    <row r="5" spans="1:3" ht="23.1" customHeight="1">
      <c r="A5" s="1" t="s">
        <v>2</v>
      </c>
      <c r="B5" s="1"/>
      <c r="C5" s="1"/>
    </row>
    <row r="6" spans="1:3" ht="23.1" customHeight="1">
      <c r="A6" s="1"/>
      <c r="B6" s="1"/>
      <c r="C6" s="1"/>
    </row>
    <row r="7" spans="1:3" ht="36" customHeight="1">
      <c r="A7" s="2" t="s">
        <v>3</v>
      </c>
      <c r="B7" s="2" t="s">
        <v>4</v>
      </c>
      <c r="C7" s="2" t="s">
        <v>5</v>
      </c>
    </row>
    <row r="8" spans="1:3" ht="23.1" customHeight="1">
      <c r="A8" s="1" t="s">
        <v>6</v>
      </c>
      <c r="B8" s="15">
        <f>COUNTIFS(Locations!C6:C455,"landmark")</f>
        <v>73</v>
      </c>
      <c r="C8" s="1" t="s">
        <v>7</v>
      </c>
    </row>
    <row r="9" spans="1:3" ht="23.1" customHeight="1">
      <c r="A9" s="1" t="s">
        <v>8</v>
      </c>
      <c r="B9" s="15">
        <f>COUNTIFS(Locations!C6:C455,"path_point")</f>
        <v>377</v>
      </c>
      <c r="C9" s="1" t="s">
        <v>9</v>
      </c>
    </row>
    <row r="10" spans="1:3" ht="23.1" customHeight="1">
      <c r="A10" s="1" t="s">
        <v>10</v>
      </c>
      <c r="B10" s="15">
        <f>COUNTA(Connections!A6:A589)</f>
        <v>584</v>
      </c>
      <c r="C10" s="1" t="s">
        <v>11</v>
      </c>
    </row>
    <row r="11" spans="1:3" ht="23.1" customHeight="1">
      <c r="A11" s="1" t="s">
        <v>12</v>
      </c>
      <c r="B11" s="15">
        <f>COUNTIFS(Connections!D6:D589,"TRUE")</f>
        <v>0</v>
      </c>
      <c r="C11" s="1" t="s">
        <v>13</v>
      </c>
    </row>
    <row r="12" spans="1:3" ht="23.1" customHeight="1">
      <c r="A12" s="1" t="s">
        <v>14</v>
      </c>
      <c r="B12" s="15">
        <f>COUNTIFS(Connections!D6:D589,"FALSE")</f>
        <v>0</v>
      </c>
      <c r="C12" s="1" t="s">
        <v>15</v>
      </c>
    </row>
    <row r="13" spans="1:3" ht="23.1" customHeight="1">
      <c r="A13" s="1" t="s">
        <v>16</v>
      </c>
      <c r="B13" s="15">
        <f>COUNTIFS(Connections!F6:F589,"checked")</f>
        <v>0</v>
      </c>
      <c r="C13" s="1" t="s">
        <v>17</v>
      </c>
    </row>
    <row r="14" spans="1:3" ht="23.1" customHeight="1">
      <c r="A14" s="1" t="s">
        <v>18</v>
      </c>
      <c r="B14" s="15">
        <f>COUNTIFS(Connections!G6:G589,"yes")</f>
        <v>0</v>
      </c>
      <c r="C14" s="1" t="s">
        <v>19</v>
      </c>
    </row>
    <row r="15" spans="1:3" ht="23.1" customHeight="1">
      <c r="A15" s="1"/>
      <c r="B15" s="1"/>
      <c r="C15" s="1"/>
    </row>
    <row r="16" spans="1:3" ht="23.1" customHeight="1">
      <c r="A16" s="5" t="s">
        <v>20</v>
      </c>
      <c r="B16" s="1"/>
      <c r="C16" s="1"/>
    </row>
    <row r="17" spans="1:3" ht="23.1" customHeight="1">
      <c r="A17" s="1"/>
      <c r="B17" s="1"/>
      <c r="C17" s="1"/>
    </row>
    <row r="18" spans="1:3" ht="36" customHeight="1">
      <c r="A18" s="2" t="s">
        <v>21</v>
      </c>
      <c r="B18" s="2" t="s">
        <v>22</v>
      </c>
      <c r="C18" s="2" t="s">
        <v>23</v>
      </c>
    </row>
    <row r="19" spans="1:3" ht="33.950000000000003" customHeight="1">
      <c r="A19" s="1" t="s">
        <v>24</v>
      </c>
      <c r="B19" s="1">
        <v>1</v>
      </c>
      <c r="C19" s="4" t="s">
        <v>25</v>
      </c>
    </row>
    <row r="20" spans="1:3" ht="33.950000000000003" customHeight="1">
      <c r="A20" s="1" t="s">
        <v>24</v>
      </c>
      <c r="B20" s="1">
        <v>2</v>
      </c>
      <c r="C20" s="4" t="s">
        <v>26</v>
      </c>
    </row>
    <row r="21" spans="1:3" ht="33.950000000000003" customHeight="1">
      <c r="A21" s="1" t="s">
        <v>27</v>
      </c>
      <c r="B21" s="1">
        <v>3</v>
      </c>
      <c r="C21" s="4" t="s">
        <v>28</v>
      </c>
    </row>
    <row r="22" spans="1:3" ht="33.950000000000003" customHeight="1">
      <c r="A22" s="1" t="s">
        <v>29</v>
      </c>
      <c r="B22" s="1">
        <v>4</v>
      </c>
      <c r="C22" s="4" t="s">
        <v>30</v>
      </c>
    </row>
    <row r="23" spans="1:3" ht="33.950000000000003" customHeight="1">
      <c r="A23" s="1" t="s">
        <v>31</v>
      </c>
      <c r="B23" s="1">
        <v>5</v>
      </c>
      <c r="C23" s="4" t="s">
        <v>32</v>
      </c>
    </row>
    <row r="24" spans="1:3" ht="23.1" customHeight="1">
      <c r="A24" s="1"/>
      <c r="B24" s="1"/>
      <c r="C24" s="1"/>
    </row>
    <row r="25" spans="1:3" ht="23.1" customHeight="1">
      <c r="A25" s="5" t="s">
        <v>33</v>
      </c>
      <c r="B25" s="1"/>
      <c r="C25" s="1"/>
    </row>
    <row r="26" spans="1:3" ht="23.1" customHeight="1">
      <c r="A26" s="1"/>
      <c r="B26" s="1"/>
      <c r="C26" s="1"/>
    </row>
    <row r="27" spans="1:3" ht="23.1" customHeight="1">
      <c r="A27" s="1" t="s">
        <v>34</v>
      </c>
      <c r="B27" s="1"/>
      <c r="C27" s="1" t="s">
        <v>35</v>
      </c>
    </row>
    <row r="28" spans="1:3" ht="23.1" customHeight="1">
      <c r="A28" s="1" t="s">
        <v>10</v>
      </c>
      <c r="B28" s="1"/>
      <c r="C28" s="1" t="s">
        <v>36</v>
      </c>
    </row>
    <row r="29" spans="1:3" ht="23.1" customHeight="1">
      <c r="A29" s="1" t="s">
        <v>37</v>
      </c>
      <c r="B29" s="1"/>
      <c r="C29" s="1" t="s">
        <v>38</v>
      </c>
    </row>
    <row r="30" spans="1:3" ht="23.1" customHeight="1">
      <c r="A30" s="1" t="s">
        <v>39</v>
      </c>
      <c r="B30" s="1"/>
      <c r="C30" s="1" t="s">
        <v>40</v>
      </c>
    </row>
    <row r="31" spans="1:3" ht="23.1" customHeight="1">
      <c r="A31" s="1"/>
      <c r="B31" s="1"/>
      <c r="C31" s="1"/>
    </row>
    <row r="32" spans="1:3" ht="23.1" customHeight="1">
      <c r="A32" s="5" t="s">
        <v>41</v>
      </c>
      <c r="B32" s="1"/>
      <c r="C32" s="1"/>
    </row>
    <row r="33" spans="1:3" ht="23.1" customHeight="1">
      <c r="A33" s="1"/>
      <c r="B33" s="1"/>
      <c r="C33" s="1"/>
    </row>
    <row r="34" spans="1:3" ht="23.1" customHeight="1">
      <c r="A34" s="1" t="s">
        <v>42</v>
      </c>
      <c r="B34" s="1"/>
      <c r="C34" s="1"/>
    </row>
    <row r="35" spans="1:3" ht="23.1" customHeight="1">
      <c r="A35" s="1" t="s">
        <v>43</v>
      </c>
      <c r="B35" s="1"/>
      <c r="C35" s="1"/>
    </row>
    <row r="36" spans="1:3" ht="23.1" customHeight="1">
      <c r="A36" s="1"/>
      <c r="B36" s="1"/>
      <c r="C36" s="1"/>
    </row>
    <row r="37" spans="1:3" ht="23.1" customHeight="1">
      <c r="A37" s="5" t="s">
        <v>44</v>
      </c>
      <c r="B37" s="1"/>
      <c r="C37" s="1"/>
    </row>
    <row r="38" spans="1:3" ht="23.1" customHeight="1">
      <c r="A38" s="1"/>
      <c r="B38" s="1"/>
      <c r="C38" s="1"/>
    </row>
    <row r="39" spans="1:3" ht="33.950000000000003" customHeight="1">
      <c r="A39" s="1" t="s">
        <v>45</v>
      </c>
      <c r="B39" s="1"/>
      <c r="C39" s="4" t="s">
        <v>46</v>
      </c>
    </row>
    <row r="40" spans="1:3" ht="33.950000000000003" customHeight="1">
      <c r="A40" s="1" t="s">
        <v>47</v>
      </c>
      <c r="B40" s="1"/>
      <c r="C40" s="4" t="s">
        <v>48</v>
      </c>
    </row>
    <row r="41" spans="1:3" ht="33.950000000000003" customHeight="1">
      <c r="A41" s="1" t="s">
        <v>49</v>
      </c>
      <c r="B41" s="1"/>
      <c r="C41" s="4" t="s">
        <v>50</v>
      </c>
    </row>
    <row r="42" spans="1:3" ht="23.1" customHeight="1">
      <c r="A42" s="1"/>
      <c r="B42" s="1"/>
      <c r="C42" s="1"/>
    </row>
    <row r="43" spans="1:3" ht="23.1" customHeight="1">
      <c r="A43" s="1"/>
      <c r="B43" s="1"/>
      <c r="C43" s="1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5"/>
  <sheetViews>
    <sheetView showGridLines="0" tabSelected="1" zoomScale="99" workbookViewId="0">
      <pane xSplit="2" ySplit="5" topLeftCell="C6" activePane="bottomRight" state="frozen"/>
      <selection pane="topRight"/>
      <selection pane="bottomLeft"/>
      <selection pane="bottomRight" activeCell="B68" sqref="B68"/>
    </sheetView>
  </sheetViews>
  <sheetFormatPr defaultRowHeight="14.25"/>
  <cols>
    <col min="1" max="1" width="14" customWidth="1"/>
    <col min="2" max="2" width="64" customWidth="1"/>
    <col min="3" max="3" width="18" customWidth="1"/>
    <col min="4" max="5" width="20" customWidth="1"/>
    <col min="6" max="6" width="14" customWidth="1"/>
    <col min="7" max="7" width="18" customWidth="1"/>
    <col min="8" max="8" width="22" customWidth="1"/>
    <col min="9" max="9" width="18" customWidth="1"/>
    <col min="10" max="10" width="17" customWidth="1"/>
    <col min="11" max="11" width="22" customWidth="1"/>
    <col min="12" max="12" width="66" customWidth="1"/>
    <col min="13" max="13" width="19" customWidth="1"/>
    <col min="14" max="14" width="15" customWidth="1"/>
  </cols>
  <sheetData>
    <row r="1" spans="1:14" ht="23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3.1" customHeight="1">
      <c r="A2" s="7" t="s">
        <v>34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3.1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4" ht="23.1" customHeight="1">
      <c r="A4" s="9" t="s">
        <v>51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36" customHeight="1">
      <c r="A5" s="2" t="s">
        <v>52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60</v>
      </c>
      <c r="J5" s="2" t="s">
        <v>61</v>
      </c>
      <c r="K5" s="2" t="s">
        <v>62</v>
      </c>
      <c r="L5" s="2" t="s">
        <v>63</v>
      </c>
      <c r="M5" s="2" t="s">
        <v>64</v>
      </c>
      <c r="N5" s="2" t="s">
        <v>65</v>
      </c>
    </row>
    <row r="6" spans="1:14" ht="23.1" customHeight="1">
      <c r="A6" s="1" t="s">
        <v>66</v>
      </c>
      <c r="B6" s="1" t="s">
        <v>67</v>
      </c>
      <c r="C6" s="1" t="s">
        <v>68</v>
      </c>
      <c r="D6" s="3">
        <v>42.730352730494197</v>
      </c>
      <c r="E6" s="3">
        <v>-73.679949628352404</v>
      </c>
      <c r="F6" s="10">
        <f>COUNTIFS(Connections!$B$6:$B$589,A6)+COUNTIFS(Connections!$C$6:$C$589,A6)</f>
        <v>1</v>
      </c>
      <c r="G6" s="10">
        <f>COUNTIFS(Connections!$B$6:$B$589,A6,Connections!$D$6:$D$589,"TRUE")+COUNTIFS(Connections!$C$6:$C$589,A6,Connections!$D$6:$D$589,"TRUE")</f>
        <v>0</v>
      </c>
      <c r="H6" s="11" t="s">
        <v>69</v>
      </c>
      <c r="I6" s="11" t="s">
        <v>70</v>
      </c>
      <c r="J6" s="12"/>
      <c r="K6" s="11"/>
      <c r="L6" s="4"/>
      <c r="M6" s="1" t="s">
        <v>6</v>
      </c>
      <c r="N6" s="1">
        <v>70</v>
      </c>
    </row>
    <row r="7" spans="1:14" ht="23.1" customHeight="1">
      <c r="A7" s="1" t="s">
        <v>71</v>
      </c>
      <c r="B7" s="1" t="s">
        <v>72</v>
      </c>
      <c r="C7" s="1" t="s">
        <v>68</v>
      </c>
      <c r="D7" s="3">
        <v>42.730784773659501</v>
      </c>
      <c r="E7" s="3">
        <v>-73.678864289088295</v>
      </c>
      <c r="F7" s="10">
        <f>COUNTIFS(Connections!$B$6:$B$589,A7)+COUNTIFS(Connections!$C$6:$C$589,A7)</f>
        <v>1</v>
      </c>
      <c r="G7" s="10">
        <f>COUNTIFS(Connections!$B$6:$B$589,A7,Connections!$D$6:$D$589,"TRUE")+COUNTIFS(Connections!$C$6:$C$589,A7,Connections!$D$6:$D$589,"TRUE")</f>
        <v>0</v>
      </c>
      <c r="H7" s="11" t="s">
        <v>69</v>
      </c>
      <c r="I7" s="11" t="s">
        <v>70</v>
      </c>
      <c r="J7" s="12"/>
      <c r="K7" s="11"/>
      <c r="L7" s="4"/>
      <c r="M7" s="1" t="s">
        <v>6</v>
      </c>
      <c r="N7" s="1">
        <v>14</v>
      </c>
    </row>
    <row r="8" spans="1:14" ht="23.1" customHeight="1">
      <c r="A8" s="1" t="s">
        <v>73</v>
      </c>
      <c r="B8" s="1" t="s">
        <v>74</v>
      </c>
      <c r="C8" s="1" t="s">
        <v>68</v>
      </c>
      <c r="D8" s="3">
        <v>42.727449594089101</v>
      </c>
      <c r="E8" s="3">
        <v>-73.678651452531696</v>
      </c>
      <c r="F8" s="10">
        <f>COUNTIFS(Connections!$B$6:$B$589,A8)+COUNTIFS(Connections!$C$6:$C$589,A8)</f>
        <v>1</v>
      </c>
      <c r="G8" s="10">
        <f>COUNTIFS(Connections!$B$6:$B$589,A8,Connections!$D$6:$D$589,"TRUE")+COUNTIFS(Connections!$C$6:$C$589,A8,Connections!$D$6:$D$589,"TRUE")</f>
        <v>0</v>
      </c>
      <c r="H8" s="11" t="s">
        <v>69</v>
      </c>
      <c r="I8" s="11" t="s">
        <v>70</v>
      </c>
      <c r="J8" s="12"/>
      <c r="K8" s="11"/>
      <c r="L8" s="4"/>
      <c r="M8" s="1" t="s">
        <v>6</v>
      </c>
      <c r="N8" s="1">
        <v>59</v>
      </c>
    </row>
    <row r="9" spans="1:14" ht="23.1" customHeight="1">
      <c r="A9" s="1" t="s">
        <v>75</v>
      </c>
      <c r="B9" s="1" t="s">
        <v>76</v>
      </c>
      <c r="C9" s="1" t="s">
        <v>68</v>
      </c>
      <c r="D9" s="3">
        <v>42.730656292660498</v>
      </c>
      <c r="E9" s="3">
        <v>-73.675538241171694</v>
      </c>
      <c r="F9" s="10">
        <f>COUNTIFS(Connections!$B$6:$B$589,A9)+COUNTIFS(Connections!$C$6:$C$589,A9)</f>
        <v>1</v>
      </c>
      <c r="G9" s="10">
        <f>COUNTIFS(Connections!$B$6:$B$589,A9,Connections!$D$6:$D$589,"TRUE")+COUNTIFS(Connections!$C$6:$C$589,A9,Connections!$D$6:$D$589,"TRUE")</f>
        <v>0</v>
      </c>
      <c r="H9" s="11" t="s">
        <v>69</v>
      </c>
      <c r="I9" s="11" t="s">
        <v>70</v>
      </c>
      <c r="J9" s="12"/>
      <c r="K9" s="11"/>
      <c r="L9" s="4"/>
      <c r="M9" s="1" t="s">
        <v>6</v>
      </c>
      <c r="N9" s="1">
        <v>34</v>
      </c>
    </row>
    <row r="10" spans="1:14" ht="23.1" customHeight="1">
      <c r="A10" s="1" t="s">
        <v>77</v>
      </c>
      <c r="B10" s="1" t="s">
        <v>78</v>
      </c>
      <c r="C10" s="1" t="s">
        <v>68</v>
      </c>
      <c r="D10" s="3">
        <v>42.728465366274598</v>
      </c>
      <c r="E10" s="3">
        <v>-73.676972928730095</v>
      </c>
      <c r="F10" s="10">
        <f>COUNTIFS(Connections!$B$6:$B$589,A10)+COUNTIFS(Connections!$C$6:$C$589,A10)</f>
        <v>2</v>
      </c>
      <c r="G10" s="10">
        <f>COUNTIFS(Connections!$B$6:$B$589,A10,Connections!$D$6:$D$589,"TRUE")+COUNTIFS(Connections!$C$6:$C$589,A10,Connections!$D$6:$D$589,"TRUE")</f>
        <v>0</v>
      </c>
      <c r="H10" s="11" t="s">
        <v>69</v>
      </c>
      <c r="I10" s="11" t="s">
        <v>70</v>
      </c>
      <c r="J10" s="12"/>
      <c r="K10" s="11"/>
      <c r="L10" s="4"/>
      <c r="M10" s="1" t="s">
        <v>6</v>
      </c>
      <c r="N10" s="1">
        <v>36</v>
      </c>
    </row>
    <row r="11" spans="1:14" ht="23.1" customHeight="1">
      <c r="A11" s="1" t="s">
        <v>79</v>
      </c>
      <c r="B11" s="17" t="s">
        <v>80</v>
      </c>
      <c r="C11" s="1" t="s">
        <v>68</v>
      </c>
      <c r="D11" s="3">
        <v>42.730143518731502</v>
      </c>
      <c r="E11" s="3">
        <v>-73.682290797673303</v>
      </c>
      <c r="F11" s="10">
        <f>COUNTIFS(Connections!$B$6:$B$589,A11)+COUNTIFS(Connections!$C$6:$C$589,A11)</f>
        <v>3</v>
      </c>
      <c r="G11" s="10">
        <f>COUNTIFS(Connections!$B$6:$B$589,A11,Connections!$D$6:$D$589,"TRUE")+COUNTIFS(Connections!$C$6:$C$589,A11,Connections!$D$6:$D$589,"TRUE")</f>
        <v>0</v>
      </c>
      <c r="H11" s="11" t="s">
        <v>69</v>
      </c>
      <c r="I11" s="11" t="s">
        <v>70</v>
      </c>
      <c r="J11" s="12"/>
      <c r="K11" s="11"/>
      <c r="L11" s="4"/>
      <c r="M11" s="1" t="s">
        <v>6</v>
      </c>
      <c r="N11" s="1">
        <v>27</v>
      </c>
    </row>
    <row r="12" spans="1:14" ht="23.1" customHeight="1">
      <c r="A12" s="1" t="s">
        <v>81</v>
      </c>
      <c r="B12" s="1" t="s">
        <v>82</v>
      </c>
      <c r="C12" s="1" t="s">
        <v>68</v>
      </c>
      <c r="D12" s="3">
        <v>42.729086694862303</v>
      </c>
      <c r="E12" s="3">
        <v>-73.674089842594896</v>
      </c>
      <c r="F12" s="10">
        <f>COUNTIFS(Connections!$B$6:$B$589,A12)+COUNTIFS(Connections!$C$6:$C$589,A12)</f>
        <v>1</v>
      </c>
      <c r="G12" s="10">
        <f>COUNTIFS(Connections!$B$6:$B$589,A12,Connections!$D$6:$D$589,"TRUE")+COUNTIFS(Connections!$C$6:$C$589,A12,Connections!$D$6:$D$589,"TRUE")</f>
        <v>0</v>
      </c>
      <c r="H12" s="11" t="s">
        <v>69</v>
      </c>
      <c r="I12" s="11" t="s">
        <v>70</v>
      </c>
      <c r="J12" s="12"/>
      <c r="K12" s="11"/>
      <c r="L12" s="4"/>
      <c r="M12" s="1" t="s">
        <v>6</v>
      </c>
      <c r="N12" s="1">
        <v>61</v>
      </c>
    </row>
    <row r="13" spans="1:14" ht="23.1" customHeight="1">
      <c r="A13" s="1" t="s">
        <v>83</v>
      </c>
      <c r="B13" s="1" t="s">
        <v>84</v>
      </c>
      <c r="C13" s="1" t="s">
        <v>68</v>
      </c>
      <c r="D13" s="3">
        <v>42.732484842934603</v>
      </c>
      <c r="E13" s="3">
        <v>-73.682878421500106</v>
      </c>
      <c r="F13" s="10">
        <f>COUNTIFS(Connections!$B$6:$B$589,A13)+COUNTIFS(Connections!$C$6:$C$589,A13)</f>
        <v>1</v>
      </c>
      <c r="G13" s="10">
        <f>COUNTIFS(Connections!$B$6:$B$589,A13,Connections!$D$6:$D$589,"TRUE")+COUNTIFS(Connections!$C$6:$C$589,A13,Connections!$D$6:$D$589,"TRUE")</f>
        <v>0</v>
      </c>
      <c r="H13" s="11" t="s">
        <v>69</v>
      </c>
      <c r="I13" s="11" t="s">
        <v>70</v>
      </c>
      <c r="J13" s="12"/>
      <c r="K13" s="11"/>
      <c r="L13" s="4"/>
      <c r="M13" s="1" t="s">
        <v>6</v>
      </c>
      <c r="N13" s="1">
        <v>28</v>
      </c>
    </row>
    <row r="14" spans="1:14" ht="23.1" customHeight="1">
      <c r="A14" s="1" t="s">
        <v>85</v>
      </c>
      <c r="B14" s="1" t="s">
        <v>86</v>
      </c>
      <c r="C14" s="1" t="s">
        <v>68</v>
      </c>
      <c r="D14" s="3">
        <v>42.7321517031695</v>
      </c>
      <c r="E14" s="3">
        <v>-73.680855737485302</v>
      </c>
      <c r="F14" s="10">
        <f>COUNTIFS(Connections!$B$6:$B$589,A14)+COUNTIFS(Connections!$C$6:$C$589,A14)</f>
        <v>1</v>
      </c>
      <c r="G14" s="10">
        <f>COUNTIFS(Connections!$B$6:$B$589,A14,Connections!$D$6:$D$589,"TRUE")+COUNTIFS(Connections!$C$6:$C$589,A14,Connections!$D$6:$D$589,"TRUE")</f>
        <v>0</v>
      </c>
      <c r="H14" s="11" t="s">
        <v>69</v>
      </c>
      <c r="I14" s="11" t="s">
        <v>70</v>
      </c>
      <c r="J14" s="12"/>
      <c r="K14" s="11"/>
      <c r="L14" s="4"/>
      <c r="M14" s="1" t="s">
        <v>6</v>
      </c>
      <c r="N14" s="1">
        <v>30</v>
      </c>
    </row>
    <row r="15" spans="1:14" ht="23.1" customHeight="1">
      <c r="A15" s="1" t="s">
        <v>87</v>
      </c>
      <c r="B15" s="1" t="s">
        <v>88</v>
      </c>
      <c r="C15" s="1" t="s">
        <v>68</v>
      </c>
      <c r="D15" s="3">
        <v>42.731351135494002</v>
      </c>
      <c r="E15" s="3">
        <v>-73.685870010025795</v>
      </c>
      <c r="F15" s="10">
        <f>COUNTIFS(Connections!$B$6:$B$589,A15)+COUNTIFS(Connections!$C$6:$C$589,A15)</f>
        <v>1</v>
      </c>
      <c r="G15" s="10">
        <f>COUNTIFS(Connections!$B$6:$B$589,A15,Connections!$D$6:$D$589,"TRUE")+COUNTIFS(Connections!$C$6:$C$589,A15,Connections!$D$6:$D$589,"TRUE")</f>
        <v>0</v>
      </c>
      <c r="H15" s="11" t="s">
        <v>69</v>
      </c>
      <c r="I15" s="11" t="s">
        <v>70</v>
      </c>
      <c r="J15" s="12"/>
      <c r="K15" s="11"/>
      <c r="L15" s="4"/>
      <c r="M15" s="1" t="s">
        <v>6</v>
      </c>
      <c r="N15" s="1">
        <v>71</v>
      </c>
    </row>
    <row r="16" spans="1:14" ht="23.1" customHeight="1">
      <c r="A16" s="1" t="s">
        <v>89</v>
      </c>
      <c r="B16" s="1" t="s">
        <v>90</v>
      </c>
      <c r="C16" s="1" t="s">
        <v>68</v>
      </c>
      <c r="D16" s="3">
        <v>42.731225310599697</v>
      </c>
      <c r="E16" s="3">
        <v>-73.681762301392794</v>
      </c>
      <c r="F16" s="10">
        <f>COUNTIFS(Connections!$B$6:$B$589,A16)+COUNTIFS(Connections!$C$6:$C$589,A16)</f>
        <v>1</v>
      </c>
      <c r="G16" s="10">
        <f>COUNTIFS(Connections!$B$6:$B$589,A16,Connections!$D$6:$D$589,"TRUE")+COUNTIFS(Connections!$C$6:$C$589,A16,Connections!$D$6:$D$589,"TRUE")</f>
        <v>0</v>
      </c>
      <c r="H16" s="11" t="s">
        <v>69</v>
      </c>
      <c r="I16" s="11" t="s">
        <v>70</v>
      </c>
      <c r="J16" s="12"/>
      <c r="K16" s="11"/>
      <c r="L16" s="4"/>
      <c r="M16" s="1" t="s">
        <v>6</v>
      </c>
      <c r="N16" s="1">
        <v>8</v>
      </c>
    </row>
    <row r="17" spans="1:14" ht="23.1" customHeight="1">
      <c r="A17" s="1" t="s">
        <v>91</v>
      </c>
      <c r="B17" s="1" t="s">
        <v>92</v>
      </c>
      <c r="C17" s="1" t="s">
        <v>68</v>
      </c>
      <c r="D17" s="3">
        <v>42.732661261208698</v>
      </c>
      <c r="E17" s="3">
        <v>-73.680222203385199</v>
      </c>
      <c r="F17" s="10">
        <f>COUNTIFS(Connections!$B$6:$B$589,A17)+COUNTIFS(Connections!$C$6:$C$589,A17)</f>
        <v>2</v>
      </c>
      <c r="G17" s="10">
        <f>COUNTIFS(Connections!$B$6:$B$589,A17,Connections!$D$6:$D$589,"TRUE")+COUNTIFS(Connections!$C$6:$C$589,A17,Connections!$D$6:$D$589,"TRUE")</f>
        <v>0</v>
      </c>
      <c r="H17" s="11" t="s">
        <v>69</v>
      </c>
      <c r="I17" s="11" t="s">
        <v>70</v>
      </c>
      <c r="J17" s="12"/>
      <c r="K17" s="11"/>
      <c r="L17" s="4"/>
      <c r="M17" s="1" t="s">
        <v>6</v>
      </c>
      <c r="N17" s="1">
        <v>65</v>
      </c>
    </row>
    <row r="18" spans="1:14" ht="23.1" customHeight="1">
      <c r="A18" s="1" t="s">
        <v>93</v>
      </c>
      <c r="B18" s="1" t="s">
        <v>94</v>
      </c>
      <c r="C18" s="1" t="s">
        <v>68</v>
      </c>
      <c r="D18" s="3">
        <v>42.728729905455403</v>
      </c>
      <c r="E18" s="3">
        <v>-73.673788641631404</v>
      </c>
      <c r="F18" s="10">
        <f>COUNTIFS(Connections!$B$6:$B$589,A18)+COUNTIFS(Connections!$C$6:$C$589,A18)</f>
        <v>1</v>
      </c>
      <c r="G18" s="10">
        <f>COUNTIFS(Connections!$B$6:$B$589,A18,Connections!$D$6:$D$589,"TRUE")+COUNTIFS(Connections!$C$6:$C$589,A18,Connections!$D$6:$D$589,"TRUE")</f>
        <v>0</v>
      </c>
      <c r="H18" s="11" t="s">
        <v>69</v>
      </c>
      <c r="I18" s="11" t="s">
        <v>70</v>
      </c>
      <c r="J18" s="12"/>
      <c r="K18" s="11"/>
      <c r="L18" s="4"/>
      <c r="M18" s="1" t="s">
        <v>6</v>
      </c>
      <c r="N18" s="1">
        <v>48</v>
      </c>
    </row>
    <row r="19" spans="1:14" ht="23.1" customHeight="1">
      <c r="A19" s="1" t="s">
        <v>95</v>
      </c>
      <c r="B19" s="1" t="s">
        <v>96</v>
      </c>
      <c r="C19" s="1" t="s">
        <v>68</v>
      </c>
      <c r="D19" s="3">
        <v>42.735001060297499</v>
      </c>
      <c r="E19" s="3">
        <v>-73.663911185077296</v>
      </c>
      <c r="F19" s="10">
        <f>COUNTIFS(Connections!$B$6:$B$589,A19)+COUNTIFS(Connections!$C$6:$C$589,A19)</f>
        <v>1</v>
      </c>
      <c r="G19" s="10">
        <f>COUNTIFS(Connections!$B$6:$B$589,A19,Connections!$D$6:$D$589,"TRUE")+COUNTIFS(Connections!$C$6:$C$589,A19,Connections!$D$6:$D$589,"TRUE")</f>
        <v>0</v>
      </c>
      <c r="H19" s="11" t="s">
        <v>69</v>
      </c>
      <c r="I19" s="11" t="s">
        <v>70</v>
      </c>
      <c r="J19" s="12"/>
      <c r="K19" s="11"/>
      <c r="L19" s="4"/>
      <c r="M19" s="1" t="s">
        <v>6</v>
      </c>
      <c r="N19" s="1">
        <v>56</v>
      </c>
    </row>
    <row r="20" spans="1:14" ht="23.1" customHeight="1">
      <c r="A20" s="1" t="s">
        <v>97</v>
      </c>
      <c r="B20" s="1" t="s">
        <v>98</v>
      </c>
      <c r="C20" s="1" t="s">
        <v>68</v>
      </c>
      <c r="D20" s="3">
        <v>42.7310890611734</v>
      </c>
      <c r="E20" s="3">
        <v>-73.671242998331905</v>
      </c>
      <c r="F20" s="10">
        <f>COUNTIFS(Connections!$B$6:$B$589,A20)+COUNTIFS(Connections!$C$6:$C$589,A20)</f>
        <v>4</v>
      </c>
      <c r="G20" s="10">
        <f>COUNTIFS(Connections!$B$6:$B$589,A20,Connections!$D$6:$D$589,"TRUE")+COUNTIFS(Connections!$C$6:$C$589,A20,Connections!$D$6:$D$589,"TRUE")</f>
        <v>0</v>
      </c>
      <c r="H20" s="11" t="s">
        <v>69</v>
      </c>
      <c r="I20" s="11" t="s">
        <v>70</v>
      </c>
      <c r="J20" s="12"/>
      <c r="K20" s="11"/>
      <c r="L20" s="4"/>
      <c r="M20" s="1" t="s">
        <v>6</v>
      </c>
      <c r="N20" s="1">
        <v>50</v>
      </c>
    </row>
    <row r="21" spans="1:14" ht="23.1" customHeight="1">
      <c r="A21" s="1" t="s">
        <v>99</v>
      </c>
      <c r="B21" s="17" t="s">
        <v>100</v>
      </c>
      <c r="C21" s="1" t="s">
        <v>68</v>
      </c>
      <c r="D21" s="3">
        <v>42.730425706028498</v>
      </c>
      <c r="E21" s="3">
        <v>-73.683086272409</v>
      </c>
      <c r="F21" s="10">
        <f>COUNTIFS(Connections!$B$6:$B$589,A21)+COUNTIFS(Connections!$C$6:$C$589,A21)</f>
        <v>1</v>
      </c>
      <c r="G21" s="10">
        <f>COUNTIFS(Connections!$B$6:$B$589,A21,Connections!$D$6:$D$589,"TRUE")+COUNTIFS(Connections!$C$6:$C$589,A21,Connections!$D$6:$D$589,"TRUE")</f>
        <v>0</v>
      </c>
      <c r="H21" s="11" t="s">
        <v>69</v>
      </c>
      <c r="I21" s="11" t="s">
        <v>70</v>
      </c>
      <c r="J21" s="12"/>
      <c r="K21" s="11"/>
      <c r="L21" s="4"/>
      <c r="M21" s="1" t="s">
        <v>6</v>
      </c>
      <c r="N21" s="1">
        <v>6</v>
      </c>
    </row>
    <row r="22" spans="1:14" ht="23.1" customHeight="1">
      <c r="A22" s="1" t="s">
        <v>101</v>
      </c>
      <c r="B22" s="1" t="s">
        <v>102</v>
      </c>
      <c r="C22" s="1" t="s">
        <v>68</v>
      </c>
      <c r="D22" s="3">
        <v>42.7288576188582</v>
      </c>
      <c r="E22" s="3">
        <v>-73.674629681155096</v>
      </c>
      <c r="F22" s="10">
        <f>COUNTIFS(Connections!$B$6:$B$589,A22)+COUNTIFS(Connections!$C$6:$C$589,A22)</f>
        <v>1</v>
      </c>
      <c r="G22" s="10">
        <f>COUNTIFS(Connections!$B$6:$B$589,A22,Connections!$D$6:$D$589,"TRUE")+COUNTIFS(Connections!$C$6:$C$589,A22,Connections!$D$6:$D$589,"TRUE")</f>
        <v>0</v>
      </c>
      <c r="H22" s="11" t="s">
        <v>69</v>
      </c>
      <c r="I22" s="11" t="s">
        <v>70</v>
      </c>
      <c r="J22" s="12"/>
      <c r="K22" s="11"/>
      <c r="L22" s="4"/>
      <c r="M22" s="1" t="s">
        <v>6</v>
      </c>
      <c r="N22" s="1">
        <v>47</v>
      </c>
    </row>
    <row r="23" spans="1:14" ht="23.1" customHeight="1">
      <c r="A23" s="1" t="s">
        <v>103</v>
      </c>
      <c r="B23" s="1" t="s">
        <v>104</v>
      </c>
      <c r="C23" s="1" t="s">
        <v>68</v>
      </c>
      <c r="D23" s="3">
        <v>42.728225305769598</v>
      </c>
      <c r="E23" s="3">
        <v>-73.678451283345296</v>
      </c>
      <c r="F23" s="10">
        <f>COUNTIFS(Connections!$B$6:$B$589,A23)+COUNTIFS(Connections!$C$6:$C$589,A23)</f>
        <v>1</v>
      </c>
      <c r="G23" s="10">
        <f>COUNTIFS(Connections!$B$6:$B$589,A23,Connections!$D$6:$D$589,"TRUE")+COUNTIFS(Connections!$C$6:$C$589,A23,Connections!$D$6:$D$589,"TRUE")</f>
        <v>0</v>
      </c>
      <c r="H23" s="11" t="s">
        <v>69</v>
      </c>
      <c r="I23" s="11" t="s">
        <v>70</v>
      </c>
      <c r="J23" s="12"/>
      <c r="K23" s="11"/>
      <c r="L23" s="4"/>
      <c r="M23" s="1" t="s">
        <v>6</v>
      </c>
      <c r="N23" s="1">
        <v>62</v>
      </c>
    </row>
    <row r="24" spans="1:14" ht="23.1" customHeight="1">
      <c r="A24" s="1" t="s">
        <v>105</v>
      </c>
      <c r="B24" s="1" t="s">
        <v>106</v>
      </c>
      <c r="C24" s="1" t="s">
        <v>68</v>
      </c>
      <c r="D24" s="3">
        <v>42.731796359670199</v>
      </c>
      <c r="E24" s="3">
        <v>-73.672253994981503</v>
      </c>
      <c r="F24" s="10">
        <f>COUNTIFS(Connections!$B$6:$B$589,A24)+COUNTIFS(Connections!$C$6:$C$589,A24)</f>
        <v>1</v>
      </c>
      <c r="G24" s="10">
        <f>COUNTIFS(Connections!$B$6:$B$589,A24,Connections!$D$6:$D$589,"TRUE")+COUNTIFS(Connections!$C$6:$C$589,A24,Connections!$D$6:$D$589,"TRUE")</f>
        <v>0</v>
      </c>
      <c r="H24" s="11" t="s">
        <v>69</v>
      </c>
      <c r="I24" s="11" t="s">
        <v>70</v>
      </c>
      <c r="J24" s="12"/>
      <c r="K24" s="11"/>
      <c r="L24" s="4"/>
      <c r="M24" s="1" t="s">
        <v>6</v>
      </c>
      <c r="N24" s="1">
        <v>49</v>
      </c>
    </row>
    <row r="25" spans="1:14" ht="23.1" customHeight="1">
      <c r="A25" s="1" t="s">
        <v>107</v>
      </c>
      <c r="B25" s="1" t="s">
        <v>108</v>
      </c>
      <c r="C25" s="1" t="s">
        <v>68</v>
      </c>
      <c r="D25" s="3">
        <v>42.728181991284501</v>
      </c>
      <c r="E25" s="3">
        <v>-73.681251050652406</v>
      </c>
      <c r="F25" s="10">
        <f>COUNTIFS(Connections!$B$6:$B$589,A25)+COUNTIFS(Connections!$C$6:$C$589,A25)</f>
        <v>2</v>
      </c>
      <c r="G25" s="10">
        <f>COUNTIFS(Connections!$B$6:$B$589,A25,Connections!$D$6:$D$589,"TRUE")+COUNTIFS(Connections!$C$6:$C$589,A25,Connections!$D$6:$D$589,"TRUE")</f>
        <v>0</v>
      </c>
      <c r="H25" s="11" t="s">
        <v>69</v>
      </c>
      <c r="I25" s="11" t="s">
        <v>70</v>
      </c>
      <c r="J25" s="12"/>
      <c r="K25" s="11"/>
      <c r="L25" s="4"/>
      <c r="M25" s="1" t="s">
        <v>6</v>
      </c>
      <c r="N25" s="1">
        <v>21</v>
      </c>
    </row>
    <row r="26" spans="1:14" ht="23.1" customHeight="1">
      <c r="A26" s="1" t="s">
        <v>109</v>
      </c>
      <c r="B26" s="1" t="s">
        <v>110</v>
      </c>
      <c r="C26" s="1" t="s">
        <v>68</v>
      </c>
      <c r="D26" s="3">
        <v>42.737063131193402</v>
      </c>
      <c r="E26" s="3">
        <v>-73.669891845566596</v>
      </c>
      <c r="F26" s="10">
        <f>COUNTIFS(Connections!$B$6:$B$589,A26)+COUNTIFS(Connections!$C$6:$C$589,A26)</f>
        <v>1</v>
      </c>
      <c r="G26" s="10">
        <f>COUNTIFS(Connections!$B$6:$B$589,A26,Connections!$D$6:$D$589,"TRUE")+COUNTIFS(Connections!$C$6:$C$589,A26,Connections!$D$6:$D$589,"TRUE")</f>
        <v>0</v>
      </c>
      <c r="H26" s="11" t="s">
        <v>69</v>
      </c>
      <c r="I26" s="11" t="s">
        <v>70</v>
      </c>
      <c r="J26" s="12"/>
      <c r="K26" s="11"/>
      <c r="L26" s="4"/>
      <c r="M26" s="1" t="s">
        <v>6</v>
      </c>
      <c r="N26" s="1">
        <v>58</v>
      </c>
    </row>
    <row r="27" spans="1:14" ht="23.1" customHeight="1">
      <c r="A27" s="1" t="s">
        <v>111</v>
      </c>
      <c r="B27" s="1" t="s">
        <v>112</v>
      </c>
      <c r="C27" s="1" t="s">
        <v>68</v>
      </c>
      <c r="D27" s="3">
        <v>42.728296950013203</v>
      </c>
      <c r="E27" s="3">
        <v>-73.674312099507205</v>
      </c>
      <c r="F27" s="10">
        <f>COUNTIFS(Connections!$B$6:$B$589,A27)+COUNTIFS(Connections!$C$6:$C$589,A27)</f>
        <v>1</v>
      </c>
      <c r="G27" s="10">
        <f>COUNTIFS(Connections!$B$6:$B$589,A27,Connections!$D$6:$D$589,"TRUE")+COUNTIFS(Connections!$C$6:$C$589,A27,Connections!$D$6:$D$589,"TRUE")</f>
        <v>0</v>
      </c>
      <c r="H27" s="11" t="s">
        <v>69</v>
      </c>
      <c r="I27" s="11" t="s">
        <v>70</v>
      </c>
      <c r="J27" s="12"/>
      <c r="K27" s="11"/>
      <c r="L27" s="4"/>
      <c r="M27" s="1" t="s">
        <v>6</v>
      </c>
      <c r="N27" s="1">
        <v>39</v>
      </c>
    </row>
    <row r="28" spans="1:14" ht="23.1" customHeight="1">
      <c r="A28" s="1" t="s">
        <v>113</v>
      </c>
      <c r="B28" s="1" t="s">
        <v>114</v>
      </c>
      <c r="C28" s="1" t="s">
        <v>68</v>
      </c>
      <c r="D28" s="3">
        <v>42.728307605693502</v>
      </c>
      <c r="E28" s="3">
        <v>-73.673507334067594</v>
      </c>
      <c r="F28" s="10">
        <f>COUNTIFS(Connections!$B$6:$B$589,A28)+COUNTIFS(Connections!$C$6:$C$589,A28)</f>
        <v>1</v>
      </c>
      <c r="G28" s="10">
        <f>COUNTIFS(Connections!$B$6:$B$589,A28,Connections!$D$6:$D$589,"TRUE")+COUNTIFS(Connections!$C$6:$C$589,A28,Connections!$D$6:$D$589,"TRUE")</f>
        <v>0</v>
      </c>
      <c r="H28" s="11" t="s">
        <v>69</v>
      </c>
      <c r="I28" s="11" t="s">
        <v>70</v>
      </c>
      <c r="J28" s="12"/>
      <c r="K28" s="11"/>
      <c r="L28" s="4"/>
      <c r="M28" s="1" t="s">
        <v>6</v>
      </c>
      <c r="N28" s="1">
        <v>40</v>
      </c>
    </row>
    <row r="29" spans="1:14" ht="23.1" customHeight="1">
      <c r="A29" s="1" t="s">
        <v>115</v>
      </c>
      <c r="B29" s="1" t="s">
        <v>116</v>
      </c>
      <c r="C29" s="1" t="s">
        <v>68</v>
      </c>
      <c r="D29" s="3">
        <v>42.729471008566897</v>
      </c>
      <c r="E29" s="3">
        <v>-73.679255392823407</v>
      </c>
      <c r="F29" s="10">
        <f>COUNTIFS(Connections!$B$6:$B$589,A29)+COUNTIFS(Connections!$C$6:$C$589,A29)</f>
        <v>1</v>
      </c>
      <c r="G29" s="10">
        <f>COUNTIFS(Connections!$B$6:$B$589,A29,Connections!$D$6:$D$589,"TRUE")+COUNTIFS(Connections!$C$6:$C$589,A29,Connections!$D$6:$D$589,"TRUE")</f>
        <v>0</v>
      </c>
      <c r="H29" s="11" t="s">
        <v>69</v>
      </c>
      <c r="I29" s="11" t="s">
        <v>70</v>
      </c>
      <c r="J29" s="12"/>
      <c r="K29" s="11"/>
      <c r="L29" s="4"/>
      <c r="M29" s="1" t="s">
        <v>6</v>
      </c>
      <c r="N29" s="1">
        <v>18</v>
      </c>
    </row>
    <row r="30" spans="1:14" ht="23.1" customHeight="1">
      <c r="A30" s="1" t="s">
        <v>117</v>
      </c>
      <c r="B30" s="1" t="s">
        <v>118</v>
      </c>
      <c r="C30" s="1" t="s">
        <v>68</v>
      </c>
      <c r="D30" s="3">
        <v>42.727245391554703</v>
      </c>
      <c r="E30" s="3">
        <v>-73.674084880128305</v>
      </c>
      <c r="F30" s="10">
        <f>COUNTIFS(Connections!$B$6:$B$589,A30)+COUNTIFS(Connections!$C$6:$C$589,A30)</f>
        <v>1</v>
      </c>
      <c r="G30" s="10">
        <f>COUNTIFS(Connections!$B$6:$B$589,A30,Connections!$D$6:$D$589,"TRUE")+COUNTIFS(Connections!$C$6:$C$589,A30,Connections!$D$6:$D$589,"TRUE")</f>
        <v>0</v>
      </c>
      <c r="H30" s="11" t="s">
        <v>69</v>
      </c>
      <c r="I30" s="11" t="s">
        <v>70</v>
      </c>
      <c r="J30" s="12"/>
      <c r="K30" s="11"/>
      <c r="L30" s="4"/>
      <c r="M30" s="1" t="s">
        <v>6</v>
      </c>
      <c r="N30" s="1">
        <v>42</v>
      </c>
    </row>
    <row r="31" spans="1:14" ht="23.1" customHeight="1">
      <c r="A31" s="1" t="s">
        <v>119</v>
      </c>
      <c r="B31" s="1" t="s">
        <v>120</v>
      </c>
      <c r="C31" s="1" t="s">
        <v>68</v>
      </c>
      <c r="D31" s="3">
        <v>42.731376948003302</v>
      </c>
      <c r="E31" s="3">
        <v>-73.6791896873967</v>
      </c>
      <c r="F31" s="10">
        <f>COUNTIFS(Connections!$B$6:$B$589,A31)+COUNTIFS(Connections!$C$6:$C$589,A31)</f>
        <v>1</v>
      </c>
      <c r="G31" s="10">
        <f>COUNTIFS(Connections!$B$6:$B$589,A31,Connections!$D$6:$D$589,"TRUE")+COUNTIFS(Connections!$C$6:$C$589,A31,Connections!$D$6:$D$589,"TRUE")</f>
        <v>0</v>
      </c>
      <c r="H31" s="11" t="s">
        <v>69</v>
      </c>
      <c r="I31" s="11" t="s">
        <v>70</v>
      </c>
      <c r="J31" s="12"/>
      <c r="K31" s="11"/>
      <c r="L31" s="4"/>
      <c r="M31" s="1" t="s">
        <v>6</v>
      </c>
      <c r="N31" s="1">
        <v>12</v>
      </c>
    </row>
    <row r="32" spans="1:14" ht="23.1" customHeight="1">
      <c r="A32" s="1" t="s">
        <v>121</v>
      </c>
      <c r="B32" s="1" t="s">
        <v>122</v>
      </c>
      <c r="C32" s="1" t="s">
        <v>68</v>
      </c>
      <c r="D32" s="3">
        <v>42.732367962673003</v>
      </c>
      <c r="E32" s="3">
        <v>-73.667623793353201</v>
      </c>
      <c r="F32" s="10">
        <f>COUNTIFS(Connections!$B$6:$B$589,A32)+COUNTIFS(Connections!$C$6:$C$589,A32)</f>
        <v>1</v>
      </c>
      <c r="G32" s="10">
        <f>COUNTIFS(Connections!$B$6:$B$589,A32,Connections!$D$6:$D$589,"TRUE")+COUNTIFS(Connections!$C$6:$C$589,A32,Connections!$D$6:$D$589,"TRUE")</f>
        <v>0</v>
      </c>
      <c r="H32" s="11" t="s">
        <v>69</v>
      </c>
      <c r="I32" s="11" t="s">
        <v>70</v>
      </c>
      <c r="J32" s="12"/>
      <c r="K32" s="11"/>
      <c r="L32" s="4"/>
      <c r="M32" s="1" t="s">
        <v>6</v>
      </c>
      <c r="N32" s="1">
        <v>60</v>
      </c>
    </row>
    <row r="33" spans="1:14" ht="23.1" customHeight="1">
      <c r="A33" s="1" t="s">
        <v>123</v>
      </c>
      <c r="B33" s="1" t="s">
        <v>124</v>
      </c>
      <c r="C33" s="1" t="s">
        <v>68</v>
      </c>
      <c r="D33" s="3">
        <v>42.728895524904502</v>
      </c>
      <c r="E33" s="3">
        <v>-73.683612830338305</v>
      </c>
      <c r="F33" s="10">
        <f>COUNTIFS(Connections!$B$6:$B$589,A33)+COUNTIFS(Connections!$C$6:$C$589,A33)</f>
        <v>1</v>
      </c>
      <c r="G33" s="10">
        <f>COUNTIFS(Connections!$B$6:$B$589,A33,Connections!$D$6:$D$589,"TRUE")+COUNTIFS(Connections!$C$6:$C$589,A33,Connections!$D$6:$D$589,"TRUE")</f>
        <v>0</v>
      </c>
      <c r="H33" s="11" t="s">
        <v>69</v>
      </c>
      <c r="I33" s="11" t="s">
        <v>70</v>
      </c>
      <c r="J33" s="12"/>
      <c r="K33" s="11"/>
      <c r="L33" s="4"/>
      <c r="M33" s="1" t="s">
        <v>6</v>
      </c>
      <c r="N33" s="1">
        <v>64</v>
      </c>
    </row>
    <row r="34" spans="1:14" ht="23.1" customHeight="1">
      <c r="A34" s="1" t="s">
        <v>125</v>
      </c>
      <c r="B34" s="1" t="s">
        <v>126</v>
      </c>
      <c r="C34" s="1" t="s">
        <v>68</v>
      </c>
      <c r="D34" s="3">
        <v>42.729346823390202</v>
      </c>
      <c r="E34" s="3">
        <v>-73.682548175425595</v>
      </c>
      <c r="F34" s="10">
        <f>COUNTIFS(Connections!$B$6:$B$589,A34)+COUNTIFS(Connections!$C$6:$C$589,A34)</f>
        <v>4</v>
      </c>
      <c r="G34" s="10">
        <f>COUNTIFS(Connections!$B$6:$B$589,A34,Connections!$D$6:$D$589,"TRUE")+COUNTIFS(Connections!$C$6:$C$589,A34,Connections!$D$6:$D$589,"TRUE")</f>
        <v>0</v>
      </c>
      <c r="H34" s="11" t="s">
        <v>69</v>
      </c>
      <c r="I34" s="11" t="s">
        <v>70</v>
      </c>
      <c r="J34" s="12"/>
      <c r="K34" s="11"/>
      <c r="L34" s="4"/>
      <c r="M34" s="1" t="s">
        <v>6</v>
      </c>
      <c r="N34" s="1">
        <v>24</v>
      </c>
    </row>
    <row r="35" spans="1:14" ht="23.1" customHeight="1">
      <c r="A35" s="1" t="s">
        <v>127</v>
      </c>
      <c r="B35" s="1" t="s">
        <v>128</v>
      </c>
      <c r="C35" s="1" t="s">
        <v>68</v>
      </c>
      <c r="D35" s="3">
        <v>42.730018014374501</v>
      </c>
      <c r="E35" s="3">
        <v>-73.681169336383604</v>
      </c>
      <c r="F35" s="10">
        <f>COUNTIFS(Connections!$B$6:$B$589,A35)+COUNTIFS(Connections!$C$6:$C$589,A35)</f>
        <v>2</v>
      </c>
      <c r="G35" s="10">
        <f>COUNTIFS(Connections!$B$6:$B$589,A35,Connections!$D$6:$D$589,"TRUE")+COUNTIFS(Connections!$C$6:$C$589,A35,Connections!$D$6:$D$589,"TRUE")</f>
        <v>0</v>
      </c>
      <c r="H35" s="11" t="s">
        <v>69</v>
      </c>
      <c r="I35" s="11" t="s">
        <v>70</v>
      </c>
      <c r="J35" s="12"/>
      <c r="K35" s="11"/>
      <c r="L35" s="4"/>
      <c r="M35" s="1" t="s">
        <v>6</v>
      </c>
      <c r="N35" s="1">
        <v>25</v>
      </c>
    </row>
    <row r="36" spans="1:14" ht="23.1" customHeight="1">
      <c r="A36" s="1" t="s">
        <v>129</v>
      </c>
      <c r="B36" s="1" t="s">
        <v>130</v>
      </c>
      <c r="C36" s="1" t="s">
        <v>68</v>
      </c>
      <c r="D36" s="3">
        <v>42.7288083242615</v>
      </c>
      <c r="E36" s="3">
        <v>-73.667949654752604</v>
      </c>
      <c r="F36" s="10">
        <f>COUNTIFS(Connections!$B$6:$B$589,A36)+COUNTIFS(Connections!$C$6:$C$589,A36)</f>
        <v>1</v>
      </c>
      <c r="G36" s="10">
        <f>COUNTIFS(Connections!$B$6:$B$589,A36,Connections!$D$6:$D$589,"TRUE")+COUNTIFS(Connections!$C$6:$C$589,A36,Connections!$D$6:$D$589,"TRUE")</f>
        <v>0</v>
      </c>
      <c r="H36" s="11" t="s">
        <v>69</v>
      </c>
      <c r="I36" s="11" t="s">
        <v>70</v>
      </c>
      <c r="J36" s="12"/>
      <c r="K36" s="11"/>
      <c r="L36" s="4"/>
      <c r="M36" s="1" t="s">
        <v>6</v>
      </c>
      <c r="N36" s="1">
        <v>53</v>
      </c>
    </row>
    <row r="37" spans="1:14" ht="23.1" customHeight="1">
      <c r="A37" s="1" t="s">
        <v>131</v>
      </c>
      <c r="B37" s="1" t="s">
        <v>132</v>
      </c>
      <c r="C37" s="1" t="s">
        <v>68</v>
      </c>
      <c r="D37" s="3">
        <v>42.732603318768902</v>
      </c>
      <c r="E37" s="3">
        <v>-73.679218904207701</v>
      </c>
      <c r="F37" s="10">
        <f>COUNTIFS(Connections!$B$6:$B$589,A37)+COUNTIFS(Connections!$C$6:$C$589,A37)</f>
        <v>1</v>
      </c>
      <c r="G37" s="10">
        <f>COUNTIFS(Connections!$B$6:$B$589,A37,Connections!$D$6:$D$589,"TRUE")+COUNTIFS(Connections!$C$6:$C$589,A37,Connections!$D$6:$D$589,"TRUE")</f>
        <v>0</v>
      </c>
      <c r="H37" s="11" t="s">
        <v>69</v>
      </c>
      <c r="I37" s="11" t="s">
        <v>70</v>
      </c>
      <c r="J37" s="12"/>
      <c r="K37" s="11"/>
      <c r="L37" s="4"/>
      <c r="M37" s="1" t="s">
        <v>6</v>
      </c>
      <c r="N37" s="1">
        <v>32</v>
      </c>
    </row>
    <row r="38" spans="1:14" ht="23.1" customHeight="1">
      <c r="A38" s="1" t="s">
        <v>133</v>
      </c>
      <c r="B38" s="1" t="s">
        <v>134</v>
      </c>
      <c r="C38" s="1" t="s">
        <v>68</v>
      </c>
      <c r="D38" s="3">
        <v>42.728555203011403</v>
      </c>
      <c r="E38" s="3">
        <v>-73.675146178372898</v>
      </c>
      <c r="F38" s="10">
        <f>COUNTIFS(Connections!$B$6:$B$589,A38)+COUNTIFS(Connections!$C$6:$C$589,A38)</f>
        <v>1</v>
      </c>
      <c r="G38" s="10">
        <f>COUNTIFS(Connections!$B$6:$B$589,A38,Connections!$D$6:$D$589,"TRUE")+COUNTIFS(Connections!$C$6:$C$589,A38,Connections!$D$6:$D$589,"TRUE")</f>
        <v>0</v>
      </c>
      <c r="H38" s="11" t="s">
        <v>69</v>
      </c>
      <c r="I38" s="11" t="s">
        <v>70</v>
      </c>
      <c r="J38" s="12"/>
      <c r="K38" s="11"/>
      <c r="L38" s="4"/>
      <c r="M38" s="1" t="s">
        <v>6</v>
      </c>
      <c r="N38" s="1">
        <v>46</v>
      </c>
    </row>
    <row r="39" spans="1:14" ht="23.1" customHeight="1">
      <c r="A39" s="1" t="s">
        <v>135</v>
      </c>
      <c r="B39" s="1" t="s">
        <v>136</v>
      </c>
      <c r="C39" s="1" t="s">
        <v>68</v>
      </c>
      <c r="D39" s="3">
        <v>42.733155523838398</v>
      </c>
      <c r="E39" s="3">
        <v>-73.668911091054397</v>
      </c>
      <c r="F39" s="10">
        <f>COUNTIFS(Connections!$B$6:$B$589,A39)+COUNTIFS(Connections!$C$6:$C$589,A39)</f>
        <v>1</v>
      </c>
      <c r="G39" s="10">
        <f>COUNTIFS(Connections!$B$6:$B$589,A39,Connections!$D$6:$D$589,"TRUE")+COUNTIFS(Connections!$C$6:$C$589,A39,Connections!$D$6:$D$589,"TRUE")</f>
        <v>0</v>
      </c>
      <c r="H39" s="11" t="s">
        <v>69</v>
      </c>
      <c r="I39" s="11" t="s">
        <v>70</v>
      </c>
      <c r="J39" s="12"/>
      <c r="K39" s="11"/>
      <c r="L39" s="4"/>
      <c r="M39" s="1" t="s">
        <v>6</v>
      </c>
      <c r="N39" s="1">
        <v>68</v>
      </c>
    </row>
    <row r="40" spans="1:14" ht="23.1" customHeight="1">
      <c r="A40" s="1" t="s">
        <v>137</v>
      </c>
      <c r="B40" s="1" t="s">
        <v>138</v>
      </c>
      <c r="C40" s="1" t="s">
        <v>68</v>
      </c>
      <c r="D40" s="3">
        <v>42.7328920544551</v>
      </c>
      <c r="E40" s="3">
        <v>-73.678166768821001</v>
      </c>
      <c r="F40" s="10">
        <f>COUNTIFS(Connections!$B$6:$B$589,A40)+COUNTIFS(Connections!$C$6:$C$589,A40)</f>
        <v>1</v>
      </c>
      <c r="G40" s="10">
        <f>COUNTIFS(Connections!$B$6:$B$589,A40,Connections!$D$6:$D$589,"TRUE")+COUNTIFS(Connections!$C$6:$C$589,A40,Connections!$D$6:$D$589,"TRUE")</f>
        <v>0</v>
      </c>
      <c r="H40" s="11" t="s">
        <v>69</v>
      </c>
      <c r="I40" s="11" t="s">
        <v>70</v>
      </c>
      <c r="J40" s="12"/>
      <c r="K40" s="11"/>
      <c r="L40" s="4"/>
      <c r="M40" s="1" t="s">
        <v>6</v>
      </c>
      <c r="N40" s="1">
        <v>33</v>
      </c>
    </row>
    <row r="41" spans="1:14" ht="23.1" customHeight="1">
      <c r="A41" s="1" t="s">
        <v>139</v>
      </c>
      <c r="B41" s="1" t="s">
        <v>140</v>
      </c>
      <c r="C41" s="1" t="s">
        <v>68</v>
      </c>
      <c r="D41" s="3">
        <v>42.732143739525597</v>
      </c>
      <c r="E41" s="3">
        <v>-73.669650640565493</v>
      </c>
      <c r="F41" s="10">
        <f>COUNTIFS(Connections!$B$6:$B$589,A41)+COUNTIFS(Connections!$C$6:$C$589,A41)</f>
        <v>2</v>
      </c>
      <c r="G41" s="10">
        <f>COUNTIFS(Connections!$B$6:$B$589,A41,Connections!$D$6:$D$589,"TRUE")+COUNTIFS(Connections!$C$6:$C$589,A41,Connections!$D$6:$D$589,"TRUE")</f>
        <v>0</v>
      </c>
      <c r="H41" s="11" t="s">
        <v>69</v>
      </c>
      <c r="I41" s="11" t="s">
        <v>70</v>
      </c>
      <c r="J41" s="12"/>
      <c r="K41" s="11"/>
      <c r="L41" s="4"/>
      <c r="M41" s="1" t="s">
        <v>6</v>
      </c>
      <c r="N41" s="1">
        <v>51</v>
      </c>
    </row>
    <row r="42" spans="1:14" ht="23.1" customHeight="1">
      <c r="A42" s="1" t="s">
        <v>141</v>
      </c>
      <c r="B42" s="1" t="s">
        <v>142</v>
      </c>
      <c r="C42" s="1" t="s">
        <v>68</v>
      </c>
      <c r="D42" s="3">
        <v>42.733169239406401</v>
      </c>
      <c r="E42" s="3">
        <v>-73.6798983927157</v>
      </c>
      <c r="F42" s="10">
        <f>COUNTIFS(Connections!$B$6:$B$589,A42)+COUNTIFS(Connections!$C$6:$C$589,A42)</f>
        <v>1</v>
      </c>
      <c r="G42" s="10">
        <f>COUNTIFS(Connections!$B$6:$B$589,A42,Connections!$D$6:$D$589,"TRUE")+COUNTIFS(Connections!$C$6:$C$589,A42,Connections!$D$6:$D$589,"TRUE")</f>
        <v>0</v>
      </c>
      <c r="H42" s="11" t="s">
        <v>69</v>
      </c>
      <c r="I42" s="11" t="s">
        <v>70</v>
      </c>
      <c r="J42" s="12"/>
      <c r="K42" s="11"/>
      <c r="L42" s="4"/>
      <c r="M42" s="1" t="s">
        <v>6</v>
      </c>
      <c r="N42" s="1">
        <v>31</v>
      </c>
    </row>
    <row r="43" spans="1:14" ht="23.1" customHeight="1">
      <c r="A43" s="1" t="s">
        <v>143</v>
      </c>
      <c r="B43" s="1" t="s">
        <v>144</v>
      </c>
      <c r="C43" s="1" t="s">
        <v>68</v>
      </c>
      <c r="D43" s="3">
        <v>42.729602379214398</v>
      </c>
      <c r="E43" s="3">
        <v>-73.680187611479596</v>
      </c>
      <c r="F43" s="10">
        <f>COUNTIFS(Connections!$B$6:$B$589,A43)+COUNTIFS(Connections!$C$6:$C$589,A43)</f>
        <v>2</v>
      </c>
      <c r="G43" s="10">
        <f>COUNTIFS(Connections!$B$6:$B$589,A43,Connections!$D$6:$D$589,"TRUE")+COUNTIFS(Connections!$C$6:$C$589,A43,Connections!$D$6:$D$589,"TRUE")</f>
        <v>0</v>
      </c>
      <c r="H43" s="11" t="s">
        <v>69</v>
      </c>
      <c r="I43" s="11" t="s">
        <v>70</v>
      </c>
      <c r="J43" s="12"/>
      <c r="K43" s="11"/>
      <c r="L43" s="4"/>
      <c r="M43" s="1" t="s">
        <v>6</v>
      </c>
      <c r="N43" s="1">
        <v>19</v>
      </c>
    </row>
    <row r="44" spans="1:14" ht="23.1" customHeight="1">
      <c r="A44" s="1" t="s">
        <v>145</v>
      </c>
      <c r="B44" s="1" t="s">
        <v>146</v>
      </c>
      <c r="C44" s="1" t="s">
        <v>68</v>
      </c>
      <c r="D44" s="3">
        <v>42.728819697693901</v>
      </c>
      <c r="E44" s="3">
        <v>-73.680378478024394</v>
      </c>
      <c r="F44" s="10">
        <f>COUNTIFS(Connections!$B$6:$B$589,A44)+COUNTIFS(Connections!$C$6:$C$589,A44)</f>
        <v>1</v>
      </c>
      <c r="G44" s="10">
        <f>COUNTIFS(Connections!$B$6:$B$589,A44,Connections!$D$6:$D$589,"TRUE")+COUNTIFS(Connections!$C$6:$C$589,A44,Connections!$D$6:$D$589,"TRUE")</f>
        <v>0</v>
      </c>
      <c r="H44" s="11" t="s">
        <v>69</v>
      </c>
      <c r="I44" s="11" t="s">
        <v>70</v>
      </c>
      <c r="J44" s="12"/>
      <c r="K44" s="11"/>
      <c r="L44" s="4"/>
      <c r="M44" s="1" t="s">
        <v>6</v>
      </c>
      <c r="N44" s="1">
        <v>20</v>
      </c>
    </row>
    <row r="45" spans="1:14" ht="23.1" customHeight="1">
      <c r="A45" s="1" t="s">
        <v>147</v>
      </c>
      <c r="B45" s="17" t="s">
        <v>148</v>
      </c>
      <c r="C45" s="1" t="s">
        <v>68</v>
      </c>
      <c r="D45" s="3">
        <v>42.730139609469902</v>
      </c>
      <c r="E45" s="3">
        <v>-73.681889776954193</v>
      </c>
      <c r="F45" s="10">
        <f>COUNTIFS(Connections!$B$6:$B$589,A45)+COUNTIFS(Connections!$C$6:$C$589,A45)</f>
        <v>1</v>
      </c>
      <c r="G45" s="10">
        <f>COUNTIFS(Connections!$B$6:$B$589,A45,Connections!$D$6:$D$589,"TRUE")+COUNTIFS(Connections!$C$6:$C$589,A45,Connections!$D$6:$D$589,"TRUE")</f>
        <v>0</v>
      </c>
      <c r="H45" s="11" t="s">
        <v>69</v>
      </c>
      <c r="I45" s="11" t="s">
        <v>70</v>
      </c>
      <c r="J45" s="12"/>
      <c r="K45" s="11"/>
      <c r="L45" s="4"/>
      <c r="M45" s="1" t="s">
        <v>6</v>
      </c>
      <c r="N45" s="1">
        <v>26</v>
      </c>
    </row>
    <row r="46" spans="1:14" ht="23.1" customHeight="1">
      <c r="A46" s="1" t="s">
        <v>149</v>
      </c>
      <c r="B46" s="1" t="s">
        <v>150</v>
      </c>
      <c r="C46" s="1" t="s">
        <v>68</v>
      </c>
      <c r="D46" s="3">
        <v>42.729402545225099</v>
      </c>
      <c r="E46" s="3">
        <v>-73.678687021337595</v>
      </c>
      <c r="F46" s="10">
        <f>COUNTIFS(Connections!$B$6:$B$589,A46)+COUNTIFS(Connections!$C$6:$C$589,A46)</f>
        <v>1</v>
      </c>
      <c r="G46" s="10">
        <f>COUNTIFS(Connections!$B$6:$B$589,A46,Connections!$D$6:$D$589,"TRUE")+COUNTIFS(Connections!$C$6:$C$589,A46,Connections!$D$6:$D$589,"TRUE")</f>
        <v>0</v>
      </c>
      <c r="H46" s="11" t="s">
        <v>69</v>
      </c>
      <c r="I46" s="11" t="s">
        <v>70</v>
      </c>
      <c r="J46" s="12"/>
      <c r="K46" s="11"/>
      <c r="L46" s="4"/>
      <c r="M46" s="1" t="s">
        <v>6</v>
      </c>
      <c r="N46" s="1">
        <v>16</v>
      </c>
    </row>
    <row r="47" spans="1:14" ht="23.1" customHeight="1">
      <c r="A47" s="1" t="s">
        <v>151</v>
      </c>
      <c r="B47" s="1" t="s">
        <v>152</v>
      </c>
      <c r="C47" s="1" t="s">
        <v>68</v>
      </c>
      <c r="D47" s="3">
        <v>42.728313382796699</v>
      </c>
      <c r="E47" s="3">
        <v>-73.681968858644296</v>
      </c>
      <c r="F47" s="10">
        <f>COUNTIFS(Connections!$B$6:$B$589,A47)+COUNTIFS(Connections!$C$6:$C$589,A47)</f>
        <v>2</v>
      </c>
      <c r="G47" s="10">
        <f>COUNTIFS(Connections!$B$6:$B$589,A47,Connections!$D$6:$D$589,"TRUE")+COUNTIFS(Connections!$C$6:$C$589,A47,Connections!$D$6:$D$589,"TRUE")</f>
        <v>0</v>
      </c>
      <c r="H47" s="11" t="s">
        <v>69</v>
      </c>
      <c r="I47" s="11" t="s">
        <v>70</v>
      </c>
      <c r="J47" s="12"/>
      <c r="K47" s="11"/>
      <c r="L47" s="4"/>
      <c r="M47" s="1" t="s">
        <v>6</v>
      </c>
      <c r="N47" s="1">
        <v>22</v>
      </c>
    </row>
    <row r="48" spans="1:14" ht="23.1" customHeight="1">
      <c r="A48" s="1" t="s">
        <v>153</v>
      </c>
      <c r="B48" s="1" t="s">
        <v>154</v>
      </c>
      <c r="C48" s="1" t="s">
        <v>68</v>
      </c>
      <c r="D48" s="3">
        <v>42.728805307565999</v>
      </c>
      <c r="E48" s="3">
        <v>-73.676912237268795</v>
      </c>
      <c r="F48" s="10">
        <f>COUNTIFS(Connections!$B$6:$B$589,A48)+COUNTIFS(Connections!$C$6:$C$589,A48)</f>
        <v>2</v>
      </c>
      <c r="G48" s="10">
        <f>COUNTIFS(Connections!$B$6:$B$589,A48,Connections!$D$6:$D$589,"TRUE")+COUNTIFS(Connections!$C$6:$C$589,A48,Connections!$D$6:$D$589,"TRUE")</f>
        <v>0</v>
      </c>
      <c r="H48" s="11" t="s">
        <v>69</v>
      </c>
      <c r="I48" s="11" t="s">
        <v>70</v>
      </c>
      <c r="J48" s="12"/>
      <c r="K48" s="11"/>
      <c r="L48" s="4"/>
      <c r="M48" s="1" t="s">
        <v>6</v>
      </c>
      <c r="N48" s="1">
        <v>37</v>
      </c>
    </row>
    <row r="49" spans="1:14" ht="23.1" customHeight="1">
      <c r="A49" s="1" t="s">
        <v>155</v>
      </c>
      <c r="B49" s="1" t="s">
        <v>156</v>
      </c>
      <c r="C49" s="1" t="s">
        <v>68</v>
      </c>
      <c r="D49" s="3">
        <v>42.727659785463999</v>
      </c>
      <c r="E49" s="3">
        <v>-73.673629142534494</v>
      </c>
      <c r="F49" s="10">
        <f>COUNTIFS(Connections!$B$6:$B$589,A49)+COUNTIFS(Connections!$C$6:$C$589,A49)</f>
        <v>1</v>
      </c>
      <c r="G49" s="10">
        <f>COUNTIFS(Connections!$B$6:$B$589,A49,Connections!$D$6:$D$589,"TRUE")+COUNTIFS(Connections!$C$6:$C$589,A49,Connections!$D$6:$D$589,"TRUE")</f>
        <v>0</v>
      </c>
      <c r="H49" s="11" t="s">
        <v>69</v>
      </c>
      <c r="I49" s="11" t="s">
        <v>70</v>
      </c>
      <c r="J49" s="12"/>
      <c r="K49" s="11"/>
      <c r="L49" s="4"/>
      <c r="M49" s="1" t="s">
        <v>6</v>
      </c>
      <c r="N49" s="1">
        <v>41</v>
      </c>
    </row>
    <row r="50" spans="1:14" ht="23.1" customHeight="1">
      <c r="A50" s="1" t="s">
        <v>157</v>
      </c>
      <c r="B50" s="1" t="s">
        <v>158</v>
      </c>
      <c r="C50" s="1" t="s">
        <v>68</v>
      </c>
      <c r="D50" s="3">
        <v>42.731361090371102</v>
      </c>
      <c r="E50" s="3">
        <v>-73.679827889248401</v>
      </c>
      <c r="F50" s="10">
        <f>COUNTIFS(Connections!$B$6:$B$589,A50)+COUNTIFS(Connections!$C$6:$C$589,A50)</f>
        <v>1</v>
      </c>
      <c r="G50" s="10">
        <f>COUNTIFS(Connections!$B$6:$B$589,A50,Connections!$D$6:$D$589,"TRUE")+COUNTIFS(Connections!$C$6:$C$589,A50,Connections!$D$6:$D$589,"TRUE")</f>
        <v>0</v>
      </c>
      <c r="H50" s="11" t="s">
        <v>69</v>
      </c>
      <c r="I50" s="11" t="s">
        <v>70</v>
      </c>
      <c r="J50" s="12"/>
      <c r="K50" s="11"/>
      <c r="L50" s="4"/>
      <c r="M50" s="1" t="s">
        <v>6</v>
      </c>
      <c r="N50" s="1">
        <v>11</v>
      </c>
    </row>
    <row r="51" spans="1:14" ht="23.1" customHeight="1">
      <c r="A51" s="1" t="s">
        <v>159</v>
      </c>
      <c r="B51" s="1" t="s">
        <v>160</v>
      </c>
      <c r="C51" s="1" t="s">
        <v>68</v>
      </c>
      <c r="D51" s="3">
        <v>42.727427547200499</v>
      </c>
      <c r="E51" s="3">
        <v>-73.675042443478503</v>
      </c>
      <c r="F51" s="10">
        <f>COUNTIFS(Connections!$B$6:$B$589,A51)+COUNTIFS(Connections!$C$6:$C$589,A51)</f>
        <v>1</v>
      </c>
      <c r="G51" s="10">
        <f>COUNTIFS(Connections!$B$6:$B$589,A51,Connections!$D$6:$D$589,"TRUE")+COUNTIFS(Connections!$C$6:$C$589,A51,Connections!$D$6:$D$589,"TRUE")</f>
        <v>0</v>
      </c>
      <c r="H51" s="11" t="s">
        <v>69</v>
      </c>
      <c r="I51" s="11" t="s">
        <v>70</v>
      </c>
      <c r="J51" s="12"/>
      <c r="K51" s="11"/>
      <c r="L51" s="4"/>
      <c r="M51" s="1" t="s">
        <v>6</v>
      </c>
      <c r="N51" s="1">
        <v>44</v>
      </c>
    </row>
    <row r="52" spans="1:14" ht="23.1" customHeight="1">
      <c r="A52" s="1" t="s">
        <v>161</v>
      </c>
      <c r="B52" s="1" t="s">
        <v>162</v>
      </c>
      <c r="C52" s="1" t="s">
        <v>68</v>
      </c>
      <c r="D52" s="3">
        <v>42.727729731578599</v>
      </c>
      <c r="E52" s="3">
        <v>-73.681413620707005</v>
      </c>
      <c r="F52" s="10">
        <f>COUNTIFS(Connections!$B$6:$B$589,A52)+COUNTIFS(Connections!$C$6:$C$589,A52)</f>
        <v>1</v>
      </c>
      <c r="G52" s="10">
        <f>COUNTIFS(Connections!$B$6:$B$589,A52,Connections!$D$6:$D$589,"TRUE")+COUNTIFS(Connections!$C$6:$C$589,A52,Connections!$D$6:$D$589,"TRUE")</f>
        <v>0</v>
      </c>
      <c r="H52" s="11" t="s">
        <v>69</v>
      </c>
      <c r="I52" s="11" t="s">
        <v>70</v>
      </c>
      <c r="J52" s="12"/>
      <c r="K52" s="11"/>
      <c r="L52" s="4"/>
      <c r="M52" s="1" t="s">
        <v>6</v>
      </c>
      <c r="N52" s="1">
        <v>63</v>
      </c>
    </row>
    <row r="53" spans="1:14" ht="23.1" customHeight="1">
      <c r="A53" s="1" t="s">
        <v>163</v>
      </c>
      <c r="B53" s="17" t="s">
        <v>164</v>
      </c>
      <c r="C53" s="1" t="s">
        <v>68</v>
      </c>
      <c r="D53" s="3">
        <v>42.731050009322999</v>
      </c>
      <c r="E53" s="3">
        <v>-73.683346860414602</v>
      </c>
      <c r="F53" s="10">
        <f>COUNTIFS(Connections!$B$6:$B$589,A53)+COUNTIFS(Connections!$C$6:$C$589,A53)</f>
        <v>2</v>
      </c>
      <c r="G53" s="10">
        <f>COUNTIFS(Connections!$B$6:$B$589,A53,Connections!$D$6:$D$589,"TRUE")+COUNTIFS(Connections!$C$6:$C$589,A53,Connections!$D$6:$D$589,"TRUE")</f>
        <v>0</v>
      </c>
      <c r="H53" s="11" t="s">
        <v>69</v>
      </c>
      <c r="I53" s="11" t="s">
        <v>70</v>
      </c>
      <c r="J53" s="12"/>
      <c r="K53" s="11"/>
      <c r="L53" s="4"/>
      <c r="M53" s="1" t="s">
        <v>6</v>
      </c>
      <c r="N53" s="1">
        <v>4</v>
      </c>
    </row>
    <row r="54" spans="1:14" ht="23.1" customHeight="1">
      <c r="A54" s="1" t="s">
        <v>165</v>
      </c>
      <c r="B54" s="1" t="s">
        <v>166</v>
      </c>
      <c r="C54" s="1" t="s">
        <v>68</v>
      </c>
      <c r="D54" s="3">
        <v>42.729251662132</v>
      </c>
      <c r="E54" s="3">
        <v>-73.677001706293794</v>
      </c>
      <c r="F54" s="10">
        <f>COUNTIFS(Connections!$B$6:$B$589,A54)+COUNTIFS(Connections!$C$6:$C$589,A54)</f>
        <v>1</v>
      </c>
      <c r="G54" s="10">
        <f>COUNTIFS(Connections!$B$6:$B$589,A54,Connections!$D$6:$D$589,"TRUE")+COUNTIFS(Connections!$C$6:$C$589,A54,Connections!$D$6:$D$589,"TRUE")</f>
        <v>0</v>
      </c>
      <c r="H54" s="11" t="s">
        <v>69</v>
      </c>
      <c r="I54" s="11" t="s">
        <v>70</v>
      </c>
      <c r="J54" s="12"/>
      <c r="K54" s="11"/>
      <c r="L54" s="4"/>
      <c r="M54" s="1" t="s">
        <v>6</v>
      </c>
      <c r="N54" s="1">
        <v>35</v>
      </c>
    </row>
    <row r="55" spans="1:14" ht="23.1" customHeight="1">
      <c r="A55" s="1" t="s">
        <v>167</v>
      </c>
      <c r="B55" s="1" t="s">
        <v>168</v>
      </c>
      <c r="C55" s="1" t="s">
        <v>68</v>
      </c>
      <c r="D55" s="3">
        <v>42.730132108819497</v>
      </c>
      <c r="E55" s="3">
        <v>-73.677722535303204</v>
      </c>
      <c r="F55" s="10">
        <f>COUNTIFS(Connections!$B$6:$B$589,A55)+COUNTIFS(Connections!$C$6:$C$589,A55)</f>
        <v>3</v>
      </c>
      <c r="G55" s="10">
        <f>COUNTIFS(Connections!$B$6:$B$589,A55,Connections!$D$6:$D$589,"TRUE")+COUNTIFS(Connections!$C$6:$C$589,A55,Connections!$D$6:$D$589,"TRUE")</f>
        <v>0</v>
      </c>
      <c r="H55" s="11" t="s">
        <v>69</v>
      </c>
      <c r="I55" s="11" t="s">
        <v>70</v>
      </c>
      <c r="J55" s="12"/>
      <c r="K55" s="11"/>
      <c r="L55" s="4"/>
      <c r="M55" s="1" t="s">
        <v>6</v>
      </c>
      <c r="N55" s="1">
        <v>15</v>
      </c>
    </row>
    <row r="56" spans="1:14" ht="23.1" customHeight="1">
      <c r="A56" s="1" t="s">
        <v>169</v>
      </c>
      <c r="B56" s="1" t="s">
        <v>170</v>
      </c>
      <c r="C56" s="1" t="s">
        <v>68</v>
      </c>
      <c r="D56" s="3">
        <v>42.734249293852002</v>
      </c>
      <c r="E56" s="3">
        <v>-73.6631980548119</v>
      </c>
      <c r="F56" s="10">
        <f>COUNTIFS(Connections!$B$6:$B$589,A56)+COUNTIFS(Connections!$C$6:$C$589,A56)</f>
        <v>2</v>
      </c>
      <c r="G56" s="10">
        <f>COUNTIFS(Connections!$B$6:$B$589,A56,Connections!$D$6:$D$589,"TRUE")+COUNTIFS(Connections!$C$6:$C$589,A56,Connections!$D$6:$D$589,"TRUE")</f>
        <v>0</v>
      </c>
      <c r="H56" s="11" t="s">
        <v>69</v>
      </c>
      <c r="I56" s="11" t="s">
        <v>70</v>
      </c>
      <c r="J56" s="12"/>
      <c r="K56" s="11"/>
      <c r="L56" s="4"/>
      <c r="M56" s="1" t="s">
        <v>6</v>
      </c>
      <c r="N56" s="1">
        <v>55</v>
      </c>
    </row>
    <row r="57" spans="1:14" ht="23.1" customHeight="1">
      <c r="A57" s="1" t="s">
        <v>171</v>
      </c>
      <c r="B57" s="1" t="s">
        <v>172</v>
      </c>
      <c r="C57" s="1" t="s">
        <v>68</v>
      </c>
      <c r="D57" s="3">
        <v>42.731012266979803</v>
      </c>
      <c r="E57" s="3">
        <v>-73.669418861661498</v>
      </c>
      <c r="F57" s="10">
        <f>COUNTIFS(Connections!$B$6:$B$589,A57)+COUNTIFS(Connections!$C$6:$C$589,A57)</f>
        <v>1</v>
      </c>
      <c r="G57" s="10">
        <f>COUNTIFS(Connections!$B$6:$B$589,A57,Connections!$D$6:$D$589,"TRUE")+COUNTIFS(Connections!$C$6:$C$589,A57,Connections!$D$6:$D$589,"TRUE")</f>
        <v>0</v>
      </c>
      <c r="H57" s="11" t="s">
        <v>69</v>
      </c>
      <c r="I57" s="11" t="s">
        <v>70</v>
      </c>
      <c r="J57" s="12"/>
      <c r="K57" s="11"/>
      <c r="L57" s="4"/>
      <c r="M57" s="1" t="s">
        <v>6</v>
      </c>
      <c r="N57" s="1">
        <v>52</v>
      </c>
    </row>
    <row r="58" spans="1:14" ht="23.1" customHeight="1">
      <c r="A58" s="1" t="s">
        <v>173</v>
      </c>
      <c r="B58" s="1" t="s">
        <v>174</v>
      </c>
      <c r="C58" s="1" t="s">
        <v>68</v>
      </c>
      <c r="D58" s="3">
        <v>42.734977135196097</v>
      </c>
      <c r="E58" s="3">
        <v>-73.6653996986484</v>
      </c>
      <c r="F58" s="10">
        <f>COUNTIFS(Connections!$B$6:$B$589,A58)+COUNTIFS(Connections!$C$6:$C$589,A58)</f>
        <v>1</v>
      </c>
      <c r="G58" s="10">
        <f>COUNTIFS(Connections!$B$6:$B$589,A58,Connections!$D$6:$D$589,"TRUE")+COUNTIFS(Connections!$C$6:$C$589,A58,Connections!$D$6:$D$589,"TRUE")</f>
        <v>0</v>
      </c>
      <c r="H58" s="11" t="s">
        <v>69</v>
      </c>
      <c r="I58" s="11" t="s">
        <v>70</v>
      </c>
      <c r="J58" s="12"/>
      <c r="K58" s="11"/>
      <c r="L58" s="4"/>
      <c r="M58" s="1" t="s">
        <v>6</v>
      </c>
      <c r="N58" s="1">
        <v>57</v>
      </c>
    </row>
    <row r="59" spans="1:14" ht="23.1" customHeight="1">
      <c r="A59" s="1" t="s">
        <v>175</v>
      </c>
      <c r="B59" s="1" t="s">
        <v>176</v>
      </c>
      <c r="C59" s="1" t="s">
        <v>68</v>
      </c>
      <c r="D59" s="3">
        <v>42.729899720271298</v>
      </c>
      <c r="E59" s="3">
        <v>-73.676669675731205</v>
      </c>
      <c r="F59" s="10">
        <f>COUNTIFS(Connections!$B$6:$B$589,A59)+COUNTIFS(Connections!$C$6:$C$589,A59)</f>
        <v>5</v>
      </c>
      <c r="G59" s="10">
        <f>COUNTIFS(Connections!$B$6:$B$589,A59,Connections!$D$6:$D$589,"TRUE")+COUNTIFS(Connections!$C$6:$C$589,A59,Connections!$D$6:$D$589,"TRUE")</f>
        <v>0</v>
      </c>
      <c r="H59" s="11" t="s">
        <v>69</v>
      </c>
      <c r="I59" s="11" t="s">
        <v>70</v>
      </c>
      <c r="J59" s="12"/>
      <c r="K59" s="11"/>
      <c r="L59" s="4"/>
      <c r="M59" s="1" t="s">
        <v>6</v>
      </c>
      <c r="N59" s="1">
        <v>3</v>
      </c>
    </row>
    <row r="60" spans="1:14" ht="23.1" customHeight="1">
      <c r="A60" s="1" t="s">
        <v>177</v>
      </c>
      <c r="B60" s="1" t="s">
        <v>178</v>
      </c>
      <c r="C60" s="1" t="s">
        <v>68</v>
      </c>
      <c r="D60" s="3">
        <v>42.730901726716802</v>
      </c>
      <c r="E60" s="3">
        <v>-73.679750957939603</v>
      </c>
      <c r="F60" s="10">
        <f>COUNTIFS(Connections!$B$6:$B$589,A60)+COUNTIFS(Connections!$C$6:$C$589,A60)</f>
        <v>1</v>
      </c>
      <c r="G60" s="10">
        <f>COUNTIFS(Connections!$B$6:$B$589,A60,Connections!$D$6:$D$589,"TRUE")+COUNTIFS(Connections!$C$6:$C$589,A60,Connections!$D$6:$D$589,"TRUE")</f>
        <v>0</v>
      </c>
      <c r="H60" s="11" t="s">
        <v>69</v>
      </c>
      <c r="I60" s="11" t="s">
        <v>70</v>
      </c>
      <c r="J60" s="12"/>
      <c r="K60" s="11"/>
      <c r="L60" s="4"/>
      <c r="M60" s="1" t="s">
        <v>6</v>
      </c>
      <c r="N60" s="1">
        <v>13</v>
      </c>
    </row>
    <row r="61" spans="1:14" ht="23.1" customHeight="1">
      <c r="A61" s="1" t="s">
        <v>179</v>
      </c>
      <c r="B61" s="1" t="s">
        <v>180</v>
      </c>
      <c r="C61" s="1" t="s">
        <v>68</v>
      </c>
      <c r="D61" s="3">
        <v>42.728153632716797</v>
      </c>
      <c r="E61" s="3">
        <v>-73.677244993647193</v>
      </c>
      <c r="F61" s="10">
        <f>COUNTIFS(Connections!$B$6:$B$589,A61)+COUNTIFS(Connections!$C$6:$C$589,A61)</f>
        <v>1</v>
      </c>
      <c r="G61" s="10">
        <f>COUNTIFS(Connections!$B$6:$B$589,A61,Connections!$D$6:$D$589,"TRUE")+COUNTIFS(Connections!$C$6:$C$589,A61,Connections!$D$6:$D$589,"TRUE")</f>
        <v>0</v>
      </c>
      <c r="H61" s="11" t="s">
        <v>69</v>
      </c>
      <c r="I61" s="11" t="s">
        <v>70</v>
      </c>
      <c r="J61" s="12"/>
      <c r="K61" s="11"/>
      <c r="L61" s="4"/>
      <c r="M61" s="1" t="s">
        <v>6</v>
      </c>
      <c r="N61" s="1">
        <v>38</v>
      </c>
    </row>
    <row r="62" spans="1:14" ht="23.1" customHeight="1">
      <c r="A62" s="1" t="s">
        <v>181</v>
      </c>
      <c r="B62" s="1" t="s">
        <v>182</v>
      </c>
      <c r="C62" s="1" t="s">
        <v>68</v>
      </c>
      <c r="D62" s="3">
        <v>42.727225286618001</v>
      </c>
      <c r="E62" s="3">
        <v>-73.680660665100504</v>
      </c>
      <c r="F62" s="10">
        <f>COUNTIFS(Connections!$B$6:$B$589,A62)+COUNTIFS(Connections!$C$6:$C$589,A62)</f>
        <v>3</v>
      </c>
      <c r="G62" s="10">
        <f>COUNTIFS(Connections!$B$6:$B$589,A62,Connections!$D$6:$D$589,"TRUE")+COUNTIFS(Connections!$C$6:$C$589,A62,Connections!$D$6:$D$589,"TRUE")</f>
        <v>0</v>
      </c>
      <c r="H62" s="11" t="s">
        <v>69</v>
      </c>
      <c r="I62" s="11" t="s">
        <v>70</v>
      </c>
      <c r="J62" s="12"/>
      <c r="K62" s="11"/>
      <c r="L62" s="4"/>
      <c r="M62" s="1" t="s">
        <v>6</v>
      </c>
      <c r="N62" s="1">
        <v>66</v>
      </c>
    </row>
    <row r="63" spans="1:14" ht="23.1" customHeight="1">
      <c r="A63" s="1" t="s">
        <v>183</v>
      </c>
      <c r="B63" s="1" t="s">
        <v>184</v>
      </c>
      <c r="C63" s="1" t="s">
        <v>68</v>
      </c>
      <c r="D63" s="3">
        <v>42.7292099242771</v>
      </c>
      <c r="E63" s="3">
        <v>-73.678159833279494</v>
      </c>
      <c r="F63" s="10">
        <f>COUNTIFS(Connections!$B$6:$B$589,A63)+COUNTIFS(Connections!$C$6:$C$589,A63)</f>
        <v>2</v>
      </c>
      <c r="G63" s="10">
        <f>COUNTIFS(Connections!$B$6:$B$589,A63,Connections!$D$6:$D$589,"TRUE")+COUNTIFS(Connections!$C$6:$C$589,A63,Connections!$D$6:$D$589,"TRUE")</f>
        <v>0</v>
      </c>
      <c r="H63" s="11" t="s">
        <v>69</v>
      </c>
      <c r="I63" s="11" t="s">
        <v>70</v>
      </c>
      <c r="J63" s="12"/>
      <c r="K63" s="11"/>
      <c r="L63" s="4"/>
      <c r="M63" s="1" t="s">
        <v>6</v>
      </c>
      <c r="N63" s="1">
        <v>17</v>
      </c>
    </row>
    <row r="64" spans="1:14" ht="23.1" customHeight="1">
      <c r="A64" s="1" t="s">
        <v>185</v>
      </c>
      <c r="B64" s="1" t="s">
        <v>186</v>
      </c>
      <c r="C64" s="1" t="s">
        <v>68</v>
      </c>
      <c r="D64" s="3">
        <v>42.729784166103201</v>
      </c>
      <c r="E64" s="3">
        <v>-73.678207915225997</v>
      </c>
      <c r="F64" s="10">
        <f>COUNTIFS(Connections!$B$6:$B$589,A64)+COUNTIFS(Connections!$C$6:$C$589,A64)</f>
        <v>1</v>
      </c>
      <c r="G64" s="10">
        <f>COUNTIFS(Connections!$B$6:$B$589,A64,Connections!$D$6:$D$589,"TRUE")+COUNTIFS(Connections!$C$6:$C$589,A64,Connections!$D$6:$D$589,"TRUE")</f>
        <v>0</v>
      </c>
      <c r="H64" s="11" t="s">
        <v>69</v>
      </c>
      <c r="I64" s="11" t="s">
        <v>70</v>
      </c>
      <c r="J64" s="12"/>
      <c r="K64" s="11"/>
      <c r="L64" s="4"/>
      <c r="M64" s="1" t="s">
        <v>6</v>
      </c>
      <c r="N64" s="1">
        <v>2</v>
      </c>
    </row>
    <row r="65" spans="1:14" ht="23.1" customHeight="1">
      <c r="A65" s="1" t="s">
        <v>187</v>
      </c>
      <c r="B65" s="17" t="s">
        <v>188</v>
      </c>
      <c r="C65" s="1" t="s">
        <v>68</v>
      </c>
      <c r="D65" s="3">
        <v>42.730775831039601</v>
      </c>
      <c r="E65" s="3">
        <v>-73.6816894720222</v>
      </c>
      <c r="F65" s="10">
        <f>COUNTIFS(Connections!$B$6:$B$589,A65)+COUNTIFS(Connections!$C$6:$C$589,A65)</f>
        <v>1</v>
      </c>
      <c r="G65" s="10">
        <f>COUNTIFS(Connections!$B$6:$B$589,A65,Connections!$D$6:$D$589,"TRUE")+COUNTIFS(Connections!$C$6:$C$589,A65,Connections!$D$6:$D$589,"TRUE")</f>
        <v>0</v>
      </c>
      <c r="H65" s="11" t="s">
        <v>69</v>
      </c>
      <c r="I65" s="11" t="s">
        <v>70</v>
      </c>
      <c r="J65" s="12"/>
      <c r="K65" s="11"/>
      <c r="L65" s="4"/>
      <c r="M65" s="1" t="s">
        <v>6</v>
      </c>
      <c r="N65" s="1">
        <v>9</v>
      </c>
    </row>
    <row r="66" spans="1:14" ht="23.1" customHeight="1">
      <c r="A66" s="1"/>
      <c r="B66" s="17" t="s">
        <v>1317</v>
      </c>
      <c r="C66" s="1" t="s">
        <v>68</v>
      </c>
      <c r="D66" s="3">
        <v>42.730966869351199</v>
      </c>
      <c r="E66" s="3">
        <v>-73.681175764693805</v>
      </c>
      <c r="F66" s="10"/>
      <c r="G66" s="10"/>
      <c r="H66" s="11"/>
      <c r="I66" s="11"/>
      <c r="J66" s="12"/>
      <c r="K66" s="11"/>
      <c r="L66" s="4"/>
      <c r="M66" s="1"/>
      <c r="N66" s="1"/>
    </row>
    <row r="67" spans="1:14" ht="23.1" customHeight="1">
      <c r="A67" s="1" t="s">
        <v>189</v>
      </c>
      <c r="B67" s="1" t="s">
        <v>190</v>
      </c>
      <c r="C67" s="1" t="s">
        <v>68</v>
      </c>
      <c r="D67" s="3">
        <v>42.733245393233503</v>
      </c>
      <c r="E67" s="3">
        <v>-73.672437802411807</v>
      </c>
      <c r="F67" s="10">
        <f>COUNTIFS(Connections!$B$6:$B$589,A67)+COUNTIFS(Connections!$C$6:$C$589,A67)</f>
        <v>1</v>
      </c>
      <c r="G67" s="10">
        <f>COUNTIFS(Connections!$B$6:$B$589,A67,Connections!$D$6:$D$589,"TRUE")+COUNTIFS(Connections!$C$6:$C$589,A67,Connections!$D$6:$D$589,"TRUE")</f>
        <v>0</v>
      </c>
      <c r="H67" s="11" t="s">
        <v>69</v>
      </c>
      <c r="I67" s="11" t="s">
        <v>70</v>
      </c>
      <c r="J67" s="12"/>
      <c r="K67" s="11"/>
      <c r="L67" s="4"/>
      <c r="M67" s="1" t="s">
        <v>6</v>
      </c>
      <c r="N67" s="1">
        <v>69</v>
      </c>
    </row>
    <row r="68" spans="1:14" ht="23.1" customHeight="1">
      <c r="A68" s="1" t="s">
        <v>191</v>
      </c>
      <c r="B68" s="1" t="s">
        <v>192</v>
      </c>
      <c r="C68" s="1" t="s">
        <v>68</v>
      </c>
      <c r="D68" s="3">
        <v>42.732888777618101</v>
      </c>
      <c r="E68" s="3">
        <v>-73.680838380621395</v>
      </c>
      <c r="F68" s="10">
        <f>COUNTIFS(Connections!$B$6:$B$589,A68)+COUNTIFS(Connections!$C$6:$C$589,A68)</f>
        <v>1</v>
      </c>
      <c r="G68" s="10">
        <f>COUNTIFS(Connections!$B$6:$B$589,A68,Connections!$D$6:$D$589,"TRUE")+COUNTIFS(Connections!$C$6:$C$589,A68,Connections!$D$6:$D$589,"TRUE")</f>
        <v>0</v>
      </c>
      <c r="H68" s="11" t="s">
        <v>69</v>
      </c>
      <c r="I68" s="11" t="s">
        <v>70</v>
      </c>
      <c r="J68" s="12"/>
      <c r="K68" s="11"/>
      <c r="L68" s="4"/>
      <c r="M68" s="1" t="s">
        <v>6</v>
      </c>
      <c r="N68" s="1">
        <v>29</v>
      </c>
    </row>
    <row r="69" spans="1:14" ht="23.1" customHeight="1">
      <c r="A69" s="1" t="s">
        <v>193</v>
      </c>
      <c r="B69" s="1" t="s">
        <v>194</v>
      </c>
      <c r="C69" s="1" t="s">
        <v>68</v>
      </c>
      <c r="D69" s="3">
        <v>42.7270250661145</v>
      </c>
      <c r="E69" s="3">
        <v>-73.674647960723604</v>
      </c>
      <c r="F69" s="10">
        <f>COUNTIFS(Connections!$B$6:$B$589,A69)+COUNTIFS(Connections!$C$6:$C$589,A69)</f>
        <v>2</v>
      </c>
      <c r="G69" s="10">
        <f>COUNTIFS(Connections!$B$6:$B$589,A69,Connections!$D$6:$D$589,"TRUE")+COUNTIFS(Connections!$C$6:$C$589,A69,Connections!$D$6:$D$589,"TRUE")</f>
        <v>0</v>
      </c>
      <c r="H69" s="11" t="s">
        <v>69</v>
      </c>
      <c r="I69" s="11" t="s">
        <v>70</v>
      </c>
      <c r="J69" s="12"/>
      <c r="K69" s="11"/>
      <c r="L69" s="4"/>
      <c r="M69" s="1" t="s">
        <v>6</v>
      </c>
      <c r="N69" s="1">
        <v>43</v>
      </c>
    </row>
    <row r="70" spans="1:14" ht="23.1" customHeight="1">
      <c r="A70" s="1" t="s">
        <v>195</v>
      </c>
      <c r="B70" s="1" t="s">
        <v>196</v>
      </c>
      <c r="C70" s="1" t="s">
        <v>68</v>
      </c>
      <c r="D70" s="3">
        <v>42.733731251557401</v>
      </c>
      <c r="E70" s="3">
        <v>-73.664908273045498</v>
      </c>
      <c r="F70" s="10">
        <f>COUNTIFS(Connections!$B$6:$B$589,A70)+COUNTIFS(Connections!$C$6:$C$589,A70)</f>
        <v>2</v>
      </c>
      <c r="G70" s="10">
        <f>COUNTIFS(Connections!$B$6:$B$589,A70,Connections!$D$6:$D$589,"TRUE")+COUNTIFS(Connections!$C$6:$C$589,A70,Connections!$D$6:$D$589,"TRUE")</f>
        <v>0</v>
      </c>
      <c r="H70" s="11" t="s">
        <v>69</v>
      </c>
      <c r="I70" s="11" t="s">
        <v>70</v>
      </c>
      <c r="J70" s="12"/>
      <c r="K70" s="11"/>
      <c r="L70" s="4"/>
      <c r="M70" s="1" t="s">
        <v>6</v>
      </c>
      <c r="N70" s="1">
        <v>54</v>
      </c>
    </row>
    <row r="71" spans="1:14" ht="23.1" customHeight="1">
      <c r="A71" s="1" t="s">
        <v>197</v>
      </c>
      <c r="B71" s="1" t="s">
        <v>198</v>
      </c>
      <c r="C71" s="1" t="s">
        <v>68</v>
      </c>
      <c r="D71" s="3">
        <v>42.733044075699603</v>
      </c>
      <c r="E71" s="3">
        <v>-73.666946204994304</v>
      </c>
      <c r="F71" s="10">
        <f>COUNTIFS(Connections!$B$6:$B$589,A71)+COUNTIFS(Connections!$C$6:$C$589,A71)</f>
        <v>4</v>
      </c>
      <c r="G71" s="10">
        <f>COUNTIFS(Connections!$B$6:$B$589,A71,Connections!$D$6:$D$589,"TRUE")+COUNTIFS(Connections!$C$6:$C$589,A71,Connections!$D$6:$D$589,"TRUE")</f>
        <v>0</v>
      </c>
      <c r="H71" s="11" t="s">
        <v>69</v>
      </c>
      <c r="I71" s="11" t="s">
        <v>70</v>
      </c>
      <c r="J71" s="12"/>
      <c r="K71" s="11"/>
      <c r="L71" s="4"/>
      <c r="M71" s="1" t="s">
        <v>6</v>
      </c>
      <c r="N71" s="1">
        <v>67</v>
      </c>
    </row>
    <row r="72" spans="1:14" ht="23.1" customHeight="1">
      <c r="A72" s="1" t="s">
        <v>199</v>
      </c>
      <c r="B72" s="1" t="s">
        <v>200</v>
      </c>
      <c r="C72" s="1" t="s">
        <v>68</v>
      </c>
      <c r="D72" s="3">
        <v>42.731083488414399</v>
      </c>
      <c r="E72" s="3">
        <v>-73.680523000728698</v>
      </c>
      <c r="F72" s="10">
        <f>COUNTIFS(Connections!$B$6:$B$589,A72)+COUNTIFS(Connections!$C$6:$C$589,A72)</f>
        <v>1</v>
      </c>
      <c r="G72" s="10">
        <f>COUNTIFS(Connections!$B$6:$B$589,A72,Connections!$D$6:$D$589,"TRUE")+COUNTIFS(Connections!$C$6:$C$589,A72,Connections!$D$6:$D$589,"TRUE")</f>
        <v>0</v>
      </c>
      <c r="H72" s="11" t="s">
        <v>69</v>
      </c>
      <c r="I72" s="11" t="s">
        <v>70</v>
      </c>
      <c r="J72" s="12"/>
      <c r="K72" s="11"/>
      <c r="L72" s="4"/>
      <c r="M72" s="1" t="s">
        <v>6</v>
      </c>
      <c r="N72" s="1">
        <v>10</v>
      </c>
    </row>
    <row r="73" spans="1:14" ht="23.1" customHeight="1">
      <c r="A73" s="1" t="s">
        <v>201</v>
      </c>
      <c r="B73" s="1" t="s">
        <v>202</v>
      </c>
      <c r="C73" s="1" t="s">
        <v>68</v>
      </c>
      <c r="D73" s="3">
        <v>42.729247288086697</v>
      </c>
      <c r="E73" s="3">
        <v>-73.681924849268597</v>
      </c>
      <c r="F73" s="10">
        <f>COUNTIFS(Connections!$B$6:$B$589,A73)+COUNTIFS(Connections!$C$6:$C$589,A73)</f>
        <v>2</v>
      </c>
      <c r="G73" s="10">
        <f>COUNTIFS(Connections!$B$6:$B$589,A73,Connections!$D$6:$D$589,"TRUE")+COUNTIFS(Connections!$C$6:$C$589,A73,Connections!$D$6:$D$589,"TRUE")</f>
        <v>0</v>
      </c>
      <c r="H73" s="11" t="s">
        <v>69</v>
      </c>
      <c r="I73" s="11" t="s">
        <v>70</v>
      </c>
      <c r="J73" s="12"/>
      <c r="K73" s="11"/>
      <c r="L73" s="4"/>
      <c r="M73" s="1" t="s">
        <v>6</v>
      </c>
      <c r="N73" s="1">
        <v>23</v>
      </c>
    </row>
    <row r="74" spans="1:14" ht="23.1" customHeight="1">
      <c r="A74" s="1" t="s">
        <v>203</v>
      </c>
      <c r="B74" s="17" t="s">
        <v>1318</v>
      </c>
      <c r="C74" s="1" t="s">
        <v>68</v>
      </c>
      <c r="D74" s="3">
        <v>42.730688871437501</v>
      </c>
      <c r="E74" s="3">
        <v>-73.682727369523704</v>
      </c>
      <c r="F74" s="10">
        <f>COUNTIFS(Connections!$B$6:$B$589,A74)+COUNTIFS(Connections!$C$6:$C$589,A74)</f>
        <v>1</v>
      </c>
      <c r="G74" s="10">
        <f>COUNTIFS(Connections!$B$6:$B$589,A74,Connections!$D$6:$D$589,"TRUE")+COUNTIFS(Connections!$C$6:$C$589,A74,Connections!$D$6:$D$589,"TRUE")</f>
        <v>0</v>
      </c>
      <c r="H74" s="11" t="s">
        <v>69</v>
      </c>
      <c r="I74" s="11" t="s">
        <v>70</v>
      </c>
      <c r="J74" s="12"/>
      <c r="K74" s="11"/>
      <c r="L74" s="4"/>
      <c r="M74" s="1" t="s">
        <v>6</v>
      </c>
      <c r="N74" s="1">
        <v>7</v>
      </c>
    </row>
    <row r="75" spans="1:14" ht="23.1" customHeight="1">
      <c r="A75" s="1"/>
      <c r="B75" s="17" t="s">
        <v>1319</v>
      </c>
      <c r="C75" s="1" t="s">
        <v>68</v>
      </c>
      <c r="D75" s="3">
        <v>42.7308558473568</v>
      </c>
      <c r="E75" s="3">
        <v>-73.682292851664698</v>
      </c>
      <c r="F75" s="10"/>
      <c r="G75" s="10"/>
      <c r="H75" s="11"/>
      <c r="I75" s="11"/>
      <c r="J75" s="12"/>
      <c r="K75" s="11"/>
      <c r="L75" s="4"/>
      <c r="M75" s="1"/>
      <c r="N75" s="1"/>
    </row>
    <row r="76" spans="1:14" ht="23.1" customHeight="1">
      <c r="A76" s="1" t="s">
        <v>205</v>
      </c>
      <c r="B76" s="1" t="s">
        <v>206</v>
      </c>
      <c r="C76" s="1" t="s">
        <v>68</v>
      </c>
      <c r="D76" s="3">
        <v>42.727913488628097</v>
      </c>
      <c r="E76" s="3">
        <v>-73.675266237122401</v>
      </c>
      <c r="F76" s="10">
        <f>COUNTIFS(Connections!$B$6:$B$589,A76)+COUNTIFS(Connections!$C$6:$C$589,A76)</f>
        <v>1</v>
      </c>
      <c r="G76" s="10">
        <f>COUNTIFS(Connections!$B$6:$B$589,A76,Connections!$D$6:$D$589,"TRUE")+COUNTIFS(Connections!$C$6:$C$589,A76,Connections!$D$6:$D$589,"TRUE")</f>
        <v>0</v>
      </c>
      <c r="H76" s="11" t="s">
        <v>69</v>
      </c>
      <c r="I76" s="11" t="s">
        <v>70</v>
      </c>
      <c r="J76" s="12"/>
      <c r="K76" s="11"/>
      <c r="L76" s="4"/>
      <c r="M76" s="1" t="s">
        <v>6</v>
      </c>
      <c r="N76" s="1">
        <v>45</v>
      </c>
    </row>
    <row r="77" spans="1:14" ht="23.1" customHeight="1">
      <c r="A77" s="1" t="s">
        <v>207</v>
      </c>
      <c r="B77" s="1" t="s">
        <v>208</v>
      </c>
      <c r="C77" s="1" t="s">
        <v>68</v>
      </c>
      <c r="D77" s="3">
        <v>42.731704135048197</v>
      </c>
      <c r="E77" s="3">
        <v>-73.6831166044322</v>
      </c>
      <c r="F77" s="10">
        <f>COUNTIFS(Connections!$B$6:$B$589,A77)+COUNTIFS(Connections!$C$6:$C$589,A77)</f>
        <v>1</v>
      </c>
      <c r="G77" s="10">
        <f>COUNTIFS(Connections!$B$6:$B$589,A77,Connections!$D$6:$D$589,"TRUE")+COUNTIFS(Connections!$C$6:$C$589,A77,Connections!$D$6:$D$589,"TRUE")</f>
        <v>0</v>
      </c>
      <c r="H77" s="11" t="s">
        <v>69</v>
      </c>
      <c r="I77" s="11" t="s">
        <v>70</v>
      </c>
      <c r="J77" s="12"/>
      <c r="K77" s="11"/>
      <c r="L77" s="4"/>
      <c r="M77" s="1" t="s">
        <v>6</v>
      </c>
      <c r="N77" s="1">
        <v>5</v>
      </c>
    </row>
    <row r="78" spans="1:14" ht="44.1" customHeight="1">
      <c r="A78" s="1" t="s">
        <v>209</v>
      </c>
      <c r="B78" s="1" t="s">
        <v>210</v>
      </c>
      <c r="C78" s="1" t="s">
        <v>68</v>
      </c>
      <c r="D78" s="3">
        <v>42.730920869331896</v>
      </c>
      <c r="E78" s="3">
        <v>-73.684311802467406</v>
      </c>
      <c r="F78" s="10">
        <f>COUNTIFS(Connections!$B$6:$B$589,A78)+COUNTIFS(Connections!$C$6:$C$589,A78)</f>
        <v>0</v>
      </c>
      <c r="G78" s="10">
        <f>COUNTIFS(Connections!$B$6:$B$589,A78,Connections!$D$6:$D$589,"TRUE")+COUNTIFS(Connections!$C$6:$C$589,A78,Connections!$D$6:$D$589,"TRUE")</f>
        <v>0</v>
      </c>
      <c r="H78" s="11" t="s">
        <v>69</v>
      </c>
      <c r="I78" s="11" t="s">
        <v>70</v>
      </c>
      <c r="J78" s="12"/>
      <c r="K78" s="11"/>
      <c r="L78" s="4" t="s">
        <v>211</v>
      </c>
      <c r="M78" s="1" t="s">
        <v>6</v>
      </c>
      <c r="N78" s="1">
        <v>72</v>
      </c>
    </row>
    <row r="79" spans="1:14" ht="44.1" customHeight="1">
      <c r="A79" s="1" t="s">
        <v>212</v>
      </c>
      <c r="B79" s="1" t="s">
        <v>212</v>
      </c>
      <c r="C79" s="1" t="s">
        <v>213</v>
      </c>
      <c r="D79" s="3">
        <v>42.730920869999999</v>
      </c>
      <c r="E79" s="3">
        <v>-73.684311800000003</v>
      </c>
      <c r="F79" s="10">
        <f>COUNTIFS(Connections!$B$6:$B$589,A79)+COUNTIFS(Connections!$C$6:$C$589,A79)</f>
        <v>1</v>
      </c>
      <c r="G79" s="10">
        <f>COUNTIFS(Connections!$B$6:$B$589,A79,Connections!$D$6:$D$589,"TRUE")+COUNTIFS(Connections!$C$6:$C$589,A79,Connections!$D$6:$D$589,"TRUE")</f>
        <v>0</v>
      </c>
      <c r="H79" s="11" t="s">
        <v>69</v>
      </c>
      <c r="I79" s="11" t="s">
        <v>70</v>
      </c>
      <c r="J79" s="12"/>
      <c r="K79" s="11"/>
      <c r="L79" s="4" t="s">
        <v>214</v>
      </c>
      <c r="M79" s="1" t="s">
        <v>215</v>
      </c>
      <c r="N79" s="1">
        <v>2</v>
      </c>
    </row>
    <row r="80" spans="1:14" ht="23.1" customHeight="1">
      <c r="A80" s="1" t="s">
        <v>216</v>
      </c>
      <c r="B80" s="1" t="s">
        <v>216</v>
      </c>
      <c r="C80" s="1" t="s">
        <v>213</v>
      </c>
      <c r="D80" s="3">
        <v>42.732426129426997</v>
      </c>
      <c r="E80" s="3">
        <v>-73.671605707877603</v>
      </c>
      <c r="F80" s="10">
        <f>COUNTIFS(Connections!$B$6:$B$589,A80)+COUNTIFS(Connections!$C$6:$C$589,A80)</f>
        <v>4</v>
      </c>
      <c r="G80" s="10">
        <f>COUNTIFS(Connections!$B$6:$B$589,A80,Connections!$D$6:$D$589,"TRUE")+COUNTIFS(Connections!$C$6:$C$589,A80,Connections!$D$6:$D$589,"TRUE")</f>
        <v>0</v>
      </c>
      <c r="H80" s="11" t="s">
        <v>69</v>
      </c>
      <c r="I80" s="11" t="s">
        <v>70</v>
      </c>
      <c r="J80" s="12"/>
      <c r="K80" s="11"/>
      <c r="L80" s="4"/>
      <c r="M80" s="1" t="s">
        <v>215</v>
      </c>
      <c r="N80" s="1">
        <v>3</v>
      </c>
    </row>
    <row r="81" spans="1:14" ht="23.1" customHeight="1">
      <c r="A81" s="1" t="s">
        <v>217</v>
      </c>
      <c r="B81" s="1" t="s">
        <v>217</v>
      </c>
      <c r="C81" s="1" t="s">
        <v>213</v>
      </c>
      <c r="D81" s="3">
        <v>42.733058361645902</v>
      </c>
      <c r="E81" s="3">
        <v>-73.676539781756901</v>
      </c>
      <c r="F81" s="10">
        <f>COUNTIFS(Connections!$B$6:$B$589,A81)+COUNTIFS(Connections!$C$6:$C$589,A81)</f>
        <v>4</v>
      </c>
      <c r="G81" s="10">
        <f>COUNTIFS(Connections!$B$6:$B$589,A81,Connections!$D$6:$D$589,"TRUE")+COUNTIFS(Connections!$C$6:$C$589,A81,Connections!$D$6:$D$589,"TRUE")</f>
        <v>0</v>
      </c>
      <c r="H81" s="11" t="s">
        <v>69</v>
      </c>
      <c r="I81" s="11" t="s">
        <v>70</v>
      </c>
      <c r="J81" s="12"/>
      <c r="K81" s="11"/>
      <c r="L81" s="4"/>
      <c r="M81" s="1" t="s">
        <v>215</v>
      </c>
      <c r="N81" s="1">
        <v>4</v>
      </c>
    </row>
    <row r="82" spans="1:14" ht="23.1" customHeight="1">
      <c r="A82" s="1" t="s">
        <v>218</v>
      </c>
      <c r="B82" s="1" t="s">
        <v>218</v>
      </c>
      <c r="C82" s="1" t="s">
        <v>213</v>
      </c>
      <c r="D82" s="3">
        <v>42.730770830526502</v>
      </c>
      <c r="E82" s="3">
        <v>-73.677224185553101</v>
      </c>
      <c r="F82" s="10">
        <f>COUNTIFS(Connections!$B$6:$B$589,A82)+COUNTIFS(Connections!$C$6:$C$589,A82)</f>
        <v>4</v>
      </c>
      <c r="G82" s="10">
        <f>COUNTIFS(Connections!$B$6:$B$589,A82,Connections!$D$6:$D$589,"TRUE")+COUNTIFS(Connections!$C$6:$C$589,A82,Connections!$D$6:$D$589,"TRUE")</f>
        <v>0</v>
      </c>
      <c r="H82" s="11" t="s">
        <v>69</v>
      </c>
      <c r="I82" s="11" t="s">
        <v>70</v>
      </c>
      <c r="J82" s="12"/>
      <c r="K82" s="11"/>
      <c r="L82" s="4"/>
      <c r="M82" s="1" t="s">
        <v>215</v>
      </c>
      <c r="N82" s="1">
        <v>5</v>
      </c>
    </row>
    <row r="83" spans="1:14" ht="23.1" customHeight="1">
      <c r="A83" s="1" t="s">
        <v>219</v>
      </c>
      <c r="B83" s="1" t="s">
        <v>219</v>
      </c>
      <c r="C83" s="1" t="s">
        <v>213</v>
      </c>
      <c r="D83" s="3">
        <v>42.730644384082801</v>
      </c>
      <c r="E83" s="3">
        <v>-73.676221454409799</v>
      </c>
      <c r="F83" s="10">
        <f>COUNTIFS(Connections!$B$6:$B$589,A83)+COUNTIFS(Connections!$C$6:$C$589,A83)</f>
        <v>4</v>
      </c>
      <c r="G83" s="10">
        <f>COUNTIFS(Connections!$B$6:$B$589,A83,Connections!$D$6:$D$589,"TRUE")+COUNTIFS(Connections!$C$6:$C$589,A83,Connections!$D$6:$D$589,"TRUE")</f>
        <v>0</v>
      </c>
      <c r="H83" s="11" t="s">
        <v>69</v>
      </c>
      <c r="I83" s="11" t="s">
        <v>70</v>
      </c>
      <c r="J83" s="12"/>
      <c r="K83" s="11"/>
      <c r="L83" s="4"/>
      <c r="M83" s="1" t="s">
        <v>215</v>
      </c>
      <c r="N83" s="1">
        <v>6</v>
      </c>
    </row>
    <row r="84" spans="1:14" ht="23.1" customHeight="1">
      <c r="A84" s="1" t="s">
        <v>220</v>
      </c>
      <c r="B84" s="1" t="s">
        <v>220</v>
      </c>
      <c r="C84" s="1" t="s">
        <v>213</v>
      </c>
      <c r="D84" s="3">
        <v>42.730943257495298</v>
      </c>
      <c r="E84" s="3">
        <v>-73.675648465185105</v>
      </c>
      <c r="F84" s="10">
        <f>COUNTIFS(Connections!$B$6:$B$589,A84)+COUNTIFS(Connections!$C$6:$C$589,A84)</f>
        <v>3</v>
      </c>
      <c r="G84" s="10">
        <f>COUNTIFS(Connections!$B$6:$B$589,A84,Connections!$D$6:$D$589,"TRUE")+COUNTIFS(Connections!$C$6:$C$589,A84,Connections!$D$6:$D$589,"TRUE")</f>
        <v>0</v>
      </c>
      <c r="H84" s="11" t="s">
        <v>69</v>
      </c>
      <c r="I84" s="11" t="s">
        <v>70</v>
      </c>
      <c r="J84" s="12"/>
      <c r="K84" s="11"/>
      <c r="L84" s="4"/>
      <c r="M84" s="1" t="s">
        <v>215</v>
      </c>
      <c r="N84" s="1">
        <v>7</v>
      </c>
    </row>
    <row r="85" spans="1:14" ht="23.1" customHeight="1">
      <c r="A85" s="1" t="s">
        <v>221</v>
      </c>
      <c r="B85" s="1" t="s">
        <v>221</v>
      </c>
      <c r="C85" s="1" t="s">
        <v>213</v>
      </c>
      <c r="D85" s="3">
        <v>42.731908848520597</v>
      </c>
      <c r="E85" s="3">
        <v>-73.6746298176746</v>
      </c>
      <c r="F85" s="10">
        <f>COUNTIFS(Connections!$B$6:$B$589,A85)+COUNTIFS(Connections!$C$6:$C$589,A85)</f>
        <v>3</v>
      </c>
      <c r="G85" s="10">
        <f>COUNTIFS(Connections!$B$6:$B$589,A85,Connections!$D$6:$D$589,"TRUE")+COUNTIFS(Connections!$C$6:$C$589,A85,Connections!$D$6:$D$589,"TRUE")</f>
        <v>0</v>
      </c>
      <c r="H85" s="11" t="s">
        <v>69</v>
      </c>
      <c r="I85" s="11" t="s">
        <v>70</v>
      </c>
      <c r="J85" s="12"/>
      <c r="K85" s="11"/>
      <c r="L85" s="4"/>
      <c r="M85" s="1" t="s">
        <v>215</v>
      </c>
      <c r="N85" s="1">
        <v>8</v>
      </c>
    </row>
    <row r="86" spans="1:14" ht="23.1" customHeight="1">
      <c r="A86" s="1" t="s">
        <v>222</v>
      </c>
      <c r="B86" s="1" t="s">
        <v>222</v>
      </c>
      <c r="C86" s="1" t="s">
        <v>213</v>
      </c>
      <c r="D86" s="3">
        <v>42.732713507708297</v>
      </c>
      <c r="E86" s="3">
        <v>-73.674311490327497</v>
      </c>
      <c r="F86" s="10">
        <f>COUNTIFS(Connections!$B$6:$B$589,A86)+COUNTIFS(Connections!$C$6:$C$589,A86)</f>
        <v>3</v>
      </c>
      <c r="G86" s="10">
        <f>COUNTIFS(Connections!$B$6:$B$589,A86,Connections!$D$6:$D$589,"TRUE")+COUNTIFS(Connections!$C$6:$C$589,A86,Connections!$D$6:$D$589,"TRUE")</f>
        <v>0</v>
      </c>
      <c r="H86" s="11" t="s">
        <v>69</v>
      </c>
      <c r="I86" s="11" t="s">
        <v>70</v>
      </c>
      <c r="J86" s="12"/>
      <c r="K86" s="11"/>
      <c r="L86" s="4"/>
      <c r="M86" s="1" t="s">
        <v>215</v>
      </c>
      <c r="N86" s="1">
        <v>9</v>
      </c>
    </row>
    <row r="87" spans="1:14" ht="23.1" customHeight="1">
      <c r="A87" s="1" t="s">
        <v>223</v>
      </c>
      <c r="B87" s="1" t="s">
        <v>223</v>
      </c>
      <c r="C87" s="1" t="s">
        <v>213</v>
      </c>
      <c r="D87" s="3">
        <v>42.730914519667202</v>
      </c>
      <c r="E87" s="3">
        <v>-73.673792616751797</v>
      </c>
      <c r="F87" s="10">
        <f>COUNTIFS(Connections!$B$6:$B$589,A87)+COUNTIFS(Connections!$C$6:$C$589,A87)</f>
        <v>3</v>
      </c>
      <c r="G87" s="10">
        <f>COUNTIFS(Connections!$B$6:$B$589,A87,Connections!$D$6:$D$589,"TRUE")+COUNTIFS(Connections!$C$6:$C$589,A87,Connections!$D$6:$D$589,"TRUE")</f>
        <v>0</v>
      </c>
      <c r="H87" s="11" t="s">
        <v>69</v>
      </c>
      <c r="I87" s="11" t="s">
        <v>70</v>
      </c>
      <c r="J87" s="12"/>
      <c r="K87" s="11"/>
      <c r="L87" s="4"/>
      <c r="M87" s="1" t="s">
        <v>215</v>
      </c>
      <c r="N87" s="1">
        <v>10</v>
      </c>
    </row>
    <row r="88" spans="1:14" ht="23.1" customHeight="1">
      <c r="A88" s="1" t="s">
        <v>224</v>
      </c>
      <c r="B88" s="1" t="s">
        <v>224</v>
      </c>
      <c r="C88" s="1" t="s">
        <v>213</v>
      </c>
      <c r="D88" s="3">
        <v>42.731345587089201</v>
      </c>
      <c r="E88" s="3">
        <v>-73.674295573960194</v>
      </c>
      <c r="F88" s="10">
        <f>COUNTIFS(Connections!$B$6:$B$589,A88)+COUNTIFS(Connections!$C$6:$C$589,A88)</f>
        <v>2</v>
      </c>
      <c r="G88" s="10">
        <f>COUNTIFS(Connections!$B$6:$B$589,A88,Connections!$D$6:$D$589,"TRUE")+COUNTIFS(Connections!$C$6:$C$589,A88,Connections!$D$6:$D$589,"TRUE")</f>
        <v>0</v>
      </c>
      <c r="H88" s="11" t="s">
        <v>69</v>
      </c>
      <c r="I88" s="11" t="s">
        <v>70</v>
      </c>
      <c r="J88" s="12"/>
      <c r="K88" s="11"/>
      <c r="L88" s="4"/>
      <c r="M88" s="1" t="s">
        <v>215</v>
      </c>
      <c r="N88" s="1">
        <v>11</v>
      </c>
    </row>
    <row r="89" spans="1:14" ht="23.1" customHeight="1">
      <c r="A89" s="1" t="s">
        <v>225</v>
      </c>
      <c r="B89" s="1" t="s">
        <v>225</v>
      </c>
      <c r="C89" s="1" t="s">
        <v>213</v>
      </c>
      <c r="D89" s="3">
        <v>42.731265121170402</v>
      </c>
      <c r="E89" s="3">
        <v>-73.671908118857303</v>
      </c>
      <c r="F89" s="10">
        <f>COUNTIFS(Connections!$B$6:$B$589,A89)+COUNTIFS(Connections!$C$6:$C$589,A89)</f>
        <v>4</v>
      </c>
      <c r="G89" s="10">
        <f>COUNTIFS(Connections!$B$6:$B$589,A89,Connections!$D$6:$D$589,"TRUE")+COUNTIFS(Connections!$C$6:$C$589,A89,Connections!$D$6:$D$589,"TRUE")</f>
        <v>0</v>
      </c>
      <c r="H89" s="11" t="s">
        <v>69</v>
      </c>
      <c r="I89" s="11" t="s">
        <v>70</v>
      </c>
      <c r="J89" s="12"/>
      <c r="K89" s="11"/>
      <c r="L89" s="4"/>
      <c r="M89" s="1" t="s">
        <v>215</v>
      </c>
      <c r="N89" s="1">
        <v>12</v>
      </c>
    </row>
    <row r="90" spans="1:14" ht="23.1" customHeight="1">
      <c r="A90" s="1" t="s">
        <v>226</v>
      </c>
      <c r="B90" s="1" t="s">
        <v>226</v>
      </c>
      <c r="C90" s="1" t="s">
        <v>213</v>
      </c>
      <c r="D90" s="3">
        <v>42.731127179595397</v>
      </c>
      <c r="E90" s="3">
        <v>-73.673038180939301</v>
      </c>
      <c r="F90" s="10">
        <f>COUNTIFS(Connections!$B$6:$B$589,A90)+COUNTIFS(Connections!$C$6:$C$589,A90)</f>
        <v>3</v>
      </c>
      <c r="G90" s="10">
        <f>COUNTIFS(Connections!$B$6:$B$589,A90,Connections!$D$6:$D$589,"TRUE")+COUNTIFS(Connections!$C$6:$C$589,A90,Connections!$D$6:$D$589,"TRUE")</f>
        <v>0</v>
      </c>
      <c r="H90" s="11" t="s">
        <v>69</v>
      </c>
      <c r="I90" s="11" t="s">
        <v>70</v>
      </c>
      <c r="J90" s="12"/>
      <c r="K90" s="11"/>
      <c r="L90" s="4"/>
      <c r="M90" s="1" t="s">
        <v>215</v>
      </c>
      <c r="N90" s="1">
        <v>13</v>
      </c>
    </row>
    <row r="91" spans="1:14" ht="23.1" customHeight="1">
      <c r="A91" s="1" t="s">
        <v>227</v>
      </c>
      <c r="B91" s="1" t="s">
        <v>227</v>
      </c>
      <c r="C91" s="1" t="s">
        <v>213</v>
      </c>
      <c r="D91" s="3">
        <v>42.732506595345797</v>
      </c>
      <c r="E91" s="3">
        <v>-73.672672104490204</v>
      </c>
      <c r="F91" s="10">
        <f>COUNTIFS(Connections!$B$6:$B$589,A91)+COUNTIFS(Connections!$C$6:$C$589,A91)</f>
        <v>4</v>
      </c>
      <c r="G91" s="10">
        <f>COUNTIFS(Connections!$B$6:$B$589,A91,Connections!$D$6:$D$589,"TRUE")+COUNTIFS(Connections!$C$6:$C$589,A91,Connections!$D$6:$D$589,"TRUE")</f>
        <v>0</v>
      </c>
      <c r="H91" s="11" t="s">
        <v>69</v>
      </c>
      <c r="I91" s="11" t="s">
        <v>70</v>
      </c>
      <c r="J91" s="12"/>
      <c r="K91" s="11"/>
      <c r="L91" s="4"/>
      <c r="M91" s="1" t="s">
        <v>215</v>
      </c>
      <c r="N91" s="1">
        <v>14</v>
      </c>
    </row>
    <row r="92" spans="1:14" ht="23.1" customHeight="1">
      <c r="A92" s="1" t="s">
        <v>228</v>
      </c>
      <c r="B92" s="1" t="s">
        <v>228</v>
      </c>
      <c r="C92" s="1" t="s">
        <v>213</v>
      </c>
      <c r="D92" s="3">
        <v>42.731368577351702</v>
      </c>
      <c r="E92" s="3">
        <v>-73.675107308695104</v>
      </c>
      <c r="F92" s="10">
        <f>COUNTIFS(Connections!$B$6:$B$589,A92)+COUNTIFS(Connections!$C$6:$C$589,A92)</f>
        <v>2</v>
      </c>
      <c r="G92" s="10">
        <f>COUNTIFS(Connections!$B$6:$B$589,A92,Connections!$D$6:$D$589,"TRUE")+COUNTIFS(Connections!$C$6:$C$589,A92,Connections!$D$6:$D$589,"TRUE")</f>
        <v>0</v>
      </c>
      <c r="H92" s="11" t="s">
        <v>69</v>
      </c>
      <c r="I92" s="11" t="s">
        <v>70</v>
      </c>
      <c r="J92" s="12"/>
      <c r="K92" s="11"/>
      <c r="L92" s="4"/>
      <c r="M92" s="1" t="s">
        <v>215</v>
      </c>
      <c r="N92" s="1">
        <v>15</v>
      </c>
    </row>
    <row r="93" spans="1:14" ht="23.1" customHeight="1">
      <c r="A93" s="1" t="s">
        <v>229</v>
      </c>
      <c r="B93" s="1" t="s">
        <v>229</v>
      </c>
      <c r="C93" s="1" t="s">
        <v>213</v>
      </c>
      <c r="D93" s="3">
        <v>42.730605300636498</v>
      </c>
      <c r="E93" s="3">
        <v>-73.674052053539697</v>
      </c>
      <c r="F93" s="10">
        <f>COUNTIFS(Connections!$B$6:$B$589,A93)+COUNTIFS(Connections!$C$6:$C$589,A93)</f>
        <v>2</v>
      </c>
      <c r="G93" s="10">
        <f>COUNTIFS(Connections!$B$6:$B$589,A93,Connections!$D$6:$D$589,"TRUE")+COUNTIFS(Connections!$C$6:$C$589,A93,Connections!$D$6:$D$589,"TRUE")</f>
        <v>0</v>
      </c>
      <c r="H93" s="11" t="s">
        <v>69</v>
      </c>
      <c r="I93" s="11" t="s">
        <v>70</v>
      </c>
      <c r="J93" s="12"/>
      <c r="K93" s="11"/>
      <c r="L93" s="4"/>
      <c r="M93" s="1" t="s">
        <v>215</v>
      </c>
      <c r="N93" s="1">
        <v>16</v>
      </c>
    </row>
    <row r="94" spans="1:14" ht="23.1" customHeight="1">
      <c r="A94" s="1" t="s">
        <v>230</v>
      </c>
      <c r="B94" s="1" t="s">
        <v>230</v>
      </c>
      <c r="C94" s="1" t="s">
        <v>213</v>
      </c>
      <c r="D94" s="3">
        <v>42.7304294251283</v>
      </c>
      <c r="E94" s="3">
        <v>-73.6745868434827</v>
      </c>
      <c r="F94" s="10">
        <f>COUNTIFS(Connections!$B$6:$B$589,A94)+COUNTIFS(Connections!$C$6:$C$589,A94)</f>
        <v>2</v>
      </c>
      <c r="G94" s="10">
        <f>COUNTIFS(Connections!$B$6:$B$589,A94,Connections!$D$6:$D$589,"TRUE")+COUNTIFS(Connections!$C$6:$C$589,A94,Connections!$D$6:$D$589,"TRUE")</f>
        <v>0</v>
      </c>
      <c r="H94" s="11" t="s">
        <v>69</v>
      </c>
      <c r="I94" s="11" t="s">
        <v>70</v>
      </c>
      <c r="J94" s="12"/>
      <c r="K94" s="11"/>
      <c r="L94" s="4"/>
      <c r="M94" s="1" t="s">
        <v>215</v>
      </c>
      <c r="N94" s="1">
        <v>17</v>
      </c>
    </row>
    <row r="95" spans="1:14" ht="23.1" customHeight="1">
      <c r="A95" s="1" t="s">
        <v>231</v>
      </c>
      <c r="B95" s="1" t="s">
        <v>231</v>
      </c>
      <c r="C95" s="1" t="s">
        <v>213</v>
      </c>
      <c r="D95" s="3">
        <v>42.730334015538901</v>
      </c>
      <c r="E95" s="3">
        <v>-73.674703032964402</v>
      </c>
      <c r="F95" s="10">
        <f>COUNTIFS(Connections!$B$6:$B$589,A95)+COUNTIFS(Connections!$C$6:$C$589,A95)</f>
        <v>3</v>
      </c>
      <c r="G95" s="10">
        <f>COUNTIFS(Connections!$B$6:$B$589,A95,Connections!$D$6:$D$589,"TRUE")+COUNTIFS(Connections!$C$6:$C$589,A95,Connections!$D$6:$D$589,"TRUE")</f>
        <v>0</v>
      </c>
      <c r="H95" s="11" t="s">
        <v>69</v>
      </c>
      <c r="I95" s="11" t="s">
        <v>70</v>
      </c>
      <c r="J95" s="12"/>
      <c r="K95" s="11"/>
      <c r="L95" s="4"/>
      <c r="M95" s="1" t="s">
        <v>215</v>
      </c>
      <c r="N95" s="1">
        <v>18</v>
      </c>
    </row>
    <row r="96" spans="1:14" ht="23.1" customHeight="1">
      <c r="A96" s="1" t="s">
        <v>232</v>
      </c>
      <c r="B96" s="1" t="s">
        <v>232</v>
      </c>
      <c r="C96" s="1" t="s">
        <v>213</v>
      </c>
      <c r="D96" s="3">
        <v>42.730085720703897</v>
      </c>
      <c r="E96" s="3">
        <v>-73.675035685042104</v>
      </c>
      <c r="F96" s="10">
        <f>COUNTIFS(Connections!$B$6:$B$589,A96)+COUNTIFS(Connections!$C$6:$C$589,A96)</f>
        <v>3</v>
      </c>
      <c r="G96" s="10">
        <f>COUNTIFS(Connections!$B$6:$B$589,A96,Connections!$D$6:$D$589,"TRUE")+COUNTIFS(Connections!$C$6:$C$589,A96,Connections!$D$6:$D$589,"TRUE")</f>
        <v>0</v>
      </c>
      <c r="H96" s="11" t="s">
        <v>69</v>
      </c>
      <c r="I96" s="11" t="s">
        <v>70</v>
      </c>
      <c r="J96" s="12"/>
      <c r="K96" s="11"/>
      <c r="L96" s="4"/>
      <c r="M96" s="1" t="s">
        <v>215</v>
      </c>
      <c r="N96" s="1">
        <v>19</v>
      </c>
    </row>
    <row r="97" spans="1:14" ht="23.1" customHeight="1">
      <c r="A97" s="1" t="s">
        <v>233</v>
      </c>
      <c r="B97" s="1" t="s">
        <v>233</v>
      </c>
      <c r="C97" s="1" t="s">
        <v>213</v>
      </c>
      <c r="D97" s="3">
        <v>42.730307576737097</v>
      </c>
      <c r="E97" s="3">
        <v>-73.675861744507699</v>
      </c>
      <c r="F97" s="10">
        <f>COUNTIFS(Connections!$B$6:$B$589,A97)+COUNTIFS(Connections!$C$6:$C$589,A97)</f>
        <v>3</v>
      </c>
      <c r="G97" s="10">
        <f>COUNTIFS(Connections!$B$6:$B$589,A97,Connections!$D$6:$D$589,"TRUE")+COUNTIFS(Connections!$C$6:$C$589,A97,Connections!$D$6:$D$589,"TRUE")</f>
        <v>0</v>
      </c>
      <c r="H97" s="11" t="s">
        <v>69</v>
      </c>
      <c r="I97" s="11" t="s">
        <v>70</v>
      </c>
      <c r="J97" s="12"/>
      <c r="K97" s="11"/>
      <c r="L97" s="4"/>
      <c r="M97" s="1" t="s">
        <v>215</v>
      </c>
      <c r="N97" s="1">
        <v>20</v>
      </c>
    </row>
    <row r="98" spans="1:14" ht="23.1" customHeight="1">
      <c r="A98" s="1" t="s">
        <v>234</v>
      </c>
      <c r="B98" s="1" t="s">
        <v>234</v>
      </c>
      <c r="C98" s="1" t="s">
        <v>213</v>
      </c>
      <c r="D98" s="3">
        <v>42.730713354870304</v>
      </c>
      <c r="E98" s="3">
        <v>-73.675266472368705</v>
      </c>
      <c r="F98" s="10">
        <f>COUNTIFS(Connections!$B$6:$B$589,A98)+COUNTIFS(Connections!$C$6:$C$589,A98)</f>
        <v>3</v>
      </c>
      <c r="G98" s="10">
        <f>COUNTIFS(Connections!$B$6:$B$589,A98,Connections!$D$6:$D$589,"TRUE")+COUNTIFS(Connections!$C$6:$C$589,A98,Connections!$D$6:$D$589,"TRUE")</f>
        <v>0</v>
      </c>
      <c r="H98" s="11" t="s">
        <v>69</v>
      </c>
      <c r="I98" s="11" t="s">
        <v>70</v>
      </c>
      <c r="J98" s="12"/>
      <c r="K98" s="11"/>
      <c r="L98" s="4"/>
      <c r="M98" s="1" t="s">
        <v>215</v>
      </c>
      <c r="N98" s="1">
        <v>21</v>
      </c>
    </row>
    <row r="99" spans="1:14" ht="23.1" customHeight="1">
      <c r="A99" s="1" t="s">
        <v>235</v>
      </c>
      <c r="B99" s="1" t="s">
        <v>235</v>
      </c>
      <c r="C99" s="1" t="s">
        <v>213</v>
      </c>
      <c r="D99" s="3">
        <v>42.731667450764299</v>
      </c>
      <c r="E99" s="3">
        <v>-73.672213713110395</v>
      </c>
      <c r="F99" s="10">
        <f>COUNTIFS(Connections!$B$6:$B$589,A99)+COUNTIFS(Connections!$C$6:$C$589,A99)</f>
        <v>2</v>
      </c>
      <c r="G99" s="10">
        <f>COUNTIFS(Connections!$B$6:$B$589,A99,Connections!$D$6:$D$589,"TRUE")+COUNTIFS(Connections!$C$6:$C$589,A99,Connections!$D$6:$D$589,"TRUE")</f>
        <v>0</v>
      </c>
      <c r="H99" s="11" t="s">
        <v>69</v>
      </c>
      <c r="I99" s="11" t="s">
        <v>70</v>
      </c>
      <c r="J99" s="12"/>
      <c r="K99" s="11"/>
      <c r="L99" s="4"/>
      <c r="M99" s="1" t="s">
        <v>215</v>
      </c>
      <c r="N99" s="1">
        <v>22</v>
      </c>
    </row>
    <row r="100" spans="1:14" ht="23.1" customHeight="1">
      <c r="A100" s="1" t="s">
        <v>236</v>
      </c>
      <c r="B100" s="1" t="s">
        <v>236</v>
      </c>
      <c r="C100" s="1" t="s">
        <v>213</v>
      </c>
      <c r="D100" s="3">
        <v>42.731659404172397</v>
      </c>
      <c r="E100" s="3">
        <v>-73.671796704285796</v>
      </c>
      <c r="F100" s="10">
        <f>COUNTIFS(Connections!$B$6:$B$589,A100)+COUNTIFS(Connections!$C$6:$C$589,A100)</f>
        <v>3</v>
      </c>
      <c r="G100" s="10">
        <f>COUNTIFS(Connections!$B$6:$B$589,A100,Connections!$D$6:$D$589,"TRUE")+COUNTIFS(Connections!$C$6:$C$589,A100,Connections!$D$6:$D$589,"TRUE")</f>
        <v>0</v>
      </c>
      <c r="H100" s="11" t="s">
        <v>69</v>
      </c>
      <c r="I100" s="11" t="s">
        <v>70</v>
      </c>
      <c r="J100" s="12"/>
      <c r="K100" s="11"/>
      <c r="L100" s="4"/>
      <c r="M100" s="1" t="s">
        <v>215</v>
      </c>
      <c r="N100" s="1">
        <v>23</v>
      </c>
    </row>
    <row r="101" spans="1:14" ht="23.1" customHeight="1">
      <c r="A101" s="1" t="s">
        <v>237</v>
      </c>
      <c r="B101" s="1" t="s">
        <v>237</v>
      </c>
      <c r="C101" s="1" t="s">
        <v>213</v>
      </c>
      <c r="D101" s="3">
        <v>42.731690441026799</v>
      </c>
      <c r="E101" s="3">
        <v>-73.673133679143405</v>
      </c>
      <c r="F101" s="10">
        <f>COUNTIFS(Connections!$B$6:$B$589,A101)+COUNTIFS(Connections!$C$6:$C$589,A101)</f>
        <v>1</v>
      </c>
      <c r="G101" s="10">
        <f>COUNTIFS(Connections!$B$6:$B$589,A101,Connections!$D$6:$D$589,"TRUE")+COUNTIFS(Connections!$C$6:$C$589,A101,Connections!$D$6:$D$589,"TRUE")</f>
        <v>0</v>
      </c>
      <c r="H101" s="11" t="s">
        <v>69</v>
      </c>
      <c r="I101" s="11" t="s">
        <v>70</v>
      </c>
      <c r="J101" s="12"/>
      <c r="K101" s="11"/>
      <c r="L101" s="4"/>
      <c r="M101" s="1" t="s">
        <v>215</v>
      </c>
      <c r="N101" s="1">
        <v>24</v>
      </c>
    </row>
    <row r="102" spans="1:14" ht="23.1" customHeight="1">
      <c r="A102" s="1" t="s">
        <v>238</v>
      </c>
      <c r="B102" s="1" t="s">
        <v>238</v>
      </c>
      <c r="C102" s="1" t="s">
        <v>213</v>
      </c>
      <c r="D102" s="3">
        <v>42.731652507093699</v>
      </c>
      <c r="E102" s="3">
        <v>-73.672934724551496</v>
      </c>
      <c r="F102" s="10">
        <f>COUNTIFS(Connections!$B$6:$B$589,A102)+COUNTIFS(Connections!$C$6:$C$589,A102)</f>
        <v>3</v>
      </c>
      <c r="G102" s="10">
        <f>COUNTIFS(Connections!$B$6:$B$589,A102,Connections!$D$6:$D$589,"TRUE")+COUNTIFS(Connections!$C$6:$C$589,A102,Connections!$D$6:$D$589,"TRUE")</f>
        <v>0</v>
      </c>
      <c r="H102" s="11" t="s">
        <v>69</v>
      </c>
      <c r="I102" s="11" t="s">
        <v>70</v>
      </c>
      <c r="J102" s="12"/>
      <c r="K102" s="11"/>
      <c r="L102" s="4"/>
      <c r="M102" s="1" t="s">
        <v>215</v>
      </c>
      <c r="N102" s="1">
        <v>25</v>
      </c>
    </row>
    <row r="103" spans="1:14" ht="23.1" customHeight="1">
      <c r="A103" s="1" t="s">
        <v>239</v>
      </c>
      <c r="B103" s="1" t="s">
        <v>239</v>
      </c>
      <c r="C103" s="1" t="s">
        <v>213</v>
      </c>
      <c r="D103" s="3">
        <v>42.729121279191702</v>
      </c>
      <c r="E103" s="3">
        <v>-73.672520899000304</v>
      </c>
      <c r="F103" s="10">
        <f>COUNTIFS(Connections!$B$6:$B$589,A103)+COUNTIFS(Connections!$C$6:$C$589,A103)</f>
        <v>3</v>
      </c>
      <c r="G103" s="10">
        <f>COUNTIFS(Connections!$B$6:$B$589,A103,Connections!$D$6:$D$589,"TRUE")+COUNTIFS(Connections!$C$6:$C$589,A103,Connections!$D$6:$D$589,"TRUE")</f>
        <v>0</v>
      </c>
      <c r="H103" s="11" t="s">
        <v>69</v>
      </c>
      <c r="I103" s="11" t="s">
        <v>70</v>
      </c>
      <c r="J103" s="12"/>
      <c r="K103" s="11"/>
      <c r="L103" s="4"/>
      <c r="M103" s="1" t="s">
        <v>215</v>
      </c>
      <c r="N103" s="1">
        <v>26</v>
      </c>
    </row>
    <row r="104" spans="1:14" ht="23.1" customHeight="1">
      <c r="A104" s="1" t="s">
        <v>240</v>
      </c>
      <c r="B104" s="1" t="s">
        <v>240</v>
      </c>
      <c r="C104" s="1" t="s">
        <v>213</v>
      </c>
      <c r="D104" s="3">
        <v>42.729514412680601</v>
      </c>
      <c r="E104" s="3">
        <v>-73.674416538352006</v>
      </c>
      <c r="F104" s="10">
        <f>COUNTIFS(Connections!$B$6:$B$589,A104)+COUNTIFS(Connections!$C$6:$C$589,A104)</f>
        <v>3</v>
      </c>
      <c r="G104" s="10">
        <f>COUNTIFS(Connections!$B$6:$B$589,A104,Connections!$D$6:$D$589,"TRUE")+COUNTIFS(Connections!$C$6:$C$589,A104,Connections!$D$6:$D$589,"TRUE")</f>
        <v>0</v>
      </c>
      <c r="H104" s="11" t="s">
        <v>69</v>
      </c>
      <c r="I104" s="11" t="s">
        <v>70</v>
      </c>
      <c r="J104" s="12"/>
      <c r="K104" s="11"/>
      <c r="L104" s="4"/>
      <c r="M104" s="1" t="s">
        <v>215</v>
      </c>
      <c r="N104" s="1">
        <v>27</v>
      </c>
    </row>
    <row r="105" spans="1:14" ht="23.1" customHeight="1">
      <c r="A105" s="1" t="s">
        <v>241</v>
      </c>
      <c r="B105" s="1" t="s">
        <v>241</v>
      </c>
      <c r="C105" s="1" t="s">
        <v>213</v>
      </c>
      <c r="D105" s="3">
        <v>42.729362676948</v>
      </c>
      <c r="E105" s="3">
        <v>-73.673436090123104</v>
      </c>
      <c r="F105" s="10">
        <f>COUNTIFS(Connections!$B$6:$B$589,A105)+COUNTIFS(Connections!$C$6:$C$589,A105)</f>
        <v>2</v>
      </c>
      <c r="G105" s="10">
        <f>COUNTIFS(Connections!$B$6:$B$589,A105,Connections!$D$6:$D$589,"TRUE")+COUNTIFS(Connections!$C$6:$C$589,A105,Connections!$D$6:$D$589,"TRUE")</f>
        <v>0</v>
      </c>
      <c r="H105" s="11" t="s">
        <v>69</v>
      </c>
      <c r="I105" s="11" t="s">
        <v>70</v>
      </c>
      <c r="J105" s="12"/>
      <c r="K105" s="11"/>
      <c r="L105" s="4"/>
      <c r="M105" s="1" t="s">
        <v>215</v>
      </c>
      <c r="N105" s="1">
        <v>28</v>
      </c>
    </row>
    <row r="106" spans="1:14" ht="23.1" customHeight="1">
      <c r="A106" s="1" t="s">
        <v>242</v>
      </c>
      <c r="B106" s="1" t="s">
        <v>242</v>
      </c>
      <c r="C106" s="1" t="s">
        <v>213</v>
      </c>
      <c r="D106" s="3">
        <v>42.729230482938597</v>
      </c>
      <c r="E106" s="3">
        <v>-73.672996798384204</v>
      </c>
      <c r="F106" s="10">
        <f>COUNTIFS(Connections!$B$6:$B$589,A106)+COUNTIFS(Connections!$C$6:$C$589,A106)</f>
        <v>4</v>
      </c>
      <c r="G106" s="10">
        <f>COUNTIFS(Connections!$B$6:$B$589,A106,Connections!$D$6:$D$589,"TRUE")+COUNTIFS(Connections!$C$6:$C$589,A106,Connections!$D$6:$D$589,"TRUE")</f>
        <v>0</v>
      </c>
      <c r="H106" s="11" t="s">
        <v>69</v>
      </c>
      <c r="I106" s="11" t="s">
        <v>70</v>
      </c>
      <c r="J106" s="12"/>
      <c r="K106" s="11"/>
      <c r="L106" s="4"/>
      <c r="M106" s="1" t="s">
        <v>215</v>
      </c>
      <c r="N106" s="1">
        <v>29</v>
      </c>
    </row>
    <row r="107" spans="1:14" ht="23.1" customHeight="1">
      <c r="A107" s="1" t="s">
        <v>243</v>
      </c>
      <c r="B107" s="1" t="s">
        <v>243</v>
      </c>
      <c r="C107" s="1" t="s">
        <v>213</v>
      </c>
      <c r="D107" s="3">
        <v>42.728793667951003</v>
      </c>
      <c r="E107" s="3">
        <v>-73.673117762776101</v>
      </c>
      <c r="F107" s="10">
        <f>COUNTIFS(Connections!$B$6:$B$589,A107)+COUNTIFS(Connections!$C$6:$C$589,A107)</f>
        <v>2</v>
      </c>
      <c r="G107" s="10">
        <f>COUNTIFS(Connections!$B$6:$B$589,A107,Connections!$D$6:$D$589,"TRUE")+COUNTIFS(Connections!$C$6:$C$589,A107,Connections!$D$6:$D$589,"TRUE")</f>
        <v>0</v>
      </c>
      <c r="H107" s="11" t="s">
        <v>69</v>
      </c>
      <c r="I107" s="11" t="s">
        <v>70</v>
      </c>
      <c r="J107" s="12"/>
      <c r="K107" s="11"/>
      <c r="L107" s="4"/>
      <c r="M107" s="1" t="s">
        <v>215</v>
      </c>
      <c r="N107" s="1">
        <v>30</v>
      </c>
    </row>
    <row r="108" spans="1:14" ht="23.1" customHeight="1">
      <c r="A108" s="1" t="s">
        <v>244</v>
      </c>
      <c r="B108" s="1" t="s">
        <v>244</v>
      </c>
      <c r="C108" s="1" t="s">
        <v>213</v>
      </c>
      <c r="D108" s="3">
        <v>42.728632736113497</v>
      </c>
      <c r="E108" s="3">
        <v>-73.674184159388702</v>
      </c>
      <c r="F108" s="10">
        <f>COUNTIFS(Connections!$B$6:$B$589,A108)+COUNTIFS(Connections!$C$6:$C$589,A108)</f>
        <v>6</v>
      </c>
      <c r="G108" s="10">
        <f>COUNTIFS(Connections!$B$6:$B$589,A108,Connections!$D$6:$D$589,"TRUE")+COUNTIFS(Connections!$C$6:$C$589,A108,Connections!$D$6:$D$589,"TRUE")</f>
        <v>0</v>
      </c>
      <c r="H108" s="11" t="s">
        <v>69</v>
      </c>
      <c r="I108" s="11" t="s">
        <v>70</v>
      </c>
      <c r="J108" s="12"/>
      <c r="K108" s="11"/>
      <c r="L108" s="4"/>
      <c r="M108" s="1" t="s">
        <v>215</v>
      </c>
      <c r="N108" s="1">
        <v>31</v>
      </c>
    </row>
    <row r="109" spans="1:14" ht="23.1" customHeight="1">
      <c r="A109" s="1" t="s">
        <v>245</v>
      </c>
      <c r="B109" s="1" t="s">
        <v>245</v>
      </c>
      <c r="C109" s="1" t="s">
        <v>213</v>
      </c>
      <c r="D109" s="3">
        <v>42.728448814013397</v>
      </c>
      <c r="E109" s="3">
        <v>-73.673318309004699</v>
      </c>
      <c r="F109" s="10">
        <f>COUNTIFS(Connections!$B$6:$B$589,A109)+COUNTIFS(Connections!$C$6:$C$589,A109)</f>
        <v>2</v>
      </c>
      <c r="G109" s="10">
        <f>COUNTIFS(Connections!$B$6:$B$589,A109,Connections!$D$6:$D$589,"TRUE")+COUNTIFS(Connections!$C$6:$C$589,A109,Connections!$D$6:$D$589,"TRUE")</f>
        <v>0</v>
      </c>
      <c r="H109" s="11" t="s">
        <v>69</v>
      </c>
      <c r="I109" s="11" t="s">
        <v>70</v>
      </c>
      <c r="J109" s="12"/>
      <c r="K109" s="11"/>
      <c r="L109" s="4"/>
      <c r="M109" s="1" t="s">
        <v>215</v>
      </c>
      <c r="N109" s="1">
        <v>32</v>
      </c>
    </row>
    <row r="110" spans="1:14" ht="23.1" customHeight="1">
      <c r="A110" s="1" t="s">
        <v>246</v>
      </c>
      <c r="B110" s="1" t="s">
        <v>246</v>
      </c>
      <c r="C110" s="1" t="s">
        <v>213</v>
      </c>
      <c r="D110" s="3">
        <v>42.729004028852998</v>
      </c>
      <c r="E110" s="3">
        <v>-73.673467922857796</v>
      </c>
      <c r="F110" s="10">
        <f>COUNTIFS(Connections!$B$6:$B$589,A110)+COUNTIFS(Connections!$C$6:$C$589,A110)</f>
        <v>2</v>
      </c>
      <c r="G110" s="10">
        <f>COUNTIFS(Connections!$B$6:$B$589,A110,Connections!$D$6:$D$589,"TRUE")+COUNTIFS(Connections!$C$6:$C$589,A110,Connections!$D$6:$D$589,"TRUE")</f>
        <v>0</v>
      </c>
      <c r="H110" s="11" t="s">
        <v>69</v>
      </c>
      <c r="I110" s="11" t="s">
        <v>70</v>
      </c>
      <c r="J110" s="12"/>
      <c r="K110" s="11"/>
      <c r="L110" s="4"/>
      <c r="M110" s="1" t="s">
        <v>215</v>
      </c>
      <c r="N110" s="1">
        <v>33</v>
      </c>
    </row>
    <row r="111" spans="1:14" ht="23.1" customHeight="1">
      <c r="A111" s="1" t="s">
        <v>247</v>
      </c>
      <c r="B111" s="1" t="s">
        <v>247</v>
      </c>
      <c r="C111" s="1" t="s">
        <v>213</v>
      </c>
      <c r="D111" s="3">
        <v>42.728833900910402</v>
      </c>
      <c r="E111" s="3">
        <v>-73.673783066931406</v>
      </c>
      <c r="F111" s="10">
        <f>COUNTIFS(Connections!$B$6:$B$589,A111)+COUNTIFS(Connections!$C$6:$C$589,A111)</f>
        <v>2</v>
      </c>
      <c r="G111" s="10">
        <f>COUNTIFS(Connections!$B$6:$B$589,A111,Connections!$D$6:$D$589,"TRUE")+COUNTIFS(Connections!$C$6:$C$589,A111,Connections!$D$6:$D$589,"TRUE")</f>
        <v>0</v>
      </c>
      <c r="H111" s="11" t="s">
        <v>69</v>
      </c>
      <c r="I111" s="11" t="s">
        <v>70</v>
      </c>
      <c r="J111" s="12"/>
      <c r="K111" s="11"/>
      <c r="L111" s="4"/>
      <c r="M111" s="1" t="s">
        <v>215</v>
      </c>
      <c r="N111" s="1">
        <v>34</v>
      </c>
    </row>
    <row r="112" spans="1:14" ht="23.1" customHeight="1">
      <c r="A112" s="1" t="s">
        <v>248</v>
      </c>
      <c r="B112" s="1" t="s">
        <v>248</v>
      </c>
      <c r="C112" s="1" t="s">
        <v>213</v>
      </c>
      <c r="D112" s="3">
        <v>42.728839648475997</v>
      </c>
      <c r="E112" s="3">
        <v>-73.674088661184598</v>
      </c>
      <c r="F112" s="10">
        <f>COUNTIFS(Connections!$B$6:$B$589,A112)+COUNTIFS(Connections!$C$6:$C$589,A112)</f>
        <v>4</v>
      </c>
      <c r="G112" s="10">
        <f>COUNTIFS(Connections!$B$6:$B$589,A112,Connections!$D$6:$D$589,"TRUE")+COUNTIFS(Connections!$C$6:$C$589,A112,Connections!$D$6:$D$589,"TRUE")</f>
        <v>0</v>
      </c>
      <c r="H112" s="11" t="s">
        <v>69</v>
      </c>
      <c r="I112" s="11" t="s">
        <v>70</v>
      </c>
      <c r="J112" s="12"/>
      <c r="K112" s="11"/>
      <c r="L112" s="4"/>
      <c r="M112" s="1" t="s">
        <v>215</v>
      </c>
      <c r="N112" s="1">
        <v>35</v>
      </c>
    </row>
    <row r="113" spans="1:14" ht="23.1" customHeight="1">
      <c r="A113" s="1" t="s">
        <v>249</v>
      </c>
      <c r="B113" s="1" t="s">
        <v>249</v>
      </c>
      <c r="C113" s="1" t="s">
        <v>213</v>
      </c>
      <c r="D113" s="3">
        <v>42.7289339085523</v>
      </c>
      <c r="E113" s="3">
        <v>-73.674429271445902</v>
      </c>
      <c r="F113" s="10">
        <f>COUNTIFS(Connections!$B$6:$B$589,A113)+COUNTIFS(Connections!$C$6:$C$589,A113)</f>
        <v>2</v>
      </c>
      <c r="G113" s="10">
        <f>COUNTIFS(Connections!$B$6:$B$589,A113,Connections!$D$6:$D$589,"TRUE")+COUNTIFS(Connections!$C$6:$C$589,A113,Connections!$D$6:$D$589,"TRUE")</f>
        <v>0</v>
      </c>
      <c r="H113" s="11" t="s">
        <v>69</v>
      </c>
      <c r="I113" s="11" t="s">
        <v>70</v>
      </c>
      <c r="J113" s="12"/>
      <c r="K113" s="11"/>
      <c r="L113" s="4"/>
      <c r="M113" s="1" t="s">
        <v>215</v>
      </c>
      <c r="N113" s="1">
        <v>36</v>
      </c>
    </row>
    <row r="114" spans="1:14" ht="23.1" customHeight="1">
      <c r="A114" s="1" t="s">
        <v>250</v>
      </c>
      <c r="B114" s="1" t="s">
        <v>250</v>
      </c>
      <c r="C114" s="1" t="s">
        <v>213</v>
      </c>
      <c r="D114" s="3">
        <v>42.729264968332402</v>
      </c>
      <c r="E114" s="3">
        <v>-73.6746298176746</v>
      </c>
      <c r="F114" s="10">
        <f>COUNTIFS(Connections!$B$6:$B$589,A114)+COUNTIFS(Connections!$C$6:$C$589,A114)</f>
        <v>2</v>
      </c>
      <c r="G114" s="10">
        <f>COUNTIFS(Connections!$B$6:$B$589,A114,Connections!$D$6:$D$589,"TRUE")+COUNTIFS(Connections!$C$6:$C$589,A114,Connections!$D$6:$D$589,"TRUE")</f>
        <v>0</v>
      </c>
      <c r="H114" s="11" t="s">
        <v>69</v>
      </c>
      <c r="I114" s="11" t="s">
        <v>70</v>
      </c>
      <c r="J114" s="12"/>
      <c r="K114" s="11"/>
      <c r="L114" s="4"/>
      <c r="M114" s="1" t="s">
        <v>215</v>
      </c>
      <c r="N114" s="1">
        <v>37</v>
      </c>
    </row>
    <row r="115" spans="1:14" ht="23.1" customHeight="1">
      <c r="A115" s="1" t="s">
        <v>251</v>
      </c>
      <c r="B115" s="1" t="s">
        <v>251</v>
      </c>
      <c r="C115" s="1" t="s">
        <v>213</v>
      </c>
      <c r="D115" s="3">
        <v>42.7285177848009</v>
      </c>
      <c r="E115" s="3">
        <v>-73.6745438692909</v>
      </c>
      <c r="F115" s="10">
        <f>COUNTIFS(Connections!$B$6:$B$589,A115)+COUNTIFS(Connections!$C$6:$C$589,A115)</f>
        <v>4</v>
      </c>
      <c r="G115" s="10">
        <f>COUNTIFS(Connections!$B$6:$B$589,A115,Connections!$D$6:$D$589,"TRUE")+COUNTIFS(Connections!$C$6:$C$589,A115,Connections!$D$6:$D$589,"TRUE")</f>
        <v>0</v>
      </c>
      <c r="H115" s="11" t="s">
        <v>69</v>
      </c>
      <c r="I115" s="11" t="s">
        <v>70</v>
      </c>
      <c r="J115" s="12"/>
      <c r="K115" s="11"/>
      <c r="L115" s="4"/>
      <c r="M115" s="1" t="s">
        <v>215</v>
      </c>
      <c r="N115" s="1">
        <v>38</v>
      </c>
    </row>
    <row r="116" spans="1:14" ht="23.1" customHeight="1">
      <c r="A116" s="1" t="s">
        <v>252</v>
      </c>
      <c r="B116" s="1" t="s">
        <v>252</v>
      </c>
      <c r="C116" s="1" t="s">
        <v>213</v>
      </c>
      <c r="D116" s="3">
        <v>42.728314320977802</v>
      </c>
      <c r="E116" s="3">
        <v>-73.674715766058299</v>
      </c>
      <c r="F116" s="10">
        <f>COUNTIFS(Connections!$B$6:$B$589,A116)+COUNTIFS(Connections!$C$6:$C$589,A116)</f>
        <v>4</v>
      </c>
      <c r="G116" s="10">
        <f>COUNTIFS(Connections!$B$6:$B$589,A116,Connections!$D$6:$D$589,"TRUE")+COUNTIFS(Connections!$C$6:$C$589,A116,Connections!$D$6:$D$589,"TRUE")</f>
        <v>0</v>
      </c>
      <c r="H116" s="11" t="s">
        <v>69</v>
      </c>
      <c r="I116" s="11" t="s">
        <v>70</v>
      </c>
      <c r="J116" s="12"/>
      <c r="K116" s="11"/>
      <c r="L116" s="4"/>
      <c r="M116" s="1" t="s">
        <v>215</v>
      </c>
      <c r="N116" s="1">
        <v>39</v>
      </c>
    </row>
    <row r="117" spans="1:14" ht="23.1" customHeight="1">
      <c r="A117" s="1" t="s">
        <v>253</v>
      </c>
      <c r="B117" s="1" t="s">
        <v>253</v>
      </c>
      <c r="C117" s="1" t="s">
        <v>213</v>
      </c>
      <c r="D117" s="3">
        <v>42.728103960075799</v>
      </c>
      <c r="E117" s="3">
        <v>-73.673722584735501</v>
      </c>
      <c r="F117" s="10">
        <f>COUNTIFS(Connections!$B$6:$B$589,A117)+COUNTIFS(Connections!$C$6:$C$589,A117)</f>
        <v>4</v>
      </c>
      <c r="G117" s="10">
        <f>COUNTIFS(Connections!$B$6:$B$589,A117,Connections!$D$6:$D$589,"TRUE")+COUNTIFS(Connections!$C$6:$C$589,A117,Connections!$D$6:$D$589,"TRUE")</f>
        <v>0</v>
      </c>
      <c r="H117" s="11" t="s">
        <v>69</v>
      </c>
      <c r="I117" s="11" t="s">
        <v>70</v>
      </c>
      <c r="J117" s="12"/>
      <c r="K117" s="11"/>
      <c r="L117" s="4"/>
      <c r="M117" s="1" t="s">
        <v>215</v>
      </c>
      <c r="N117" s="1">
        <v>40</v>
      </c>
    </row>
    <row r="118" spans="1:14" ht="23.1" customHeight="1">
      <c r="A118" s="1" t="s">
        <v>254</v>
      </c>
      <c r="B118" s="1" t="s">
        <v>254</v>
      </c>
      <c r="C118" s="1" t="s">
        <v>213</v>
      </c>
      <c r="D118" s="3">
        <v>42.728448814013397</v>
      </c>
      <c r="E118" s="3">
        <v>-73.673897664776305</v>
      </c>
      <c r="F118" s="10">
        <f>COUNTIFS(Connections!$B$6:$B$589,A118)+COUNTIFS(Connections!$C$6:$C$589,A118)</f>
        <v>2</v>
      </c>
      <c r="G118" s="10">
        <f>COUNTIFS(Connections!$B$6:$B$589,A118,Connections!$D$6:$D$589,"TRUE")+COUNTIFS(Connections!$C$6:$C$589,A118,Connections!$D$6:$D$589,"TRUE")</f>
        <v>0</v>
      </c>
      <c r="H118" s="11" t="s">
        <v>69</v>
      </c>
      <c r="I118" s="11" t="s">
        <v>70</v>
      </c>
      <c r="J118" s="12"/>
      <c r="K118" s="11"/>
      <c r="L118" s="4"/>
      <c r="M118" s="1" t="s">
        <v>215</v>
      </c>
      <c r="N118" s="1">
        <v>41</v>
      </c>
    </row>
    <row r="119" spans="1:14" ht="23.1" customHeight="1">
      <c r="A119" s="1" t="s">
        <v>255</v>
      </c>
      <c r="B119" s="1" t="s">
        <v>255</v>
      </c>
      <c r="C119" s="1" t="s">
        <v>213</v>
      </c>
      <c r="D119" s="3">
        <v>42.728000503894599</v>
      </c>
      <c r="E119" s="3">
        <v>-73.672879017265799</v>
      </c>
      <c r="F119" s="10">
        <f>COUNTIFS(Connections!$B$6:$B$589,A119)+COUNTIFS(Connections!$C$6:$C$589,A119)</f>
        <v>3</v>
      </c>
      <c r="G119" s="10">
        <f>COUNTIFS(Connections!$B$6:$B$589,A119,Connections!$D$6:$D$589,"TRUE")+COUNTIFS(Connections!$C$6:$C$589,A119,Connections!$D$6:$D$589,"TRUE")</f>
        <v>0</v>
      </c>
      <c r="H119" s="11" t="s">
        <v>69</v>
      </c>
      <c r="I119" s="11" t="s">
        <v>70</v>
      </c>
      <c r="J119" s="12"/>
      <c r="K119" s="11"/>
      <c r="L119" s="4"/>
      <c r="M119" s="1" t="s">
        <v>215</v>
      </c>
      <c r="N119" s="1">
        <v>42</v>
      </c>
    </row>
    <row r="120" spans="1:14" ht="23.1" customHeight="1">
      <c r="A120" s="1" t="s">
        <v>256</v>
      </c>
      <c r="B120" s="1" t="s">
        <v>256</v>
      </c>
      <c r="C120" s="1" t="s">
        <v>213</v>
      </c>
      <c r="D120" s="3">
        <v>42.728851143607301</v>
      </c>
      <c r="E120" s="3">
        <v>-73.674995894123697</v>
      </c>
      <c r="F120" s="10">
        <f>COUNTIFS(Connections!$B$6:$B$589,A120)+COUNTIFS(Connections!$C$6:$C$589,A120)</f>
        <v>2</v>
      </c>
      <c r="G120" s="10">
        <f>COUNTIFS(Connections!$B$6:$B$589,A120,Connections!$D$6:$D$589,"TRUE")+COUNTIFS(Connections!$C$6:$C$589,A120,Connections!$D$6:$D$589,"TRUE")</f>
        <v>0</v>
      </c>
      <c r="H120" s="11" t="s">
        <v>69</v>
      </c>
      <c r="I120" s="11" t="s">
        <v>70</v>
      </c>
      <c r="J120" s="12"/>
      <c r="K120" s="11"/>
      <c r="L120" s="4"/>
      <c r="M120" s="1" t="s">
        <v>215</v>
      </c>
      <c r="N120" s="1">
        <v>43</v>
      </c>
    </row>
    <row r="121" spans="1:14" ht="23.1" customHeight="1">
      <c r="A121" s="1" t="s">
        <v>257</v>
      </c>
      <c r="B121" s="1" t="s">
        <v>257</v>
      </c>
      <c r="C121" s="1" t="s">
        <v>213</v>
      </c>
      <c r="D121" s="3">
        <v>42.729000580313603</v>
      </c>
      <c r="E121" s="3">
        <v>-73.675322179654401</v>
      </c>
      <c r="F121" s="10">
        <f>COUNTIFS(Connections!$B$6:$B$589,A121)+COUNTIFS(Connections!$C$6:$C$589,A121)</f>
        <v>3</v>
      </c>
      <c r="G121" s="10">
        <f>COUNTIFS(Connections!$B$6:$B$589,A121,Connections!$D$6:$D$589,"TRUE")+COUNTIFS(Connections!$C$6:$C$589,A121,Connections!$D$6:$D$589,"TRUE")</f>
        <v>0</v>
      </c>
      <c r="H121" s="11" t="s">
        <v>69</v>
      </c>
      <c r="I121" s="11" t="s">
        <v>70</v>
      </c>
      <c r="J121" s="12"/>
      <c r="K121" s="11"/>
      <c r="L121" s="4"/>
      <c r="M121" s="1" t="s">
        <v>215</v>
      </c>
      <c r="N121" s="1">
        <v>44</v>
      </c>
    </row>
    <row r="122" spans="1:14" ht="23.1" customHeight="1">
      <c r="A122" s="1" t="s">
        <v>258</v>
      </c>
      <c r="B122" s="1" t="s">
        <v>258</v>
      </c>
      <c r="C122" s="1" t="s">
        <v>213</v>
      </c>
      <c r="D122" s="3">
        <v>42.729248875148599</v>
      </c>
      <c r="E122" s="3">
        <v>-73.675734413568804</v>
      </c>
      <c r="F122" s="10">
        <f>COUNTIFS(Connections!$B$6:$B$589,A122)+COUNTIFS(Connections!$C$6:$C$589,A122)</f>
        <v>4</v>
      </c>
      <c r="G122" s="10">
        <f>COUNTIFS(Connections!$B$6:$B$589,A122,Connections!$D$6:$D$589,"TRUE")+COUNTIFS(Connections!$C$6:$C$589,A122,Connections!$D$6:$D$589,"TRUE")</f>
        <v>0</v>
      </c>
      <c r="H122" s="11" t="s">
        <v>69</v>
      </c>
      <c r="I122" s="11" t="s">
        <v>70</v>
      </c>
      <c r="J122" s="12"/>
      <c r="K122" s="11"/>
      <c r="L122" s="4"/>
      <c r="M122" s="1" t="s">
        <v>215</v>
      </c>
      <c r="N122" s="1">
        <v>45</v>
      </c>
    </row>
    <row r="123" spans="1:14" ht="23.1" customHeight="1">
      <c r="A123" s="1" t="s">
        <v>259</v>
      </c>
      <c r="B123" s="1" t="s">
        <v>259</v>
      </c>
      <c r="C123" s="1" t="s">
        <v>213</v>
      </c>
      <c r="D123" s="3">
        <v>42.728766079636003</v>
      </c>
      <c r="E123" s="3">
        <v>-73.675486118238098</v>
      </c>
      <c r="F123" s="10">
        <f>COUNTIFS(Connections!$B$6:$B$589,A123)+COUNTIFS(Connections!$C$6:$C$589,A123)</f>
        <v>2</v>
      </c>
      <c r="G123" s="10">
        <f>COUNTIFS(Connections!$B$6:$B$589,A123,Connections!$D$6:$D$589,"TRUE")+COUNTIFS(Connections!$C$6:$C$589,A123,Connections!$D$6:$D$589,"TRUE")</f>
        <v>0</v>
      </c>
      <c r="H123" s="11" t="s">
        <v>69</v>
      </c>
      <c r="I123" s="11" t="s">
        <v>70</v>
      </c>
      <c r="J123" s="12"/>
      <c r="K123" s="11"/>
      <c r="L123" s="4"/>
      <c r="M123" s="1" t="s">
        <v>215</v>
      </c>
      <c r="N123" s="1">
        <v>46</v>
      </c>
    </row>
    <row r="124" spans="1:14" ht="23.1" customHeight="1">
      <c r="A124" s="1" t="s">
        <v>260</v>
      </c>
      <c r="B124" s="1" t="s">
        <v>260</v>
      </c>
      <c r="C124" s="1" t="s">
        <v>213</v>
      </c>
      <c r="D124" s="3">
        <v>42.728414328619699</v>
      </c>
      <c r="E124" s="3">
        <v>-73.675537050613698</v>
      </c>
      <c r="F124" s="10">
        <f>COUNTIFS(Connections!$B$6:$B$589,A124)+COUNTIFS(Connections!$C$6:$C$589,A124)</f>
        <v>3</v>
      </c>
      <c r="G124" s="10">
        <f>COUNTIFS(Connections!$B$6:$B$589,A124,Connections!$D$6:$D$589,"TRUE")+COUNTIFS(Connections!$C$6:$C$589,A124,Connections!$D$6:$D$589,"TRUE")</f>
        <v>0</v>
      </c>
      <c r="H124" s="11" t="s">
        <v>69</v>
      </c>
      <c r="I124" s="11" t="s">
        <v>70</v>
      </c>
      <c r="J124" s="12"/>
      <c r="K124" s="11"/>
      <c r="L124" s="4"/>
      <c r="M124" s="1" t="s">
        <v>215</v>
      </c>
      <c r="N124" s="1">
        <v>47</v>
      </c>
    </row>
    <row r="125" spans="1:14" ht="23.1" customHeight="1">
      <c r="A125" s="1" t="s">
        <v>261</v>
      </c>
      <c r="B125" s="1" t="s">
        <v>261</v>
      </c>
      <c r="C125" s="1" t="s">
        <v>213</v>
      </c>
      <c r="D125" s="3">
        <v>42.727916589436397</v>
      </c>
      <c r="E125" s="3">
        <v>-73.674703032964402</v>
      </c>
      <c r="F125" s="10">
        <f>COUNTIFS(Connections!$B$6:$B$589,A125)+COUNTIFS(Connections!$C$6:$C$589,A125)</f>
        <v>4</v>
      </c>
      <c r="G125" s="10">
        <f>COUNTIFS(Connections!$B$6:$B$589,A125,Connections!$D$6:$D$589,"TRUE")+COUNTIFS(Connections!$C$6:$C$589,A125,Connections!$D$6:$D$589,"TRUE")</f>
        <v>0</v>
      </c>
      <c r="H125" s="11" t="s">
        <v>69</v>
      </c>
      <c r="I125" s="11" t="s">
        <v>70</v>
      </c>
      <c r="J125" s="12"/>
      <c r="K125" s="11"/>
      <c r="L125" s="4"/>
      <c r="M125" s="1" t="s">
        <v>215</v>
      </c>
      <c r="N125" s="1">
        <v>48</v>
      </c>
    </row>
    <row r="126" spans="1:14" ht="23.1" customHeight="1">
      <c r="A126" s="1" t="s">
        <v>262</v>
      </c>
      <c r="B126" s="1" t="s">
        <v>262</v>
      </c>
      <c r="C126" s="1" t="s">
        <v>213</v>
      </c>
      <c r="D126" s="3">
        <v>42.727836123517598</v>
      </c>
      <c r="E126" s="3">
        <v>-73.673993162980494</v>
      </c>
      <c r="F126" s="10">
        <f>COUNTIFS(Connections!$B$6:$B$589,A126)+COUNTIFS(Connections!$C$6:$C$589,A126)</f>
        <v>4</v>
      </c>
      <c r="G126" s="10">
        <f>COUNTIFS(Connections!$B$6:$B$589,A126,Connections!$D$6:$D$589,"TRUE")+COUNTIFS(Connections!$C$6:$C$589,A126,Connections!$D$6:$D$589,"TRUE")</f>
        <v>0</v>
      </c>
      <c r="H126" s="11" t="s">
        <v>69</v>
      </c>
      <c r="I126" s="11" t="s">
        <v>70</v>
      </c>
      <c r="J126" s="12"/>
      <c r="K126" s="11"/>
      <c r="L126" s="4"/>
      <c r="M126" s="1" t="s">
        <v>215</v>
      </c>
      <c r="N126" s="1">
        <v>49</v>
      </c>
    </row>
    <row r="127" spans="1:14" ht="23.1" customHeight="1">
      <c r="A127" s="1" t="s">
        <v>263</v>
      </c>
      <c r="B127" s="1" t="s">
        <v>263</v>
      </c>
      <c r="C127" s="1" t="s">
        <v>213</v>
      </c>
      <c r="D127" s="3">
        <v>42.7274257473319</v>
      </c>
      <c r="E127" s="3">
        <v>-73.674196892482598</v>
      </c>
      <c r="F127" s="10">
        <f>COUNTIFS(Connections!$B$6:$B$589,A127)+COUNTIFS(Connections!$C$6:$C$589,A127)</f>
        <v>5</v>
      </c>
      <c r="G127" s="10">
        <f>COUNTIFS(Connections!$B$6:$B$589,A127,Connections!$D$6:$D$589,"TRUE")+COUNTIFS(Connections!$C$6:$C$589,A127,Connections!$D$6:$D$589,"TRUE")</f>
        <v>0</v>
      </c>
      <c r="H127" s="11" t="s">
        <v>69</v>
      </c>
      <c r="I127" s="11" t="s">
        <v>70</v>
      </c>
      <c r="J127" s="12"/>
      <c r="K127" s="11"/>
      <c r="L127" s="4"/>
      <c r="M127" s="1" t="s">
        <v>215</v>
      </c>
      <c r="N127" s="1">
        <v>50</v>
      </c>
    </row>
    <row r="128" spans="1:14" ht="23.1" customHeight="1">
      <c r="A128" s="1" t="s">
        <v>264</v>
      </c>
      <c r="B128" s="1" t="s">
        <v>264</v>
      </c>
      <c r="C128" s="1" t="s">
        <v>213</v>
      </c>
      <c r="D128" s="3">
        <v>42.727444139541902</v>
      </c>
      <c r="E128" s="3">
        <v>-73.674701441327699</v>
      </c>
      <c r="F128" s="10">
        <f>COUNTIFS(Connections!$B$6:$B$589,A128)+COUNTIFS(Connections!$C$6:$C$589,A128)</f>
        <v>5</v>
      </c>
      <c r="G128" s="10">
        <f>COUNTIFS(Connections!$B$6:$B$589,A128,Connections!$D$6:$D$589,"TRUE")+COUNTIFS(Connections!$C$6:$C$589,A128,Connections!$D$6:$D$589,"TRUE")</f>
        <v>0</v>
      </c>
      <c r="H128" s="11" t="s">
        <v>69</v>
      </c>
      <c r="I128" s="11" t="s">
        <v>70</v>
      </c>
      <c r="J128" s="12"/>
      <c r="K128" s="11"/>
      <c r="L128" s="4"/>
      <c r="M128" s="1" t="s">
        <v>215</v>
      </c>
      <c r="N128" s="1">
        <v>51</v>
      </c>
    </row>
    <row r="129" spans="1:14" ht="23.1" customHeight="1">
      <c r="A129" s="1" t="s">
        <v>265</v>
      </c>
      <c r="B129" s="1" t="s">
        <v>265</v>
      </c>
      <c r="C129" s="1" t="s">
        <v>213</v>
      </c>
      <c r="D129" s="3">
        <v>42.7271889476281</v>
      </c>
      <c r="E129" s="3">
        <v>-73.674741232246006</v>
      </c>
      <c r="F129" s="10">
        <f>COUNTIFS(Connections!$B$6:$B$589,A129)+COUNTIFS(Connections!$C$6:$C$589,A129)</f>
        <v>5</v>
      </c>
      <c r="G129" s="10">
        <f>COUNTIFS(Connections!$B$6:$B$589,A129,Connections!$D$6:$D$589,"TRUE")+COUNTIFS(Connections!$C$6:$C$589,A129,Connections!$D$6:$D$589,"TRUE")</f>
        <v>0</v>
      </c>
      <c r="H129" s="11" t="s">
        <v>69</v>
      </c>
      <c r="I129" s="11" t="s">
        <v>70</v>
      </c>
      <c r="J129" s="12"/>
      <c r="K129" s="11"/>
      <c r="L129" s="4"/>
      <c r="M129" s="1" t="s">
        <v>215</v>
      </c>
      <c r="N129" s="1">
        <v>52</v>
      </c>
    </row>
    <row r="130" spans="1:14" ht="23.1" customHeight="1">
      <c r="A130" s="1" t="s">
        <v>266</v>
      </c>
      <c r="B130" s="1" t="s">
        <v>266</v>
      </c>
      <c r="C130" s="1" t="s">
        <v>213</v>
      </c>
      <c r="D130" s="3">
        <v>42.727142967103099</v>
      </c>
      <c r="E130" s="3">
        <v>-73.674286024139803</v>
      </c>
      <c r="F130" s="10">
        <f>COUNTIFS(Connections!$B$6:$B$589,A130)+COUNTIFS(Connections!$C$6:$C$589,A130)</f>
        <v>5</v>
      </c>
      <c r="G130" s="10">
        <f>COUNTIFS(Connections!$B$6:$B$589,A130,Connections!$D$6:$D$589,"TRUE")+COUNTIFS(Connections!$C$6:$C$589,A130,Connections!$D$6:$D$589,"TRUE")</f>
        <v>0</v>
      </c>
      <c r="H130" s="11" t="s">
        <v>69</v>
      </c>
      <c r="I130" s="11" t="s">
        <v>70</v>
      </c>
      <c r="J130" s="12"/>
      <c r="K130" s="11"/>
      <c r="L130" s="4"/>
      <c r="M130" s="1" t="s">
        <v>215</v>
      </c>
      <c r="N130" s="1">
        <v>53</v>
      </c>
    </row>
    <row r="131" spans="1:14" ht="23.1" customHeight="1">
      <c r="A131" s="1" t="s">
        <v>267</v>
      </c>
      <c r="B131" s="1" t="s">
        <v>267</v>
      </c>
      <c r="C131" s="1" t="s">
        <v>213</v>
      </c>
      <c r="D131" s="3">
        <v>42.728044185393301</v>
      </c>
      <c r="E131" s="3">
        <v>-73.673929497511097</v>
      </c>
      <c r="F131" s="10">
        <f>COUNTIFS(Connections!$B$6:$B$589,A131)+COUNTIFS(Connections!$C$6:$C$589,A131)</f>
        <v>2</v>
      </c>
      <c r="G131" s="10">
        <f>COUNTIFS(Connections!$B$6:$B$589,A131,Connections!$D$6:$D$589,"TRUE")+COUNTIFS(Connections!$C$6:$C$589,A131,Connections!$D$6:$D$589,"TRUE")</f>
        <v>0</v>
      </c>
      <c r="H131" s="11" t="s">
        <v>69</v>
      </c>
      <c r="I131" s="11" t="s">
        <v>70</v>
      </c>
      <c r="J131" s="12"/>
      <c r="K131" s="11"/>
      <c r="L131" s="4"/>
      <c r="M131" s="1" t="s">
        <v>215</v>
      </c>
      <c r="N131" s="1">
        <v>54</v>
      </c>
    </row>
    <row r="132" spans="1:14" ht="23.1" customHeight="1">
      <c r="A132" s="1" t="s">
        <v>268</v>
      </c>
      <c r="B132" s="1" t="s">
        <v>268</v>
      </c>
      <c r="C132" s="1" t="s">
        <v>213</v>
      </c>
      <c r="D132" s="3">
        <v>42.729793744369999</v>
      </c>
      <c r="E132" s="3">
        <v>-73.675766246303596</v>
      </c>
      <c r="F132" s="10">
        <f>COUNTIFS(Connections!$B$6:$B$589,A132)+COUNTIFS(Connections!$C$6:$C$589,A132)</f>
        <v>3</v>
      </c>
      <c r="G132" s="10">
        <f>COUNTIFS(Connections!$B$6:$B$589,A132,Connections!$D$6:$D$589,"TRUE")+COUNTIFS(Connections!$C$6:$C$589,A132,Connections!$D$6:$D$589,"TRUE")</f>
        <v>0</v>
      </c>
      <c r="H132" s="11" t="s">
        <v>69</v>
      </c>
      <c r="I132" s="11" t="s">
        <v>70</v>
      </c>
      <c r="J132" s="12"/>
      <c r="K132" s="11"/>
      <c r="L132" s="4"/>
      <c r="M132" s="1" t="s">
        <v>215</v>
      </c>
      <c r="N132" s="1">
        <v>55</v>
      </c>
    </row>
    <row r="133" spans="1:14" ht="23.1" customHeight="1">
      <c r="A133" s="1" t="s">
        <v>269</v>
      </c>
      <c r="B133" s="1" t="s">
        <v>269</v>
      </c>
      <c r="C133" s="1" t="s">
        <v>213</v>
      </c>
      <c r="D133" s="3">
        <v>42.730058132388898</v>
      </c>
      <c r="E133" s="3">
        <v>-73.677426323418402</v>
      </c>
      <c r="F133" s="10">
        <f>COUNTIFS(Connections!$B$6:$B$589,A133)+COUNTIFS(Connections!$C$6:$C$589,A133)</f>
        <v>4</v>
      </c>
      <c r="G133" s="10">
        <f>COUNTIFS(Connections!$B$6:$B$589,A133,Connections!$D$6:$D$589,"TRUE")+COUNTIFS(Connections!$C$6:$C$589,A133,Connections!$D$6:$D$589,"TRUE")</f>
        <v>0</v>
      </c>
      <c r="H133" s="11" t="s">
        <v>69</v>
      </c>
      <c r="I133" s="11" t="s">
        <v>70</v>
      </c>
      <c r="J133" s="12"/>
      <c r="K133" s="11"/>
      <c r="L133" s="4"/>
      <c r="M133" s="1" t="s">
        <v>215</v>
      </c>
      <c r="N133" s="1">
        <v>56</v>
      </c>
    </row>
    <row r="134" spans="1:14" ht="23.1" customHeight="1">
      <c r="A134" s="1" t="s">
        <v>270</v>
      </c>
      <c r="B134" s="1" t="s">
        <v>270</v>
      </c>
      <c r="C134" s="1" t="s">
        <v>213</v>
      </c>
      <c r="D134" s="3">
        <v>42.729510964141198</v>
      </c>
      <c r="E134" s="3">
        <v>-73.676498399201805</v>
      </c>
      <c r="F134" s="10">
        <f>COUNTIFS(Connections!$B$6:$B$589,A134)+COUNTIFS(Connections!$C$6:$C$589,A134)</f>
        <v>3</v>
      </c>
      <c r="G134" s="10">
        <f>COUNTIFS(Connections!$B$6:$B$589,A134,Connections!$D$6:$D$589,"TRUE")+COUNTIFS(Connections!$C$6:$C$589,A134,Connections!$D$6:$D$589,"TRUE")</f>
        <v>0</v>
      </c>
      <c r="H134" s="11" t="s">
        <v>69</v>
      </c>
      <c r="I134" s="11" t="s">
        <v>70</v>
      </c>
      <c r="J134" s="12"/>
      <c r="K134" s="11"/>
      <c r="L134" s="4"/>
      <c r="M134" s="1" t="s">
        <v>215</v>
      </c>
      <c r="N134" s="1">
        <v>57</v>
      </c>
    </row>
    <row r="135" spans="1:14" ht="23.1" customHeight="1">
      <c r="A135" s="1" t="s">
        <v>271</v>
      </c>
      <c r="B135" s="1" t="s">
        <v>271</v>
      </c>
      <c r="C135" s="1" t="s">
        <v>213</v>
      </c>
      <c r="D135" s="3">
        <v>42.730282287448297</v>
      </c>
      <c r="E135" s="3">
        <v>-73.6780884443003</v>
      </c>
      <c r="F135" s="10">
        <f>COUNTIFS(Connections!$B$6:$B$589,A135)+COUNTIFS(Connections!$C$6:$C$589,A135)</f>
        <v>5</v>
      </c>
      <c r="G135" s="10">
        <f>COUNTIFS(Connections!$B$6:$B$589,A135,Connections!$D$6:$D$589,"TRUE")+COUNTIFS(Connections!$C$6:$C$589,A135,Connections!$D$6:$D$589,"TRUE")</f>
        <v>0</v>
      </c>
      <c r="H135" s="11" t="s">
        <v>69</v>
      </c>
      <c r="I135" s="11" t="s">
        <v>70</v>
      </c>
      <c r="J135" s="12"/>
      <c r="K135" s="11"/>
      <c r="L135" s="4"/>
      <c r="M135" s="1" t="s">
        <v>215</v>
      </c>
      <c r="N135" s="1">
        <v>58</v>
      </c>
    </row>
    <row r="136" spans="1:14" ht="23.1" customHeight="1">
      <c r="A136" s="1" t="s">
        <v>272</v>
      </c>
      <c r="B136" s="1" t="s">
        <v>272</v>
      </c>
      <c r="C136" s="1" t="s">
        <v>213</v>
      </c>
      <c r="D136" s="3">
        <v>42.730517937639</v>
      </c>
      <c r="E136" s="3">
        <v>-73.678035920287996</v>
      </c>
      <c r="F136" s="10">
        <f>COUNTIFS(Connections!$B$6:$B$589,A136)+COUNTIFS(Connections!$C$6:$C$589,A136)</f>
        <v>2</v>
      </c>
      <c r="G136" s="10">
        <f>COUNTIFS(Connections!$B$6:$B$589,A136,Connections!$D$6:$D$589,"TRUE")+COUNTIFS(Connections!$C$6:$C$589,A136,Connections!$D$6:$D$589,"TRUE")</f>
        <v>0</v>
      </c>
      <c r="H136" s="11" t="s">
        <v>69</v>
      </c>
      <c r="I136" s="11" t="s">
        <v>70</v>
      </c>
      <c r="J136" s="12"/>
      <c r="K136" s="11"/>
      <c r="L136" s="4"/>
      <c r="M136" s="1" t="s">
        <v>215</v>
      </c>
      <c r="N136" s="1">
        <v>59</v>
      </c>
    </row>
    <row r="137" spans="1:14" ht="23.1" customHeight="1">
      <c r="A137" s="1" t="s">
        <v>273</v>
      </c>
      <c r="B137" s="1" t="s">
        <v>273</v>
      </c>
      <c r="C137" s="1" t="s">
        <v>213</v>
      </c>
      <c r="D137" s="3">
        <v>42.730012151863797</v>
      </c>
      <c r="E137" s="3">
        <v>-73.6785134113086</v>
      </c>
      <c r="F137" s="10">
        <f>COUNTIFS(Connections!$B$6:$B$589,A137)+COUNTIFS(Connections!$C$6:$C$589,A137)</f>
        <v>2</v>
      </c>
      <c r="G137" s="10">
        <f>COUNTIFS(Connections!$B$6:$B$589,A137,Connections!$D$6:$D$589,"TRUE")+COUNTIFS(Connections!$C$6:$C$589,A137,Connections!$D$6:$D$589,"TRUE")</f>
        <v>0</v>
      </c>
      <c r="H137" s="11" t="s">
        <v>69</v>
      </c>
      <c r="I137" s="11" t="s">
        <v>70</v>
      </c>
      <c r="J137" s="12"/>
      <c r="K137" s="11"/>
      <c r="L137" s="4"/>
      <c r="M137" s="1" t="s">
        <v>215</v>
      </c>
      <c r="N137" s="1">
        <v>60</v>
      </c>
    </row>
    <row r="138" spans="1:14" ht="23.1" customHeight="1">
      <c r="A138" s="1" t="s">
        <v>274</v>
      </c>
      <c r="B138" s="1" t="s">
        <v>274</v>
      </c>
      <c r="C138" s="1" t="s">
        <v>213</v>
      </c>
      <c r="D138" s="3">
        <v>42.729575336876202</v>
      </c>
      <c r="E138" s="3">
        <v>-73.678592993145401</v>
      </c>
      <c r="F138" s="10">
        <f>COUNTIFS(Connections!$B$6:$B$589,A138)+COUNTIFS(Connections!$C$6:$C$589,A138)</f>
        <v>5</v>
      </c>
      <c r="G138" s="10">
        <f>COUNTIFS(Connections!$B$6:$B$589,A138,Connections!$D$6:$D$589,"TRUE")+COUNTIFS(Connections!$C$6:$C$589,A138,Connections!$D$6:$D$589,"TRUE")</f>
        <v>0</v>
      </c>
      <c r="H138" s="11" t="s">
        <v>69</v>
      </c>
      <c r="I138" s="11" t="s">
        <v>70</v>
      </c>
      <c r="J138" s="12"/>
      <c r="K138" s="11"/>
      <c r="L138" s="4"/>
      <c r="M138" s="1" t="s">
        <v>215</v>
      </c>
      <c r="N138" s="1">
        <v>61</v>
      </c>
    </row>
    <row r="139" spans="1:14" ht="23.1" customHeight="1">
      <c r="A139" s="1" t="s">
        <v>275</v>
      </c>
      <c r="B139" s="1" t="s">
        <v>275</v>
      </c>
      <c r="C139" s="1" t="s">
        <v>213</v>
      </c>
      <c r="D139" s="3">
        <v>42.729379919644899</v>
      </c>
      <c r="E139" s="3">
        <v>-73.677972254818599</v>
      </c>
      <c r="F139" s="10">
        <f>COUNTIFS(Connections!$B$6:$B$589,A139)+COUNTIFS(Connections!$C$6:$C$589,A139)</f>
        <v>3</v>
      </c>
      <c r="G139" s="10">
        <f>COUNTIFS(Connections!$B$6:$B$589,A139,Connections!$D$6:$D$589,"TRUE")+COUNTIFS(Connections!$C$6:$C$589,A139,Connections!$D$6:$D$589,"TRUE")</f>
        <v>0</v>
      </c>
      <c r="H139" s="11" t="s">
        <v>69</v>
      </c>
      <c r="I139" s="11" t="s">
        <v>70</v>
      </c>
      <c r="J139" s="12"/>
      <c r="K139" s="11"/>
      <c r="L139" s="4"/>
      <c r="M139" s="1" t="s">
        <v>215</v>
      </c>
      <c r="N139" s="1">
        <v>62</v>
      </c>
    </row>
    <row r="140" spans="1:14" ht="23.1" customHeight="1">
      <c r="A140" s="1" t="s">
        <v>276</v>
      </c>
      <c r="B140" s="1" t="s">
        <v>276</v>
      </c>
      <c r="C140" s="1" t="s">
        <v>213</v>
      </c>
      <c r="D140" s="3">
        <v>42.7292948556737</v>
      </c>
      <c r="E140" s="3">
        <v>-73.677378574316407</v>
      </c>
      <c r="F140" s="10">
        <f>COUNTIFS(Connections!$B$6:$B$589,A140)+COUNTIFS(Connections!$C$6:$C$589,A140)</f>
        <v>4</v>
      </c>
      <c r="G140" s="10">
        <f>COUNTIFS(Connections!$B$6:$B$589,A140,Connections!$D$6:$D$589,"TRUE")+COUNTIFS(Connections!$C$6:$C$589,A140,Connections!$D$6:$D$589,"TRUE")</f>
        <v>0</v>
      </c>
      <c r="H140" s="11" t="s">
        <v>69</v>
      </c>
      <c r="I140" s="11" t="s">
        <v>70</v>
      </c>
      <c r="J140" s="12"/>
      <c r="K140" s="11"/>
      <c r="L140" s="4"/>
      <c r="M140" s="1" t="s">
        <v>215</v>
      </c>
      <c r="N140" s="1">
        <v>63</v>
      </c>
    </row>
    <row r="141" spans="1:14" ht="23.1" customHeight="1">
      <c r="A141" s="1" t="s">
        <v>277</v>
      </c>
      <c r="B141" s="1" t="s">
        <v>277</v>
      </c>
      <c r="C141" s="1" t="s">
        <v>213</v>
      </c>
      <c r="D141" s="3">
        <v>42.729805239501303</v>
      </c>
      <c r="E141" s="3">
        <v>-73.6779515635411</v>
      </c>
      <c r="F141" s="10">
        <f>COUNTIFS(Connections!$B$6:$B$589,A141)+COUNTIFS(Connections!$C$6:$C$589,A141)</f>
        <v>2</v>
      </c>
      <c r="G141" s="10">
        <f>COUNTIFS(Connections!$B$6:$B$589,A141,Connections!$D$6:$D$589,"TRUE")+COUNTIFS(Connections!$C$6:$C$589,A141,Connections!$D$6:$D$589,"TRUE")</f>
        <v>0</v>
      </c>
      <c r="H141" s="11" t="s">
        <v>69</v>
      </c>
      <c r="I141" s="11" t="s">
        <v>70</v>
      </c>
      <c r="J141" s="12"/>
      <c r="K141" s="11"/>
      <c r="L141" s="4"/>
      <c r="M141" s="1" t="s">
        <v>215</v>
      </c>
      <c r="N141" s="1">
        <v>64</v>
      </c>
    </row>
    <row r="142" spans="1:14" ht="23.1" customHeight="1">
      <c r="A142" s="1" t="s">
        <v>278</v>
      </c>
      <c r="B142" s="1" t="s">
        <v>278</v>
      </c>
      <c r="C142" s="1" t="s">
        <v>213</v>
      </c>
      <c r="D142" s="3">
        <v>42.72960982227</v>
      </c>
      <c r="E142" s="3">
        <v>-73.679245564206795</v>
      </c>
      <c r="F142" s="10">
        <f>COUNTIFS(Connections!$B$6:$B$589,A142)+COUNTIFS(Connections!$C$6:$C$589,A142)</f>
        <v>3</v>
      </c>
      <c r="G142" s="10">
        <f>COUNTIFS(Connections!$B$6:$B$589,A142,Connections!$D$6:$D$589,"TRUE")+COUNTIFS(Connections!$C$6:$C$589,A142,Connections!$D$6:$D$589,"TRUE")</f>
        <v>0</v>
      </c>
      <c r="H142" s="11" t="s">
        <v>69</v>
      </c>
      <c r="I142" s="11" t="s">
        <v>70</v>
      </c>
      <c r="J142" s="12"/>
      <c r="K142" s="11"/>
      <c r="L142" s="4"/>
      <c r="M142" s="1" t="s">
        <v>215</v>
      </c>
      <c r="N142" s="1">
        <v>65</v>
      </c>
    </row>
    <row r="143" spans="1:14" ht="23.1" customHeight="1">
      <c r="A143" s="1" t="s">
        <v>279</v>
      </c>
      <c r="B143" s="1" t="s">
        <v>279</v>
      </c>
      <c r="C143" s="1" t="s">
        <v>213</v>
      </c>
      <c r="D143" s="3">
        <v>42.731058208807902</v>
      </c>
      <c r="E143" s="3">
        <v>-73.679277396941501</v>
      </c>
      <c r="F143" s="10">
        <f>COUNTIFS(Connections!$B$6:$B$589,A143)+COUNTIFS(Connections!$C$6:$C$589,A143)</f>
        <v>4</v>
      </c>
      <c r="G143" s="10">
        <f>COUNTIFS(Connections!$B$6:$B$589,A143,Connections!$D$6:$D$589,"TRUE")+COUNTIFS(Connections!$C$6:$C$589,A143,Connections!$D$6:$D$589,"TRUE")</f>
        <v>0</v>
      </c>
      <c r="H143" s="11" t="s">
        <v>69</v>
      </c>
      <c r="I143" s="11" t="s">
        <v>70</v>
      </c>
      <c r="J143" s="12"/>
      <c r="K143" s="11"/>
      <c r="L143" s="4"/>
      <c r="M143" s="1" t="s">
        <v>215</v>
      </c>
      <c r="N143" s="1">
        <v>66</v>
      </c>
    </row>
    <row r="144" spans="1:14" ht="23.1" customHeight="1">
      <c r="A144" s="1" t="s">
        <v>280</v>
      </c>
      <c r="B144" s="1" t="s">
        <v>280</v>
      </c>
      <c r="C144" s="1" t="s">
        <v>213</v>
      </c>
      <c r="D144" s="3">
        <v>42.730667374345302</v>
      </c>
      <c r="E144" s="3">
        <v>-73.679380853329306</v>
      </c>
      <c r="F144" s="10">
        <f>COUNTIFS(Connections!$B$6:$B$589,A144)+COUNTIFS(Connections!$C$6:$C$589,A144)</f>
        <v>4</v>
      </c>
      <c r="G144" s="10">
        <f>COUNTIFS(Connections!$B$6:$B$589,A144,Connections!$D$6:$D$589,"TRUE")+COUNTIFS(Connections!$C$6:$C$589,A144,Connections!$D$6:$D$589,"TRUE")</f>
        <v>0</v>
      </c>
      <c r="H144" s="11" t="s">
        <v>69</v>
      </c>
      <c r="I144" s="11" t="s">
        <v>70</v>
      </c>
      <c r="J144" s="12"/>
      <c r="K144" s="11"/>
      <c r="L144" s="4"/>
      <c r="M144" s="1" t="s">
        <v>215</v>
      </c>
      <c r="N144" s="1">
        <v>67</v>
      </c>
    </row>
    <row r="145" spans="1:14" ht="23.1" customHeight="1">
      <c r="A145" s="1" t="s">
        <v>281</v>
      </c>
      <c r="B145" s="1" t="s">
        <v>281</v>
      </c>
      <c r="C145" s="1" t="s">
        <v>213</v>
      </c>
      <c r="D145" s="3">
        <v>42.730256998159497</v>
      </c>
      <c r="E145" s="3">
        <v>-73.679016368516997</v>
      </c>
      <c r="F145" s="10">
        <f>COUNTIFS(Connections!$B$6:$B$589,A145)+COUNTIFS(Connections!$C$6:$C$589,A145)</f>
        <v>2</v>
      </c>
      <c r="G145" s="10">
        <f>COUNTIFS(Connections!$B$6:$B$589,A145,Connections!$D$6:$D$589,"TRUE")+COUNTIFS(Connections!$C$6:$C$589,A145,Connections!$D$6:$D$589,"TRUE")</f>
        <v>0</v>
      </c>
      <c r="H145" s="11" t="s">
        <v>69</v>
      </c>
      <c r="I145" s="11" t="s">
        <v>70</v>
      </c>
      <c r="J145" s="12"/>
      <c r="K145" s="11"/>
      <c r="L145" s="4"/>
      <c r="M145" s="1" t="s">
        <v>215</v>
      </c>
      <c r="N145" s="1">
        <v>68</v>
      </c>
    </row>
    <row r="146" spans="1:14" ht="23.1" customHeight="1">
      <c r="A146" s="1" t="s">
        <v>282</v>
      </c>
      <c r="B146" s="1" t="s">
        <v>282</v>
      </c>
      <c r="C146" s="1" t="s">
        <v>213</v>
      </c>
      <c r="D146" s="3">
        <v>42.729897200551299</v>
      </c>
      <c r="E146" s="3">
        <v>-73.6793490205946</v>
      </c>
      <c r="F146" s="10">
        <f>COUNTIFS(Connections!$B$6:$B$589,A146)+COUNTIFS(Connections!$C$6:$C$589,A146)</f>
        <v>2</v>
      </c>
      <c r="G146" s="10">
        <f>COUNTIFS(Connections!$B$6:$B$589,A146,Connections!$D$6:$D$589,"TRUE")+COUNTIFS(Connections!$C$6:$C$589,A146,Connections!$D$6:$D$589,"TRUE")</f>
        <v>0</v>
      </c>
      <c r="H146" s="11" t="s">
        <v>69</v>
      </c>
      <c r="I146" s="11" t="s">
        <v>70</v>
      </c>
      <c r="J146" s="12"/>
      <c r="K146" s="11"/>
      <c r="L146" s="4"/>
      <c r="M146" s="1" t="s">
        <v>215</v>
      </c>
      <c r="N146" s="1">
        <v>69</v>
      </c>
    </row>
    <row r="147" spans="1:14" ht="23.1" customHeight="1">
      <c r="A147" s="1" t="s">
        <v>283</v>
      </c>
      <c r="B147" s="1" t="s">
        <v>283</v>
      </c>
      <c r="C147" s="1" t="s">
        <v>213</v>
      </c>
      <c r="D147" s="3">
        <v>42.729989161601303</v>
      </c>
      <c r="E147" s="3">
        <v>-73.680608005252196</v>
      </c>
      <c r="F147" s="10">
        <f>COUNTIFS(Connections!$B$6:$B$589,A147)+COUNTIFS(Connections!$C$6:$C$589,A147)</f>
        <v>3</v>
      </c>
      <c r="G147" s="10">
        <f>COUNTIFS(Connections!$B$6:$B$589,A147,Connections!$D$6:$D$589,"TRUE")+COUNTIFS(Connections!$C$6:$C$589,A147,Connections!$D$6:$D$589,"TRUE")</f>
        <v>0</v>
      </c>
      <c r="H147" s="11" t="s">
        <v>69</v>
      </c>
      <c r="I147" s="11" t="s">
        <v>70</v>
      </c>
      <c r="J147" s="12"/>
      <c r="K147" s="11"/>
      <c r="L147" s="4"/>
      <c r="M147" s="1" t="s">
        <v>215</v>
      </c>
      <c r="N147" s="1">
        <v>70</v>
      </c>
    </row>
    <row r="148" spans="1:14" ht="23.1" customHeight="1">
      <c r="A148" s="1" t="s">
        <v>284</v>
      </c>
      <c r="B148" s="1" t="s">
        <v>284</v>
      </c>
      <c r="C148" s="1" t="s">
        <v>213</v>
      </c>
      <c r="D148" s="3">
        <v>42.730365052393303</v>
      </c>
      <c r="E148" s="3">
        <v>-73.6808690336768</v>
      </c>
      <c r="F148" s="10">
        <f>COUNTIFS(Connections!$B$6:$B$589,A148)+COUNTIFS(Connections!$C$6:$C$589,A148)</f>
        <v>3</v>
      </c>
      <c r="G148" s="10">
        <f>COUNTIFS(Connections!$B$6:$B$589,A148,Connections!$D$6:$D$589,"TRUE")+COUNTIFS(Connections!$C$6:$C$589,A148,Connections!$D$6:$D$589,"TRUE")</f>
        <v>0</v>
      </c>
      <c r="H148" s="11" t="s">
        <v>69</v>
      </c>
      <c r="I148" s="11" t="s">
        <v>70</v>
      </c>
      <c r="J148" s="12"/>
      <c r="K148" s="11"/>
      <c r="L148" s="4"/>
      <c r="M148" s="1" t="s">
        <v>215</v>
      </c>
      <c r="N148" s="1">
        <v>71</v>
      </c>
    </row>
    <row r="149" spans="1:14" ht="23.1" customHeight="1">
      <c r="A149" s="1" t="s">
        <v>285</v>
      </c>
      <c r="B149" s="1" t="s">
        <v>285</v>
      </c>
      <c r="C149" s="1" t="s">
        <v>213</v>
      </c>
      <c r="D149" s="3">
        <v>42.7307524383165</v>
      </c>
      <c r="E149" s="3">
        <v>-73.680327877186798</v>
      </c>
      <c r="F149" s="10">
        <f>COUNTIFS(Connections!$B$6:$B$589,A149)+COUNTIFS(Connections!$C$6:$C$589,A149)</f>
        <v>3</v>
      </c>
      <c r="G149" s="10">
        <f>COUNTIFS(Connections!$B$6:$B$589,A149,Connections!$D$6:$D$589,"TRUE")+COUNTIFS(Connections!$C$6:$C$589,A149,Connections!$D$6:$D$589,"TRUE")</f>
        <v>0</v>
      </c>
      <c r="H149" s="11" t="s">
        <v>69</v>
      </c>
      <c r="I149" s="11" t="s">
        <v>70</v>
      </c>
      <c r="J149" s="12"/>
      <c r="K149" s="11"/>
      <c r="L149" s="4"/>
      <c r="M149" s="1" t="s">
        <v>215</v>
      </c>
      <c r="N149" s="1">
        <v>72</v>
      </c>
    </row>
    <row r="150" spans="1:14" ht="23.1" customHeight="1">
      <c r="A150" s="1" t="s">
        <v>286</v>
      </c>
      <c r="B150" s="1" t="s">
        <v>286</v>
      </c>
      <c r="C150" s="1" t="s">
        <v>213</v>
      </c>
      <c r="D150" s="3">
        <v>42.730816811051596</v>
      </c>
      <c r="E150" s="3">
        <v>-73.680916782778894</v>
      </c>
      <c r="F150" s="10">
        <f>COUNTIFS(Connections!$B$6:$B$589,A150)+COUNTIFS(Connections!$C$6:$C$589,A150)</f>
        <v>4</v>
      </c>
      <c r="G150" s="10">
        <f>COUNTIFS(Connections!$B$6:$B$589,A150,Connections!$D$6:$D$589,"TRUE")+COUNTIFS(Connections!$C$6:$C$589,A150,Connections!$D$6:$D$589,"TRUE")</f>
        <v>0</v>
      </c>
      <c r="H150" s="11" t="s">
        <v>69</v>
      </c>
      <c r="I150" s="11" t="s">
        <v>70</v>
      </c>
      <c r="J150" s="12"/>
      <c r="K150" s="11"/>
      <c r="L150" s="4"/>
      <c r="M150" s="1" t="s">
        <v>215</v>
      </c>
      <c r="N150" s="1">
        <v>73</v>
      </c>
    </row>
    <row r="151" spans="1:14" ht="23.1" customHeight="1">
      <c r="A151" s="1" t="s">
        <v>287</v>
      </c>
      <c r="B151" s="1" t="s">
        <v>287</v>
      </c>
      <c r="C151" s="1" t="s">
        <v>213</v>
      </c>
      <c r="D151" s="3">
        <v>42.730688065581496</v>
      </c>
      <c r="E151" s="3">
        <v>-73.6798249199785</v>
      </c>
      <c r="F151" s="10">
        <f>COUNTIFS(Connections!$B$6:$B$589,A151)+COUNTIFS(Connections!$C$6:$C$589,A151)</f>
        <v>4</v>
      </c>
      <c r="G151" s="10">
        <f>COUNTIFS(Connections!$B$6:$B$589,A151,Connections!$D$6:$D$589,"TRUE")+COUNTIFS(Connections!$C$6:$C$589,A151,Connections!$D$6:$D$589,"TRUE")</f>
        <v>0</v>
      </c>
      <c r="H151" s="11" t="s">
        <v>69</v>
      </c>
      <c r="I151" s="11" t="s">
        <v>70</v>
      </c>
      <c r="J151" s="12"/>
      <c r="K151" s="11"/>
      <c r="L151" s="4"/>
      <c r="M151" s="1" t="s">
        <v>215</v>
      </c>
      <c r="N151" s="1">
        <v>74</v>
      </c>
    </row>
    <row r="152" spans="1:14" ht="23.1" customHeight="1">
      <c r="A152" s="1" t="s">
        <v>288</v>
      </c>
      <c r="B152" s="1" t="s">
        <v>288</v>
      </c>
      <c r="C152" s="1" t="s">
        <v>213</v>
      </c>
      <c r="D152" s="3">
        <v>42.729644307663797</v>
      </c>
      <c r="E152" s="3">
        <v>-73.679659389758001</v>
      </c>
      <c r="F152" s="10">
        <f>COUNTIFS(Connections!$B$6:$B$589,A152)+COUNTIFS(Connections!$C$6:$C$589,A152)</f>
        <v>3</v>
      </c>
      <c r="G152" s="10">
        <f>COUNTIFS(Connections!$B$6:$B$589,A152,Connections!$D$6:$D$589,"TRUE")+COUNTIFS(Connections!$C$6:$C$589,A152,Connections!$D$6:$D$589,"TRUE")</f>
        <v>0</v>
      </c>
      <c r="H152" s="11" t="s">
        <v>69</v>
      </c>
      <c r="I152" s="11" t="s">
        <v>70</v>
      </c>
      <c r="J152" s="12"/>
      <c r="K152" s="11"/>
      <c r="L152" s="4"/>
      <c r="M152" s="1" t="s">
        <v>215</v>
      </c>
      <c r="N152" s="1">
        <v>75</v>
      </c>
    </row>
    <row r="153" spans="1:14" ht="23.1" customHeight="1">
      <c r="A153" s="1" t="s">
        <v>289</v>
      </c>
      <c r="B153" s="1" t="s">
        <v>289</v>
      </c>
      <c r="C153" s="1" t="s">
        <v>213</v>
      </c>
      <c r="D153" s="3">
        <v>42.729916742274398</v>
      </c>
      <c r="E153" s="3">
        <v>-73.679695997402902</v>
      </c>
      <c r="F153" s="10">
        <f>COUNTIFS(Connections!$B$6:$B$589,A153)+COUNTIFS(Connections!$C$6:$C$589,A153)</f>
        <v>3</v>
      </c>
      <c r="G153" s="10">
        <f>COUNTIFS(Connections!$B$6:$B$589,A153,Connections!$D$6:$D$589,"TRUE")+COUNTIFS(Connections!$C$6:$C$589,A153,Connections!$D$6:$D$589,"TRUE")</f>
        <v>0</v>
      </c>
      <c r="H153" s="11" t="s">
        <v>69</v>
      </c>
      <c r="I153" s="11" t="s">
        <v>70</v>
      </c>
      <c r="J153" s="12"/>
      <c r="K153" s="11"/>
      <c r="L153" s="4"/>
      <c r="M153" s="1" t="s">
        <v>215</v>
      </c>
      <c r="N153" s="1">
        <v>76</v>
      </c>
    </row>
    <row r="154" spans="1:14" ht="23.1" customHeight="1">
      <c r="A154" s="1" t="s">
        <v>290</v>
      </c>
      <c r="B154" s="1" t="s">
        <v>290</v>
      </c>
      <c r="C154" s="1" t="s">
        <v>213</v>
      </c>
      <c r="D154" s="3">
        <v>42.729684540623097</v>
      </c>
      <c r="E154" s="3">
        <v>-73.680157572056103</v>
      </c>
      <c r="F154" s="10">
        <f>COUNTIFS(Connections!$B$6:$B$589,A154)+COUNTIFS(Connections!$C$6:$C$589,A154)</f>
        <v>3</v>
      </c>
      <c r="G154" s="10">
        <f>COUNTIFS(Connections!$B$6:$B$589,A154,Connections!$D$6:$D$589,"TRUE")+COUNTIFS(Connections!$C$6:$C$589,A154,Connections!$D$6:$D$589,"TRUE")</f>
        <v>0</v>
      </c>
      <c r="H154" s="11" t="s">
        <v>69</v>
      </c>
      <c r="I154" s="11" t="s">
        <v>70</v>
      </c>
      <c r="J154" s="12"/>
      <c r="K154" s="11"/>
      <c r="L154" s="4"/>
      <c r="M154" s="1" t="s">
        <v>215</v>
      </c>
      <c r="N154" s="1">
        <v>77</v>
      </c>
    </row>
    <row r="155" spans="1:14" ht="23.1" customHeight="1">
      <c r="A155" s="1" t="s">
        <v>291</v>
      </c>
      <c r="B155" s="1" t="s">
        <v>291</v>
      </c>
      <c r="C155" s="1" t="s">
        <v>213</v>
      </c>
      <c r="D155" s="3">
        <v>42.729790295830703</v>
      </c>
      <c r="E155" s="3">
        <v>-73.680959756970694</v>
      </c>
      <c r="F155" s="10">
        <f>COUNTIFS(Connections!$B$6:$B$589,A155)+COUNTIFS(Connections!$C$6:$C$589,A155)</f>
        <v>4</v>
      </c>
      <c r="G155" s="10">
        <f>COUNTIFS(Connections!$B$6:$B$589,A155,Connections!$D$6:$D$589,"TRUE")+COUNTIFS(Connections!$C$6:$C$589,A155,Connections!$D$6:$D$589,"TRUE")</f>
        <v>0</v>
      </c>
      <c r="H155" s="11" t="s">
        <v>69</v>
      </c>
      <c r="I155" s="11" t="s">
        <v>70</v>
      </c>
      <c r="J155" s="12"/>
      <c r="K155" s="11"/>
      <c r="L155" s="4"/>
      <c r="M155" s="1" t="s">
        <v>215</v>
      </c>
      <c r="N155" s="1">
        <v>78</v>
      </c>
    </row>
    <row r="156" spans="1:14" ht="23.1" customHeight="1">
      <c r="A156" s="1" t="s">
        <v>292</v>
      </c>
      <c r="B156" s="1" t="s">
        <v>292</v>
      </c>
      <c r="C156" s="1" t="s">
        <v>213</v>
      </c>
      <c r="D156" s="3">
        <v>42.730460461982702</v>
      </c>
      <c r="E156" s="3">
        <v>-73.678954294684303</v>
      </c>
      <c r="F156" s="10">
        <f>COUNTIFS(Connections!$B$6:$B$589,A156)+COUNTIFS(Connections!$C$6:$C$589,A156)</f>
        <v>3</v>
      </c>
      <c r="G156" s="10">
        <f>COUNTIFS(Connections!$B$6:$B$589,A156,Connections!$D$6:$D$589,"TRUE")+COUNTIFS(Connections!$C$6:$C$589,A156,Connections!$D$6:$D$589,"TRUE")</f>
        <v>0</v>
      </c>
      <c r="H156" s="11" t="s">
        <v>69</v>
      </c>
      <c r="I156" s="11" t="s">
        <v>70</v>
      </c>
      <c r="J156" s="12"/>
      <c r="K156" s="11"/>
      <c r="L156" s="4"/>
      <c r="M156" s="1" t="s">
        <v>215</v>
      </c>
      <c r="N156" s="1">
        <v>79</v>
      </c>
    </row>
    <row r="157" spans="1:14" ht="23.1" customHeight="1">
      <c r="A157" s="1" t="s">
        <v>293</v>
      </c>
      <c r="B157" s="1" t="s">
        <v>293</v>
      </c>
      <c r="C157" s="1" t="s">
        <v>213</v>
      </c>
      <c r="D157" s="3">
        <v>42.7304294251283</v>
      </c>
      <c r="E157" s="3">
        <v>-73.678551610590304</v>
      </c>
      <c r="F157" s="10">
        <f>COUNTIFS(Connections!$B$6:$B$589,A157)+COUNTIFS(Connections!$C$6:$C$589,A157)</f>
        <v>3</v>
      </c>
      <c r="G157" s="10">
        <f>COUNTIFS(Connections!$B$6:$B$589,A157,Connections!$D$6:$D$589,"TRUE")+COUNTIFS(Connections!$C$6:$C$589,A157,Connections!$D$6:$D$589,"TRUE")</f>
        <v>0</v>
      </c>
      <c r="H157" s="11" t="s">
        <v>69</v>
      </c>
      <c r="I157" s="11" t="s">
        <v>70</v>
      </c>
      <c r="J157" s="12"/>
      <c r="K157" s="11"/>
      <c r="L157" s="4"/>
      <c r="M157" s="1" t="s">
        <v>215</v>
      </c>
      <c r="N157" s="1">
        <v>80</v>
      </c>
    </row>
    <row r="158" spans="1:14" ht="23.1" customHeight="1">
      <c r="A158" s="1" t="s">
        <v>294</v>
      </c>
      <c r="B158" s="1" t="s">
        <v>294</v>
      </c>
      <c r="C158" s="1" t="s">
        <v>213</v>
      </c>
      <c r="D158" s="3">
        <v>42.730928313824698</v>
      </c>
      <c r="E158" s="3">
        <v>-73.678414729831005</v>
      </c>
      <c r="F158" s="10">
        <f>COUNTIFS(Connections!$B$6:$B$589,A158)+COUNTIFS(Connections!$C$6:$C$589,A158)</f>
        <v>3</v>
      </c>
      <c r="G158" s="10">
        <f>COUNTIFS(Connections!$B$6:$B$589,A158,Connections!$D$6:$D$589,"TRUE")+COUNTIFS(Connections!$C$6:$C$589,A158,Connections!$D$6:$D$589,"TRUE")</f>
        <v>0</v>
      </c>
      <c r="H158" s="11" t="s">
        <v>69</v>
      </c>
      <c r="I158" s="11" t="s">
        <v>70</v>
      </c>
      <c r="J158" s="12"/>
      <c r="K158" s="11"/>
      <c r="L158" s="4"/>
      <c r="M158" s="1" t="s">
        <v>215</v>
      </c>
      <c r="N158" s="1">
        <v>81</v>
      </c>
    </row>
    <row r="159" spans="1:14" ht="23.1" customHeight="1">
      <c r="A159" s="1" t="s">
        <v>295</v>
      </c>
      <c r="B159" s="1" t="s">
        <v>295</v>
      </c>
      <c r="C159" s="1" t="s">
        <v>213</v>
      </c>
      <c r="D159" s="3">
        <v>42.730609898689004</v>
      </c>
      <c r="E159" s="3">
        <v>-73.681166669746304</v>
      </c>
      <c r="F159" s="10">
        <f>COUNTIFS(Connections!$B$6:$B$589,A159)+COUNTIFS(Connections!$C$6:$C$589,A159)</f>
        <v>5</v>
      </c>
      <c r="G159" s="10">
        <f>COUNTIFS(Connections!$B$6:$B$589,A159,Connections!$D$6:$D$589,"TRUE")+COUNTIFS(Connections!$C$6:$C$589,A159,Connections!$D$6:$D$589,"TRUE")</f>
        <v>0</v>
      </c>
      <c r="H159" s="11" t="s">
        <v>69</v>
      </c>
      <c r="I159" s="11" t="s">
        <v>70</v>
      </c>
      <c r="J159" s="12"/>
      <c r="K159" s="11"/>
      <c r="L159" s="4"/>
      <c r="M159" s="1" t="s">
        <v>215</v>
      </c>
      <c r="N159" s="1">
        <v>82</v>
      </c>
    </row>
    <row r="160" spans="1:14" ht="23.1" customHeight="1">
      <c r="A160" s="1" t="s">
        <v>296</v>
      </c>
      <c r="B160" s="1" t="s">
        <v>296</v>
      </c>
      <c r="C160" s="1" t="s">
        <v>213</v>
      </c>
      <c r="D160" s="3">
        <v>42.730006404298202</v>
      </c>
      <c r="E160" s="3">
        <v>-73.680900866411505</v>
      </c>
      <c r="F160" s="10">
        <f>COUNTIFS(Connections!$B$6:$B$589,A160)+COUNTIFS(Connections!$C$6:$C$589,A160)</f>
        <v>3</v>
      </c>
      <c r="G160" s="10">
        <f>COUNTIFS(Connections!$B$6:$B$589,A160,Connections!$D$6:$D$589,"TRUE")+COUNTIFS(Connections!$C$6:$C$589,A160,Connections!$D$6:$D$589,"TRUE")</f>
        <v>0</v>
      </c>
      <c r="H160" s="11" t="s">
        <v>69</v>
      </c>
      <c r="I160" s="11" t="s">
        <v>70</v>
      </c>
      <c r="J160" s="12"/>
      <c r="K160" s="11"/>
      <c r="L160" s="4"/>
      <c r="M160" s="1" t="s">
        <v>215</v>
      </c>
      <c r="N160" s="1">
        <v>83</v>
      </c>
    </row>
    <row r="161" spans="1:14" ht="23.1" customHeight="1">
      <c r="A161" s="1" t="s">
        <v>297</v>
      </c>
      <c r="B161" s="1" t="s">
        <v>297</v>
      </c>
      <c r="C161" s="1" t="s">
        <v>213</v>
      </c>
      <c r="D161" s="3">
        <v>42.729839724895001</v>
      </c>
      <c r="E161" s="3">
        <v>-73.6816330193097</v>
      </c>
      <c r="F161" s="10">
        <f>COUNTIFS(Connections!$B$6:$B$589,A161)+COUNTIFS(Connections!$C$6:$C$589,A161)</f>
        <v>3</v>
      </c>
      <c r="G161" s="10">
        <f>COUNTIFS(Connections!$B$6:$B$589,A161,Connections!$D$6:$D$589,"TRUE")+COUNTIFS(Connections!$C$6:$C$589,A161,Connections!$D$6:$D$589,"TRUE")</f>
        <v>0</v>
      </c>
      <c r="H161" s="11" t="s">
        <v>69</v>
      </c>
      <c r="I161" s="11" t="s">
        <v>70</v>
      </c>
      <c r="J161" s="12"/>
      <c r="K161" s="11"/>
      <c r="L161" s="4"/>
      <c r="M161" s="1" t="s">
        <v>215</v>
      </c>
      <c r="N161" s="1">
        <v>84</v>
      </c>
    </row>
    <row r="162" spans="1:14" ht="23.1" customHeight="1">
      <c r="A162" s="1" t="s">
        <v>298</v>
      </c>
      <c r="B162" s="1" t="s">
        <v>298</v>
      </c>
      <c r="C162" s="1" t="s">
        <v>213</v>
      </c>
      <c r="D162" s="3">
        <v>42.729724773582497</v>
      </c>
      <c r="E162" s="3">
        <v>-73.681601186574994</v>
      </c>
      <c r="F162" s="10">
        <f>COUNTIFS(Connections!$B$6:$B$589,A162)+COUNTIFS(Connections!$C$6:$C$589,A162)</f>
        <v>3</v>
      </c>
      <c r="G162" s="10">
        <f>COUNTIFS(Connections!$B$6:$B$589,A162,Connections!$D$6:$D$589,"TRUE")+COUNTIFS(Connections!$C$6:$C$589,A162,Connections!$D$6:$D$589,"TRUE")</f>
        <v>0</v>
      </c>
      <c r="H162" s="11" t="s">
        <v>69</v>
      </c>
      <c r="I162" s="11" t="s">
        <v>70</v>
      </c>
      <c r="J162" s="12"/>
      <c r="K162" s="11"/>
      <c r="L162" s="4"/>
      <c r="M162" s="1" t="s">
        <v>215</v>
      </c>
      <c r="N162" s="1">
        <v>85</v>
      </c>
    </row>
    <row r="163" spans="1:14" ht="23.1" customHeight="1">
      <c r="A163" s="1" t="s">
        <v>299</v>
      </c>
      <c r="B163" s="1" t="s">
        <v>299</v>
      </c>
      <c r="C163" s="1" t="s">
        <v>213</v>
      </c>
      <c r="D163" s="3">
        <v>42.729724773582497</v>
      </c>
      <c r="E163" s="3">
        <v>-73.681792182983301</v>
      </c>
      <c r="F163" s="10">
        <f>COUNTIFS(Connections!$B$6:$B$589,A163)+COUNTIFS(Connections!$C$6:$C$589,A163)</f>
        <v>3</v>
      </c>
      <c r="G163" s="10">
        <f>COUNTIFS(Connections!$B$6:$B$589,A163,Connections!$D$6:$D$589,"TRUE")+COUNTIFS(Connections!$C$6:$C$589,A163,Connections!$D$6:$D$589,"TRUE")</f>
        <v>0</v>
      </c>
      <c r="H163" s="11" t="s">
        <v>69</v>
      </c>
      <c r="I163" s="11" t="s">
        <v>70</v>
      </c>
      <c r="J163" s="12"/>
      <c r="K163" s="11"/>
      <c r="L163" s="4"/>
      <c r="M163" s="1" t="s">
        <v>215</v>
      </c>
      <c r="N163" s="1">
        <v>86</v>
      </c>
    </row>
    <row r="164" spans="1:14" ht="23.1" customHeight="1">
      <c r="A164" s="1" t="s">
        <v>300</v>
      </c>
      <c r="B164" s="1" t="s">
        <v>300</v>
      </c>
      <c r="C164" s="1" t="s">
        <v>213</v>
      </c>
      <c r="D164" s="3">
        <v>42.729839724895001</v>
      </c>
      <c r="E164" s="3">
        <v>-73.681792182983301</v>
      </c>
      <c r="F164" s="10">
        <f>COUNTIFS(Connections!$B$6:$B$589,A164)+COUNTIFS(Connections!$C$6:$C$589,A164)</f>
        <v>3</v>
      </c>
      <c r="G164" s="10">
        <f>COUNTIFS(Connections!$B$6:$B$589,A164,Connections!$D$6:$D$589,"TRUE")+COUNTIFS(Connections!$C$6:$C$589,A164,Connections!$D$6:$D$589,"TRUE")</f>
        <v>0</v>
      </c>
      <c r="H164" s="11" t="s">
        <v>69</v>
      </c>
      <c r="I164" s="11" t="s">
        <v>70</v>
      </c>
      <c r="J164" s="12"/>
      <c r="K164" s="11"/>
      <c r="L164" s="4"/>
      <c r="M164" s="1" t="s">
        <v>215</v>
      </c>
      <c r="N164" s="1">
        <v>87</v>
      </c>
    </row>
    <row r="165" spans="1:14" ht="23.1" customHeight="1">
      <c r="A165" s="1" t="s">
        <v>301</v>
      </c>
      <c r="B165" s="1" t="s">
        <v>301</v>
      </c>
      <c r="C165" s="1" t="s">
        <v>213</v>
      </c>
      <c r="D165" s="3">
        <v>42.730012151863797</v>
      </c>
      <c r="E165" s="3">
        <v>-73.681696684779098</v>
      </c>
      <c r="F165" s="10">
        <f>COUNTIFS(Connections!$B$6:$B$589,A165)+COUNTIFS(Connections!$C$6:$C$589,A165)</f>
        <v>3</v>
      </c>
      <c r="G165" s="10">
        <f>COUNTIFS(Connections!$B$6:$B$589,A165,Connections!$D$6:$D$589,"TRUE")+COUNTIFS(Connections!$C$6:$C$589,A165,Connections!$D$6:$D$589,"TRUE")</f>
        <v>0</v>
      </c>
      <c r="H165" s="11" t="s">
        <v>69</v>
      </c>
      <c r="I165" s="11" t="s">
        <v>70</v>
      </c>
      <c r="J165" s="12"/>
      <c r="K165" s="11"/>
      <c r="L165" s="4"/>
      <c r="M165" s="1" t="s">
        <v>215</v>
      </c>
      <c r="N165" s="1">
        <v>88</v>
      </c>
    </row>
    <row r="166" spans="1:14" ht="23.1" customHeight="1">
      <c r="A166" s="1" t="s">
        <v>302</v>
      </c>
      <c r="B166" s="1" t="s">
        <v>302</v>
      </c>
      <c r="C166" s="1" t="s">
        <v>213</v>
      </c>
      <c r="D166" s="3">
        <v>42.730177681753901</v>
      </c>
      <c r="E166" s="3">
        <v>-73.681712601146501</v>
      </c>
      <c r="F166" s="10">
        <f>COUNTIFS(Connections!$B$6:$B$589,A166)+COUNTIFS(Connections!$C$6:$C$589,A166)</f>
        <v>5</v>
      </c>
      <c r="G166" s="10">
        <f>COUNTIFS(Connections!$B$6:$B$589,A166,Connections!$D$6:$D$589,"TRUE")+COUNTIFS(Connections!$C$6:$C$589,A166,Connections!$D$6:$D$589,"TRUE")</f>
        <v>0</v>
      </c>
      <c r="H166" s="11" t="s">
        <v>69</v>
      </c>
      <c r="I166" s="11" t="s">
        <v>70</v>
      </c>
      <c r="J166" s="12"/>
      <c r="K166" s="11"/>
      <c r="L166" s="4"/>
      <c r="M166" s="1" t="s">
        <v>215</v>
      </c>
      <c r="N166" s="1">
        <v>89</v>
      </c>
    </row>
    <row r="167" spans="1:14" ht="23.1" customHeight="1">
      <c r="A167" s="1" t="s">
        <v>303</v>
      </c>
      <c r="B167" s="1" t="s">
        <v>303</v>
      </c>
      <c r="C167" s="1" t="s">
        <v>213</v>
      </c>
      <c r="D167" s="3">
        <v>42.7298822568807</v>
      </c>
      <c r="E167" s="3">
        <v>-73.681699868052604</v>
      </c>
      <c r="F167" s="10">
        <f>COUNTIFS(Connections!$B$6:$B$589,A167)+COUNTIFS(Connections!$C$6:$C$589,A167)</f>
        <v>3</v>
      </c>
      <c r="G167" s="10">
        <f>COUNTIFS(Connections!$B$6:$B$589,A167,Connections!$D$6:$D$589,"TRUE")+COUNTIFS(Connections!$C$6:$C$589,A167,Connections!$D$6:$D$589,"TRUE")</f>
        <v>0</v>
      </c>
      <c r="H167" s="11" t="s">
        <v>69</v>
      </c>
      <c r="I167" s="11" t="s">
        <v>70</v>
      </c>
      <c r="J167" s="12"/>
      <c r="K167" s="11"/>
      <c r="L167" s="4"/>
      <c r="M167" s="1" t="s">
        <v>215</v>
      </c>
      <c r="N167" s="1">
        <v>90</v>
      </c>
    </row>
    <row r="168" spans="1:14" ht="23.1" customHeight="1">
      <c r="A168" s="1" t="s">
        <v>304</v>
      </c>
      <c r="B168" s="1" t="s">
        <v>304</v>
      </c>
      <c r="C168" s="1" t="s">
        <v>213</v>
      </c>
      <c r="D168" s="3">
        <v>42.730371949472101</v>
      </c>
      <c r="E168" s="3">
        <v>-73.681744433881207</v>
      </c>
      <c r="F168" s="10">
        <f>COUNTIFS(Connections!$B$6:$B$589,A168)+COUNTIFS(Connections!$C$6:$C$589,A168)</f>
        <v>2</v>
      </c>
      <c r="G168" s="10">
        <f>COUNTIFS(Connections!$B$6:$B$589,A168,Connections!$D$6:$D$589,"TRUE")+COUNTIFS(Connections!$C$6:$C$589,A168,Connections!$D$6:$D$589,"TRUE")</f>
        <v>0</v>
      </c>
      <c r="H168" s="11" t="s">
        <v>69</v>
      </c>
      <c r="I168" s="11" t="s">
        <v>70</v>
      </c>
      <c r="J168" s="12"/>
      <c r="K168" s="11"/>
      <c r="L168" s="4"/>
      <c r="M168" s="1" t="s">
        <v>215</v>
      </c>
      <c r="N168" s="1">
        <v>91</v>
      </c>
    </row>
    <row r="169" spans="1:14" ht="23.1" customHeight="1">
      <c r="A169" s="1" t="s">
        <v>305</v>
      </c>
      <c r="B169" s="1" t="s">
        <v>305</v>
      </c>
      <c r="C169" s="1" t="s">
        <v>213</v>
      </c>
      <c r="D169" s="3">
        <v>42.730425976588997</v>
      </c>
      <c r="E169" s="3">
        <v>-73.681572537113794</v>
      </c>
      <c r="F169" s="10">
        <f>COUNTIFS(Connections!$B$6:$B$589,A169)+COUNTIFS(Connections!$C$6:$C$589,A169)</f>
        <v>3</v>
      </c>
      <c r="G169" s="10">
        <f>COUNTIFS(Connections!$B$6:$B$589,A169,Connections!$D$6:$D$589,"TRUE")+COUNTIFS(Connections!$C$6:$C$589,A169,Connections!$D$6:$D$589,"TRUE")</f>
        <v>0</v>
      </c>
      <c r="H169" s="11" t="s">
        <v>69</v>
      </c>
      <c r="I169" s="11" t="s">
        <v>70</v>
      </c>
      <c r="J169" s="12"/>
      <c r="K169" s="11"/>
      <c r="L169" s="4"/>
      <c r="M169" s="1" t="s">
        <v>215</v>
      </c>
      <c r="N169" s="1">
        <v>92</v>
      </c>
    </row>
    <row r="170" spans="1:14" ht="23.1" customHeight="1">
      <c r="A170" s="1" t="s">
        <v>306</v>
      </c>
      <c r="B170" s="1" t="s">
        <v>306</v>
      </c>
      <c r="C170" s="1" t="s">
        <v>213</v>
      </c>
      <c r="D170" s="3">
        <v>42.7303236699208</v>
      </c>
      <c r="E170" s="3">
        <v>-73.681473855636199</v>
      </c>
      <c r="F170" s="10">
        <f>COUNTIFS(Connections!$B$6:$B$589,A170)+COUNTIFS(Connections!$C$6:$C$589,A170)</f>
        <v>4</v>
      </c>
      <c r="G170" s="10">
        <f>COUNTIFS(Connections!$B$6:$B$589,A170,Connections!$D$6:$D$589,"TRUE")+COUNTIFS(Connections!$C$6:$C$589,A170,Connections!$D$6:$D$589,"TRUE")</f>
        <v>0</v>
      </c>
      <c r="H170" s="11" t="s">
        <v>69</v>
      </c>
      <c r="I170" s="11" t="s">
        <v>70</v>
      </c>
      <c r="J170" s="12"/>
      <c r="K170" s="11"/>
      <c r="L170" s="4"/>
      <c r="M170" s="1" t="s">
        <v>215</v>
      </c>
      <c r="N170" s="1">
        <v>93</v>
      </c>
    </row>
    <row r="171" spans="1:14" ht="23.1" customHeight="1">
      <c r="A171" s="1" t="s">
        <v>307</v>
      </c>
      <c r="B171" s="1" t="s">
        <v>307</v>
      </c>
      <c r="C171" s="1" t="s">
        <v>213</v>
      </c>
      <c r="D171" s="3">
        <v>42.730146644899499</v>
      </c>
      <c r="E171" s="3">
        <v>-73.681230335215702</v>
      </c>
      <c r="F171" s="10">
        <f>COUNTIFS(Connections!$B$6:$B$589,A171)+COUNTIFS(Connections!$C$6:$C$589,A171)</f>
        <v>4</v>
      </c>
      <c r="G171" s="10">
        <f>COUNTIFS(Connections!$B$6:$B$589,A171,Connections!$D$6:$D$589,"TRUE")+COUNTIFS(Connections!$C$6:$C$589,A171,Connections!$D$6:$D$589,"TRUE")</f>
        <v>0</v>
      </c>
      <c r="H171" s="11" t="s">
        <v>69</v>
      </c>
      <c r="I171" s="11" t="s">
        <v>70</v>
      </c>
      <c r="J171" s="12"/>
      <c r="K171" s="11"/>
      <c r="L171" s="4"/>
      <c r="M171" s="1" t="s">
        <v>215</v>
      </c>
      <c r="N171" s="1">
        <v>94</v>
      </c>
    </row>
    <row r="172" spans="1:14" ht="23.1" customHeight="1">
      <c r="A172" s="1" t="s">
        <v>308</v>
      </c>
      <c r="B172" s="1" t="s">
        <v>308</v>
      </c>
      <c r="C172" s="1" t="s">
        <v>213</v>
      </c>
      <c r="D172" s="3">
        <v>42.730373098985197</v>
      </c>
      <c r="E172" s="3">
        <v>-73.681182586113593</v>
      </c>
      <c r="F172" s="10">
        <f>COUNTIFS(Connections!$B$6:$B$589,A172)+COUNTIFS(Connections!$C$6:$C$589,A172)</f>
        <v>3</v>
      </c>
      <c r="G172" s="10">
        <f>COUNTIFS(Connections!$B$6:$B$589,A172,Connections!$D$6:$D$589,"TRUE")+COUNTIFS(Connections!$C$6:$C$589,A172,Connections!$D$6:$D$589,"TRUE")</f>
        <v>0</v>
      </c>
      <c r="H172" s="11" t="s">
        <v>69</v>
      </c>
      <c r="I172" s="11" t="s">
        <v>70</v>
      </c>
      <c r="J172" s="12"/>
      <c r="K172" s="11"/>
      <c r="L172" s="4"/>
      <c r="M172" s="1" t="s">
        <v>215</v>
      </c>
      <c r="N172" s="1">
        <v>95</v>
      </c>
    </row>
    <row r="173" spans="1:14" ht="23.1" customHeight="1">
      <c r="A173" s="1" t="s">
        <v>309</v>
      </c>
      <c r="B173" s="1" t="s">
        <v>309</v>
      </c>
      <c r="C173" s="1" t="s">
        <v>213</v>
      </c>
      <c r="D173" s="3">
        <v>42.730643234569598</v>
      </c>
      <c r="E173" s="3">
        <v>-73.681768308432197</v>
      </c>
      <c r="F173" s="10">
        <f>COUNTIFS(Connections!$B$6:$B$589,A173)+COUNTIFS(Connections!$C$6:$C$589,A173)</f>
        <v>6</v>
      </c>
      <c r="G173" s="10">
        <f>COUNTIFS(Connections!$B$6:$B$589,A173,Connections!$D$6:$D$589,"TRUE")+COUNTIFS(Connections!$C$6:$C$589,A173,Connections!$D$6:$D$589,"TRUE")</f>
        <v>0</v>
      </c>
      <c r="H173" s="11" t="s">
        <v>69</v>
      </c>
      <c r="I173" s="11" t="s">
        <v>70</v>
      </c>
      <c r="J173" s="12"/>
      <c r="K173" s="11"/>
      <c r="L173" s="4"/>
      <c r="M173" s="1" t="s">
        <v>215</v>
      </c>
      <c r="N173" s="1">
        <v>96</v>
      </c>
    </row>
    <row r="174" spans="1:14" ht="23.1" customHeight="1">
      <c r="A174" s="1" t="s">
        <v>310</v>
      </c>
      <c r="B174" s="1" t="s">
        <v>310</v>
      </c>
      <c r="C174" s="1" t="s">
        <v>213</v>
      </c>
      <c r="D174" s="3">
        <v>42.7304144814577</v>
      </c>
      <c r="E174" s="3">
        <v>-73.682110510330304</v>
      </c>
      <c r="F174" s="10">
        <f>COUNTIFS(Connections!$B$6:$B$589,A174)+COUNTIFS(Connections!$C$6:$C$589,A174)</f>
        <v>4</v>
      </c>
      <c r="G174" s="10">
        <f>COUNTIFS(Connections!$B$6:$B$589,A174,Connections!$D$6:$D$589,"TRUE")+COUNTIFS(Connections!$C$6:$C$589,A174,Connections!$D$6:$D$589,"TRUE")</f>
        <v>0</v>
      </c>
      <c r="H174" s="11" t="s">
        <v>69</v>
      </c>
      <c r="I174" s="11" t="s">
        <v>70</v>
      </c>
      <c r="J174" s="12"/>
      <c r="K174" s="11"/>
      <c r="L174" s="4"/>
      <c r="M174" s="1" t="s">
        <v>215</v>
      </c>
      <c r="N174" s="1">
        <v>97</v>
      </c>
    </row>
    <row r="175" spans="1:14" ht="23.1" customHeight="1">
      <c r="A175" s="1" t="s">
        <v>311</v>
      </c>
      <c r="B175" s="1" t="s">
        <v>311</v>
      </c>
      <c r="C175" s="1" t="s">
        <v>213</v>
      </c>
      <c r="D175" s="3">
        <v>42.730545525954</v>
      </c>
      <c r="E175" s="3">
        <v>-73.682174175799702</v>
      </c>
      <c r="F175" s="10">
        <f>COUNTIFS(Connections!$B$6:$B$589,A175)+COUNTIFS(Connections!$C$6:$C$589,A175)</f>
        <v>3</v>
      </c>
      <c r="G175" s="10">
        <f>COUNTIFS(Connections!$B$6:$B$589,A175,Connections!$D$6:$D$589,"TRUE")+COUNTIFS(Connections!$C$6:$C$589,A175,Connections!$D$6:$D$589,"TRUE")</f>
        <v>0</v>
      </c>
      <c r="H175" s="11" t="s">
        <v>69</v>
      </c>
      <c r="I175" s="11" t="s">
        <v>70</v>
      </c>
      <c r="J175" s="12"/>
      <c r="K175" s="11"/>
      <c r="L175" s="4"/>
      <c r="M175" s="1" t="s">
        <v>215</v>
      </c>
      <c r="N175" s="1">
        <v>98</v>
      </c>
    </row>
    <row r="176" spans="1:14" ht="23.1" customHeight="1">
      <c r="A176" s="1" t="s">
        <v>312</v>
      </c>
      <c r="B176" s="1" t="s">
        <v>312</v>
      </c>
      <c r="C176" s="1" t="s">
        <v>213</v>
      </c>
      <c r="D176" s="3">
        <v>42.730448966851498</v>
      </c>
      <c r="E176" s="3">
        <v>-73.682672358097903</v>
      </c>
      <c r="F176" s="10">
        <f>COUNTIFS(Connections!$B$6:$B$589,A176)+COUNTIFS(Connections!$C$6:$C$589,A176)</f>
        <v>4</v>
      </c>
      <c r="G176" s="10">
        <f>COUNTIFS(Connections!$B$6:$B$589,A176,Connections!$D$6:$D$589,"TRUE")+COUNTIFS(Connections!$C$6:$C$589,A176,Connections!$D$6:$D$589,"TRUE")</f>
        <v>0</v>
      </c>
      <c r="H176" s="11" t="s">
        <v>69</v>
      </c>
      <c r="I176" s="11" t="s">
        <v>70</v>
      </c>
      <c r="J176" s="12"/>
      <c r="K176" s="11"/>
      <c r="L176" s="4"/>
      <c r="M176" s="1" t="s">
        <v>215</v>
      </c>
      <c r="N176" s="1">
        <v>99</v>
      </c>
    </row>
    <row r="177" spans="1:14" ht="23.1" customHeight="1">
      <c r="A177" s="1" t="s">
        <v>313</v>
      </c>
      <c r="B177" s="1" t="s">
        <v>313</v>
      </c>
      <c r="C177" s="1" t="s">
        <v>213</v>
      </c>
      <c r="D177" s="3">
        <v>42.730237456436399</v>
      </c>
      <c r="E177" s="3">
        <v>-73.682291956918107</v>
      </c>
      <c r="F177" s="10">
        <f>COUNTIFS(Connections!$B$6:$B$589,A177)+COUNTIFS(Connections!$C$6:$C$589,A177)</f>
        <v>3</v>
      </c>
      <c r="G177" s="10">
        <f>COUNTIFS(Connections!$B$6:$B$589,A177,Connections!$D$6:$D$589,"TRUE")+COUNTIFS(Connections!$C$6:$C$589,A177,Connections!$D$6:$D$589,"TRUE")</f>
        <v>0</v>
      </c>
      <c r="H177" s="11" t="s">
        <v>69</v>
      </c>
      <c r="I177" s="11" t="s">
        <v>70</v>
      </c>
      <c r="J177" s="12"/>
      <c r="K177" s="11"/>
      <c r="L177" s="4"/>
      <c r="M177" s="1" t="s">
        <v>215</v>
      </c>
      <c r="N177" s="1">
        <v>100</v>
      </c>
    </row>
    <row r="178" spans="1:14" ht="23.1" customHeight="1">
      <c r="A178" s="1" t="s">
        <v>314</v>
      </c>
      <c r="B178" s="1" t="s">
        <v>314</v>
      </c>
      <c r="C178" s="1" t="s">
        <v>213</v>
      </c>
      <c r="D178" s="3">
        <v>42.730628290898999</v>
      </c>
      <c r="E178" s="3">
        <v>-73.680721011460406</v>
      </c>
      <c r="F178" s="10">
        <f>COUNTIFS(Connections!$B$6:$B$589,A178)+COUNTIFS(Connections!$C$6:$C$589,A178)</f>
        <v>3</v>
      </c>
      <c r="G178" s="10">
        <f>COUNTIFS(Connections!$B$6:$B$589,A178,Connections!$D$6:$D$589,"TRUE")+COUNTIFS(Connections!$C$6:$C$589,A178,Connections!$D$6:$D$589,"TRUE")</f>
        <v>0</v>
      </c>
      <c r="H178" s="11" t="s">
        <v>69</v>
      </c>
      <c r="I178" s="11" t="s">
        <v>70</v>
      </c>
      <c r="J178" s="12"/>
      <c r="K178" s="11"/>
      <c r="L178" s="4"/>
      <c r="M178" s="1" t="s">
        <v>215</v>
      </c>
      <c r="N178" s="1">
        <v>101</v>
      </c>
    </row>
    <row r="179" spans="1:14" ht="23.1" customHeight="1">
      <c r="A179" s="1" t="s">
        <v>315</v>
      </c>
      <c r="B179" s="1" t="s">
        <v>315</v>
      </c>
      <c r="C179" s="1" t="s">
        <v>213</v>
      </c>
      <c r="D179" s="3">
        <v>42.729379919644899</v>
      </c>
      <c r="E179" s="3">
        <v>-73.681394273799398</v>
      </c>
      <c r="F179" s="10">
        <f>COUNTIFS(Connections!$B$6:$B$589,A179)+COUNTIFS(Connections!$C$6:$C$589,A179)</f>
        <v>4</v>
      </c>
      <c r="G179" s="10">
        <f>COUNTIFS(Connections!$B$6:$B$589,A179,Connections!$D$6:$D$589,"TRUE")+COUNTIFS(Connections!$C$6:$C$589,A179,Connections!$D$6:$D$589,"TRUE")</f>
        <v>0</v>
      </c>
      <c r="H179" s="11" t="s">
        <v>69</v>
      </c>
      <c r="I179" s="11" t="s">
        <v>70</v>
      </c>
      <c r="J179" s="12"/>
      <c r="K179" s="11"/>
      <c r="L179" s="4"/>
      <c r="M179" s="1" t="s">
        <v>215</v>
      </c>
      <c r="N179" s="1">
        <v>102</v>
      </c>
    </row>
    <row r="180" spans="1:14" ht="23.1" customHeight="1">
      <c r="A180" s="1" t="s">
        <v>316</v>
      </c>
      <c r="B180" s="1" t="s">
        <v>316</v>
      </c>
      <c r="C180" s="1" t="s">
        <v>213</v>
      </c>
      <c r="D180" s="3">
        <v>42.7295063660887</v>
      </c>
      <c r="E180" s="3">
        <v>-73.681036155534002</v>
      </c>
      <c r="F180" s="10">
        <f>COUNTIFS(Connections!$B$6:$B$589,A180)+COUNTIFS(Connections!$C$6:$C$589,A180)</f>
        <v>4</v>
      </c>
      <c r="G180" s="10">
        <f>COUNTIFS(Connections!$B$6:$B$589,A180,Connections!$D$6:$D$589,"TRUE")+COUNTIFS(Connections!$C$6:$C$589,A180,Connections!$D$6:$D$589,"TRUE")</f>
        <v>0</v>
      </c>
      <c r="H180" s="11" t="s">
        <v>69</v>
      </c>
      <c r="I180" s="11" t="s">
        <v>70</v>
      </c>
      <c r="J180" s="12"/>
      <c r="K180" s="11"/>
      <c r="L180" s="4"/>
      <c r="M180" s="1" t="s">
        <v>215</v>
      </c>
      <c r="N180" s="1">
        <v>103</v>
      </c>
    </row>
    <row r="181" spans="1:14" ht="23.1" customHeight="1">
      <c r="A181" s="1" t="s">
        <v>317</v>
      </c>
      <c r="B181" s="1" t="s">
        <v>317</v>
      </c>
      <c r="C181" s="1" t="s">
        <v>213</v>
      </c>
      <c r="D181" s="3">
        <v>42.729379919644899</v>
      </c>
      <c r="E181" s="3">
        <v>-73.681951346656803</v>
      </c>
      <c r="F181" s="10">
        <f>COUNTIFS(Connections!$B$6:$B$589,A181)+COUNTIFS(Connections!$C$6:$C$589,A181)</f>
        <v>3</v>
      </c>
      <c r="G181" s="10">
        <f>COUNTIFS(Connections!$B$6:$B$589,A181,Connections!$D$6:$D$589,"TRUE")+COUNTIFS(Connections!$C$6:$C$589,A181,Connections!$D$6:$D$589,"TRUE")</f>
        <v>0</v>
      </c>
      <c r="H181" s="11" t="s">
        <v>69</v>
      </c>
      <c r="I181" s="11" t="s">
        <v>70</v>
      </c>
      <c r="J181" s="12"/>
      <c r="K181" s="11"/>
      <c r="L181" s="4"/>
      <c r="M181" s="1" t="s">
        <v>215</v>
      </c>
      <c r="N181" s="1">
        <v>104</v>
      </c>
    </row>
    <row r="182" spans="1:14" ht="23.1" customHeight="1">
      <c r="A182" s="1" t="s">
        <v>318</v>
      </c>
      <c r="B182" s="1" t="s">
        <v>318</v>
      </c>
      <c r="C182" s="1" t="s">
        <v>213</v>
      </c>
      <c r="D182" s="3">
        <v>42.728325816108999</v>
      </c>
      <c r="E182" s="3">
        <v>-73.680752844195098</v>
      </c>
      <c r="F182" s="10">
        <f>COUNTIFS(Connections!$B$6:$B$589,A182)+COUNTIFS(Connections!$C$6:$C$589,A182)</f>
        <v>3</v>
      </c>
      <c r="G182" s="10">
        <f>COUNTIFS(Connections!$B$6:$B$589,A182,Connections!$D$6:$D$589,"TRUE")+COUNTIFS(Connections!$C$6:$C$589,A182,Connections!$D$6:$D$589,"TRUE")</f>
        <v>0</v>
      </c>
      <c r="H182" s="11" t="s">
        <v>69</v>
      </c>
      <c r="I182" s="11" t="s">
        <v>70</v>
      </c>
      <c r="J182" s="12"/>
      <c r="K182" s="11"/>
      <c r="L182" s="4"/>
      <c r="M182" s="1" t="s">
        <v>215</v>
      </c>
      <c r="N182" s="1">
        <v>105</v>
      </c>
    </row>
    <row r="183" spans="1:14" ht="23.1" customHeight="1">
      <c r="A183" s="1" t="s">
        <v>319</v>
      </c>
      <c r="B183" s="1" t="s">
        <v>319</v>
      </c>
      <c r="C183" s="1" t="s">
        <v>213</v>
      </c>
      <c r="D183" s="3">
        <v>42.729520160246203</v>
      </c>
      <c r="E183" s="3">
        <v>-73.678446562565696</v>
      </c>
      <c r="F183" s="10">
        <f>COUNTIFS(Connections!$B$6:$B$589,A183)+COUNTIFS(Connections!$C$6:$C$589,A183)</f>
        <v>3</v>
      </c>
      <c r="G183" s="10">
        <f>COUNTIFS(Connections!$B$6:$B$589,A183,Connections!$D$6:$D$589,"TRUE")+COUNTIFS(Connections!$C$6:$C$589,A183,Connections!$D$6:$D$589,"TRUE")</f>
        <v>0</v>
      </c>
      <c r="H183" s="11" t="s">
        <v>69</v>
      </c>
      <c r="I183" s="11" t="s">
        <v>70</v>
      </c>
      <c r="J183" s="12"/>
      <c r="K183" s="11"/>
      <c r="L183" s="4"/>
      <c r="M183" s="1" t="s">
        <v>215</v>
      </c>
      <c r="N183" s="1">
        <v>106</v>
      </c>
    </row>
    <row r="184" spans="1:14" ht="23.1" customHeight="1">
      <c r="A184" s="1" t="s">
        <v>320</v>
      </c>
      <c r="B184" s="1" t="s">
        <v>320</v>
      </c>
      <c r="C184" s="1" t="s">
        <v>213</v>
      </c>
      <c r="D184" s="3">
        <v>42.729000580313603</v>
      </c>
      <c r="E184" s="3">
        <v>-73.678518186218795</v>
      </c>
      <c r="F184" s="10">
        <f>COUNTIFS(Connections!$B$6:$B$589,A184)+COUNTIFS(Connections!$C$6:$C$589,A184)</f>
        <v>3</v>
      </c>
      <c r="G184" s="10">
        <f>COUNTIFS(Connections!$B$6:$B$589,A184,Connections!$D$6:$D$589,"TRUE")+COUNTIFS(Connections!$C$6:$C$589,A184,Connections!$D$6:$D$589,"TRUE")</f>
        <v>0</v>
      </c>
      <c r="H184" s="11" t="s">
        <v>69</v>
      </c>
      <c r="I184" s="11" t="s">
        <v>70</v>
      </c>
      <c r="J184" s="12"/>
      <c r="K184" s="11"/>
      <c r="L184" s="4"/>
      <c r="M184" s="1" t="s">
        <v>215</v>
      </c>
      <c r="N184" s="1">
        <v>107</v>
      </c>
    </row>
    <row r="185" spans="1:14" ht="23.1" customHeight="1">
      <c r="A185" s="1" t="s">
        <v>321</v>
      </c>
      <c r="B185" s="1" t="s">
        <v>321</v>
      </c>
      <c r="C185" s="1" t="s">
        <v>213</v>
      </c>
      <c r="D185" s="3">
        <v>42.729441993353703</v>
      </c>
      <c r="E185" s="3">
        <v>-73.678234874879905</v>
      </c>
      <c r="F185" s="10">
        <f>COUNTIFS(Connections!$B$6:$B$589,A185)+COUNTIFS(Connections!$C$6:$C$589,A185)</f>
        <v>3</v>
      </c>
      <c r="G185" s="10">
        <f>COUNTIFS(Connections!$B$6:$B$589,A185,Connections!$D$6:$D$589,"TRUE")+COUNTIFS(Connections!$C$6:$C$589,A185,Connections!$D$6:$D$589,"TRUE")</f>
        <v>0</v>
      </c>
      <c r="H185" s="11" t="s">
        <v>69</v>
      </c>
      <c r="I185" s="11" t="s">
        <v>70</v>
      </c>
      <c r="J185" s="12"/>
      <c r="K185" s="11"/>
      <c r="L185" s="4"/>
      <c r="M185" s="1" t="s">
        <v>215</v>
      </c>
      <c r="N185" s="1">
        <v>108</v>
      </c>
    </row>
    <row r="186" spans="1:14" ht="23.1" customHeight="1">
      <c r="A186" s="1" t="s">
        <v>322</v>
      </c>
      <c r="B186" s="1" t="s">
        <v>322</v>
      </c>
      <c r="C186" s="1" t="s">
        <v>213</v>
      </c>
      <c r="D186" s="3">
        <v>42.7285177848009</v>
      </c>
      <c r="E186" s="3">
        <v>-73.6786502920678</v>
      </c>
      <c r="F186" s="10">
        <f>COUNTIFS(Connections!$B$6:$B$589,A186)+COUNTIFS(Connections!$C$6:$C$589,A186)</f>
        <v>2</v>
      </c>
      <c r="G186" s="10">
        <f>COUNTIFS(Connections!$B$6:$B$589,A186,Connections!$D$6:$D$589,"TRUE")+COUNTIFS(Connections!$C$6:$C$589,A186,Connections!$D$6:$D$589,"TRUE")</f>
        <v>0</v>
      </c>
      <c r="H186" s="11" t="s">
        <v>69</v>
      </c>
      <c r="I186" s="11" t="s">
        <v>70</v>
      </c>
      <c r="J186" s="12"/>
      <c r="K186" s="11"/>
      <c r="L186" s="4"/>
      <c r="M186" s="1" t="s">
        <v>215</v>
      </c>
      <c r="N186" s="1">
        <v>109</v>
      </c>
    </row>
    <row r="187" spans="1:14" ht="23.1" customHeight="1">
      <c r="A187" s="1" t="s">
        <v>323</v>
      </c>
      <c r="B187" s="1" t="s">
        <v>323</v>
      </c>
      <c r="C187" s="1" t="s">
        <v>213</v>
      </c>
      <c r="D187" s="3">
        <v>42.728667221507202</v>
      </c>
      <c r="E187" s="3">
        <v>-73.6798822189009</v>
      </c>
      <c r="F187" s="10">
        <f>COUNTIFS(Connections!$B$6:$B$589,A187)+COUNTIFS(Connections!$C$6:$C$589,A187)</f>
        <v>3</v>
      </c>
      <c r="G187" s="10">
        <f>COUNTIFS(Connections!$B$6:$B$589,A187,Connections!$D$6:$D$589,"TRUE")+COUNTIFS(Connections!$C$6:$C$589,A187,Connections!$D$6:$D$589,"TRUE")</f>
        <v>0</v>
      </c>
      <c r="H187" s="11" t="s">
        <v>69</v>
      </c>
      <c r="I187" s="11" t="s">
        <v>70</v>
      </c>
      <c r="J187" s="12"/>
      <c r="K187" s="11"/>
      <c r="L187" s="4"/>
      <c r="M187" s="1" t="s">
        <v>215</v>
      </c>
      <c r="N187" s="1">
        <v>110</v>
      </c>
    </row>
    <row r="188" spans="1:14" ht="23.1" customHeight="1">
      <c r="A188" s="1" t="s">
        <v>324</v>
      </c>
      <c r="B188" s="1" t="s">
        <v>324</v>
      </c>
      <c r="C188" s="1" t="s">
        <v>213</v>
      </c>
      <c r="D188" s="3">
        <v>42.729081046232302</v>
      </c>
      <c r="E188" s="3">
        <v>-73.681212827211596</v>
      </c>
      <c r="F188" s="10">
        <f>COUNTIFS(Connections!$B$6:$B$589,A188)+COUNTIFS(Connections!$C$6:$C$589,A188)</f>
        <v>5</v>
      </c>
      <c r="G188" s="10">
        <f>COUNTIFS(Connections!$B$6:$B$589,A188,Connections!$D$6:$D$589,"TRUE")+COUNTIFS(Connections!$C$6:$C$589,A188,Connections!$D$6:$D$589,"TRUE")</f>
        <v>0</v>
      </c>
      <c r="H188" s="11" t="s">
        <v>69</v>
      </c>
      <c r="I188" s="11" t="s">
        <v>70</v>
      </c>
      <c r="J188" s="12"/>
      <c r="K188" s="11"/>
      <c r="L188" s="4"/>
      <c r="M188" s="1" t="s">
        <v>215</v>
      </c>
      <c r="N188" s="1">
        <v>111</v>
      </c>
    </row>
    <row r="189" spans="1:14" ht="23.1" customHeight="1">
      <c r="A189" s="1" t="s">
        <v>325</v>
      </c>
      <c r="B189" s="1" t="s">
        <v>325</v>
      </c>
      <c r="C189" s="1" t="s">
        <v>213</v>
      </c>
      <c r="D189" s="3">
        <v>42.728976440537899</v>
      </c>
      <c r="E189" s="3">
        <v>-73.681696684779098</v>
      </c>
      <c r="F189" s="10">
        <f>COUNTIFS(Connections!$B$6:$B$589,A189)+COUNTIFS(Connections!$C$6:$C$589,A189)</f>
        <v>4</v>
      </c>
      <c r="G189" s="10">
        <f>COUNTIFS(Connections!$B$6:$B$589,A189,Connections!$D$6:$D$589,"TRUE")+COUNTIFS(Connections!$C$6:$C$589,A189,Connections!$D$6:$D$589,"TRUE")</f>
        <v>0</v>
      </c>
      <c r="H189" s="11" t="s">
        <v>69</v>
      </c>
      <c r="I189" s="11" t="s">
        <v>70</v>
      </c>
      <c r="J189" s="12"/>
      <c r="K189" s="11"/>
      <c r="L189" s="4"/>
      <c r="M189" s="1" t="s">
        <v>215</v>
      </c>
      <c r="N189" s="1">
        <v>112</v>
      </c>
    </row>
    <row r="190" spans="1:14" ht="23.1" customHeight="1">
      <c r="A190" s="1" t="s">
        <v>326</v>
      </c>
      <c r="B190" s="1" t="s">
        <v>326</v>
      </c>
      <c r="C190" s="1" t="s">
        <v>213</v>
      </c>
      <c r="D190" s="3">
        <v>42.729092541363599</v>
      </c>
      <c r="E190" s="3">
        <v>-73.680402684113403</v>
      </c>
      <c r="F190" s="10">
        <f>COUNTIFS(Connections!$B$6:$B$589,A190)+COUNTIFS(Connections!$C$6:$C$589,A190)</f>
        <v>3</v>
      </c>
      <c r="G190" s="10">
        <f>COUNTIFS(Connections!$B$6:$B$589,A190,Connections!$D$6:$D$589,"TRUE")+COUNTIFS(Connections!$C$6:$C$589,A190,Connections!$D$6:$D$589,"TRUE")</f>
        <v>0</v>
      </c>
      <c r="H190" s="11" t="s">
        <v>69</v>
      </c>
      <c r="I190" s="11" t="s">
        <v>70</v>
      </c>
      <c r="J190" s="12"/>
      <c r="K190" s="11"/>
      <c r="L190" s="4"/>
      <c r="M190" s="1" t="s">
        <v>215</v>
      </c>
      <c r="N190" s="1">
        <v>113</v>
      </c>
    </row>
    <row r="191" spans="1:14" ht="23.1" customHeight="1">
      <c r="A191" s="1" t="s">
        <v>327</v>
      </c>
      <c r="B191" s="1" t="s">
        <v>327</v>
      </c>
      <c r="C191" s="1" t="s">
        <v>213</v>
      </c>
      <c r="D191" s="3">
        <v>42.729184502413602</v>
      </c>
      <c r="E191" s="3">
        <v>-73.679859935986599</v>
      </c>
      <c r="F191" s="10">
        <f>COUNTIFS(Connections!$B$6:$B$589,A191)+COUNTIFS(Connections!$C$6:$C$589,A191)</f>
        <v>3</v>
      </c>
      <c r="G191" s="10">
        <f>COUNTIFS(Connections!$B$6:$B$589,A191,Connections!$D$6:$D$589,"TRUE")+COUNTIFS(Connections!$C$6:$C$589,A191,Connections!$D$6:$D$589,"TRUE")</f>
        <v>0</v>
      </c>
      <c r="H191" s="11" t="s">
        <v>69</v>
      </c>
      <c r="I191" s="11" t="s">
        <v>70</v>
      </c>
      <c r="J191" s="12"/>
      <c r="K191" s="11"/>
      <c r="L191" s="4"/>
      <c r="M191" s="1" t="s">
        <v>215</v>
      </c>
      <c r="N191" s="1">
        <v>114</v>
      </c>
    </row>
    <row r="192" spans="1:14" ht="23.1" customHeight="1">
      <c r="A192" s="1" t="s">
        <v>328</v>
      </c>
      <c r="B192" s="1" t="s">
        <v>328</v>
      </c>
      <c r="C192" s="1" t="s">
        <v>213</v>
      </c>
      <c r="D192" s="3">
        <v>42.729205193649904</v>
      </c>
      <c r="E192" s="3">
        <v>-73.681047296991196</v>
      </c>
      <c r="F192" s="10">
        <f>COUNTIFS(Connections!$B$6:$B$589,A192)+COUNTIFS(Connections!$C$6:$C$589,A192)</f>
        <v>3</v>
      </c>
      <c r="G192" s="10">
        <f>COUNTIFS(Connections!$B$6:$B$589,A192,Connections!$D$6:$D$589,"TRUE")+COUNTIFS(Connections!$C$6:$C$589,A192,Connections!$D$6:$D$589,"TRUE")</f>
        <v>0</v>
      </c>
      <c r="H192" s="11" t="s">
        <v>69</v>
      </c>
      <c r="I192" s="11" t="s">
        <v>70</v>
      </c>
      <c r="J192" s="12"/>
      <c r="K192" s="11"/>
      <c r="L192" s="4"/>
      <c r="M192" s="1" t="s">
        <v>215</v>
      </c>
      <c r="N192" s="1">
        <v>115</v>
      </c>
    </row>
    <row r="193" spans="1:14" ht="23.1" customHeight="1">
      <c r="A193" s="1" t="s">
        <v>329</v>
      </c>
      <c r="B193" s="1" t="s">
        <v>329</v>
      </c>
      <c r="C193" s="1" t="s">
        <v>213</v>
      </c>
      <c r="D193" s="3">
        <v>42.728784471845998</v>
      </c>
      <c r="E193" s="3">
        <v>-73.681330608330001</v>
      </c>
      <c r="F193" s="10">
        <f>COUNTIFS(Connections!$B$6:$B$589,A193)+COUNTIFS(Connections!$C$6:$C$589,A193)</f>
        <v>4</v>
      </c>
      <c r="G193" s="10">
        <f>COUNTIFS(Connections!$B$6:$B$589,A193,Connections!$D$6:$D$589,"TRUE")+COUNTIFS(Connections!$C$6:$C$589,A193,Connections!$D$6:$D$589,"TRUE")</f>
        <v>0</v>
      </c>
      <c r="H193" s="11" t="s">
        <v>69</v>
      </c>
      <c r="I193" s="11" t="s">
        <v>70</v>
      </c>
      <c r="J193" s="12"/>
      <c r="K193" s="11"/>
      <c r="L193" s="4"/>
      <c r="M193" s="1" t="s">
        <v>215</v>
      </c>
      <c r="N193" s="1">
        <v>116</v>
      </c>
    </row>
    <row r="194" spans="1:14" ht="23.1" customHeight="1">
      <c r="A194" s="1" t="s">
        <v>330</v>
      </c>
      <c r="B194" s="1" t="s">
        <v>330</v>
      </c>
      <c r="C194" s="1" t="s">
        <v>213</v>
      </c>
      <c r="D194" s="3">
        <v>42.728632736113497</v>
      </c>
      <c r="E194" s="3">
        <v>-73.681206460664697</v>
      </c>
      <c r="F194" s="10">
        <f>COUNTIFS(Connections!$B$6:$B$589,A194)+COUNTIFS(Connections!$C$6:$C$589,A194)</f>
        <v>2</v>
      </c>
      <c r="G194" s="10">
        <f>COUNTIFS(Connections!$B$6:$B$589,A194,Connections!$D$6:$D$589,"TRUE")+COUNTIFS(Connections!$C$6:$C$589,A194,Connections!$D$6:$D$589,"TRUE")</f>
        <v>0</v>
      </c>
      <c r="H194" s="11" t="s">
        <v>69</v>
      </c>
      <c r="I194" s="11" t="s">
        <v>70</v>
      </c>
      <c r="J194" s="12"/>
      <c r="K194" s="11"/>
      <c r="L194" s="4"/>
      <c r="M194" s="1" t="s">
        <v>215</v>
      </c>
      <c r="N194" s="1">
        <v>117</v>
      </c>
    </row>
    <row r="195" spans="1:14" ht="23.1" customHeight="1">
      <c r="A195" s="1" t="s">
        <v>331</v>
      </c>
      <c r="B195" s="1" t="s">
        <v>331</v>
      </c>
      <c r="C195" s="1" t="s">
        <v>213</v>
      </c>
      <c r="D195" s="3">
        <v>42.728393637383398</v>
      </c>
      <c r="E195" s="3">
        <v>-73.681217602121805</v>
      </c>
      <c r="F195" s="10">
        <f>COUNTIFS(Connections!$B$6:$B$589,A195)+COUNTIFS(Connections!$C$6:$C$589,A195)</f>
        <v>3</v>
      </c>
      <c r="G195" s="10">
        <f>COUNTIFS(Connections!$B$6:$B$589,A195,Connections!$D$6:$D$589,"TRUE")+COUNTIFS(Connections!$C$6:$C$589,A195,Connections!$D$6:$D$589,"TRUE")</f>
        <v>0</v>
      </c>
      <c r="H195" s="11" t="s">
        <v>69</v>
      </c>
      <c r="I195" s="11" t="s">
        <v>70</v>
      </c>
      <c r="J195" s="12"/>
      <c r="K195" s="11"/>
      <c r="L195" s="4"/>
      <c r="M195" s="1" t="s">
        <v>215</v>
      </c>
      <c r="N195" s="1">
        <v>118</v>
      </c>
    </row>
    <row r="196" spans="1:14" ht="23.1" customHeight="1">
      <c r="A196" s="1" t="s">
        <v>332</v>
      </c>
      <c r="B196" s="1" t="s">
        <v>332</v>
      </c>
      <c r="C196" s="1" t="s">
        <v>213</v>
      </c>
      <c r="D196" s="3">
        <v>42.728641932218501</v>
      </c>
      <c r="E196" s="3">
        <v>-73.681574128750498</v>
      </c>
      <c r="F196" s="10">
        <f>COUNTIFS(Connections!$B$6:$B$589,A196)+COUNTIFS(Connections!$C$6:$C$589,A196)</f>
        <v>2</v>
      </c>
      <c r="G196" s="10">
        <f>COUNTIFS(Connections!$B$6:$B$589,A196,Connections!$D$6:$D$589,"TRUE")+COUNTIFS(Connections!$C$6:$C$589,A196,Connections!$D$6:$D$589,"TRUE")</f>
        <v>0</v>
      </c>
      <c r="H196" s="11" t="s">
        <v>69</v>
      </c>
      <c r="I196" s="11" t="s">
        <v>70</v>
      </c>
      <c r="J196" s="12"/>
      <c r="K196" s="11"/>
      <c r="L196" s="4"/>
      <c r="M196" s="1" t="s">
        <v>215</v>
      </c>
      <c r="N196" s="1">
        <v>119</v>
      </c>
    </row>
    <row r="197" spans="1:14" ht="23.1" customHeight="1">
      <c r="A197" s="1" t="s">
        <v>333</v>
      </c>
      <c r="B197" s="1" t="s">
        <v>333</v>
      </c>
      <c r="C197" s="1" t="s">
        <v>213</v>
      </c>
      <c r="D197" s="3">
        <v>42.728629287574101</v>
      </c>
      <c r="E197" s="3">
        <v>-73.681919513922097</v>
      </c>
      <c r="F197" s="10">
        <f>COUNTIFS(Connections!$B$6:$B$589,A197)+COUNTIFS(Connections!$C$6:$C$589,A197)</f>
        <v>4</v>
      </c>
      <c r="G197" s="10">
        <f>COUNTIFS(Connections!$B$6:$B$589,A197,Connections!$D$6:$D$589,"TRUE")+COUNTIFS(Connections!$C$6:$C$589,A197,Connections!$D$6:$D$589,"TRUE")</f>
        <v>0</v>
      </c>
      <c r="H197" s="11" t="s">
        <v>69</v>
      </c>
      <c r="I197" s="11" t="s">
        <v>70</v>
      </c>
      <c r="J197" s="12"/>
      <c r="K197" s="11"/>
      <c r="L197" s="4"/>
      <c r="M197" s="1" t="s">
        <v>215</v>
      </c>
      <c r="N197" s="1">
        <v>120</v>
      </c>
    </row>
    <row r="198" spans="1:14" ht="23.1" customHeight="1">
      <c r="A198" s="1" t="s">
        <v>334</v>
      </c>
      <c r="B198" s="1" t="s">
        <v>334</v>
      </c>
      <c r="C198" s="1" t="s">
        <v>213</v>
      </c>
      <c r="D198" s="3">
        <v>42.728512037235298</v>
      </c>
      <c r="E198" s="3">
        <v>-73.681916330648605</v>
      </c>
      <c r="F198" s="10">
        <f>COUNTIFS(Connections!$B$6:$B$589,A198)+COUNTIFS(Connections!$C$6:$C$589,A198)</f>
        <v>3</v>
      </c>
      <c r="G198" s="10">
        <f>COUNTIFS(Connections!$B$6:$B$589,A198,Connections!$D$6:$D$589,"TRUE")+COUNTIFS(Connections!$C$6:$C$589,A198,Connections!$D$6:$D$589,"TRUE")</f>
        <v>0</v>
      </c>
      <c r="H198" s="11" t="s">
        <v>69</v>
      </c>
      <c r="I198" s="11" t="s">
        <v>70</v>
      </c>
      <c r="J198" s="12"/>
      <c r="K198" s="11"/>
      <c r="L198" s="4"/>
      <c r="M198" s="1" t="s">
        <v>215</v>
      </c>
      <c r="N198" s="1">
        <v>121</v>
      </c>
    </row>
    <row r="199" spans="1:14" ht="23.1" customHeight="1">
      <c r="A199" s="1" t="s">
        <v>335</v>
      </c>
      <c r="B199" s="1" t="s">
        <v>335</v>
      </c>
      <c r="C199" s="1" t="s">
        <v>213</v>
      </c>
      <c r="D199" s="3">
        <v>42.7287499864523</v>
      </c>
      <c r="E199" s="3">
        <v>-73.682148709611994</v>
      </c>
      <c r="F199" s="10">
        <f>COUNTIFS(Connections!$B$6:$B$589,A199)+COUNTIFS(Connections!$C$6:$C$589,A199)</f>
        <v>2</v>
      </c>
      <c r="G199" s="10">
        <f>COUNTIFS(Connections!$B$6:$B$589,A199,Connections!$D$6:$D$589,"TRUE")+COUNTIFS(Connections!$C$6:$C$589,A199,Connections!$D$6:$D$589,"TRUE")</f>
        <v>0</v>
      </c>
      <c r="H199" s="11" t="s">
        <v>69</v>
      </c>
      <c r="I199" s="11" t="s">
        <v>70</v>
      </c>
      <c r="J199" s="12"/>
      <c r="K199" s="11"/>
      <c r="L199" s="4"/>
      <c r="M199" s="1" t="s">
        <v>215</v>
      </c>
      <c r="N199" s="1">
        <v>122</v>
      </c>
    </row>
    <row r="200" spans="1:14" ht="23.1" customHeight="1">
      <c r="A200" s="1" t="s">
        <v>336</v>
      </c>
      <c r="B200" s="1" t="s">
        <v>336</v>
      </c>
      <c r="C200" s="1" t="s">
        <v>213</v>
      </c>
      <c r="D200" s="3">
        <v>42.728956898814801</v>
      </c>
      <c r="E200" s="3">
        <v>-73.682263307456907</v>
      </c>
      <c r="F200" s="10">
        <f>COUNTIFS(Connections!$B$6:$B$589,A200)+COUNTIFS(Connections!$C$6:$C$589,A200)</f>
        <v>4</v>
      </c>
      <c r="G200" s="10">
        <f>COUNTIFS(Connections!$B$6:$B$589,A200,Connections!$D$6:$D$589,"TRUE")+COUNTIFS(Connections!$C$6:$C$589,A200,Connections!$D$6:$D$589,"TRUE")</f>
        <v>0</v>
      </c>
      <c r="H200" s="11" t="s">
        <v>69</v>
      </c>
      <c r="I200" s="11" t="s">
        <v>70</v>
      </c>
      <c r="J200" s="12"/>
      <c r="K200" s="11"/>
      <c r="L200" s="4"/>
      <c r="M200" s="1" t="s">
        <v>215</v>
      </c>
      <c r="N200" s="1">
        <v>123</v>
      </c>
    </row>
    <row r="201" spans="1:14" ht="23.1" customHeight="1">
      <c r="A201" s="1" t="s">
        <v>337</v>
      </c>
      <c r="B201" s="1" t="s">
        <v>337</v>
      </c>
      <c r="C201" s="1" t="s">
        <v>213</v>
      </c>
      <c r="D201" s="3">
        <v>42.728736192294797</v>
      </c>
      <c r="E201" s="3">
        <v>-73.682694641012105</v>
      </c>
      <c r="F201" s="10">
        <f>COUNTIFS(Connections!$B$6:$B$589,A201)+COUNTIFS(Connections!$C$6:$C$589,A201)</f>
        <v>3</v>
      </c>
      <c r="G201" s="10">
        <f>COUNTIFS(Connections!$B$6:$B$589,A201,Connections!$D$6:$D$589,"TRUE")+COUNTIFS(Connections!$C$6:$C$589,A201,Connections!$D$6:$D$589,"TRUE")</f>
        <v>0</v>
      </c>
      <c r="H201" s="11" t="s">
        <v>69</v>
      </c>
      <c r="I201" s="11" t="s">
        <v>70</v>
      </c>
      <c r="J201" s="12"/>
      <c r="K201" s="11"/>
      <c r="L201" s="4"/>
      <c r="M201" s="1" t="s">
        <v>215</v>
      </c>
      <c r="N201" s="1">
        <v>124</v>
      </c>
    </row>
    <row r="202" spans="1:14" ht="23.1" customHeight="1">
      <c r="A202" s="1" t="s">
        <v>338</v>
      </c>
      <c r="B202" s="1" t="s">
        <v>338</v>
      </c>
      <c r="C202" s="1" t="s">
        <v>213</v>
      </c>
      <c r="D202" s="3">
        <v>42.728876432896001</v>
      </c>
      <c r="E202" s="3">
        <v>-73.682497278056999</v>
      </c>
      <c r="F202" s="10">
        <f>COUNTIFS(Connections!$B$6:$B$589,A202)+COUNTIFS(Connections!$C$6:$C$589,A202)</f>
        <v>2</v>
      </c>
      <c r="G202" s="10">
        <f>COUNTIFS(Connections!$B$6:$B$589,A202,Connections!$D$6:$D$589,"TRUE")+COUNTIFS(Connections!$C$6:$C$589,A202,Connections!$D$6:$D$589,"TRUE")</f>
        <v>0</v>
      </c>
      <c r="H202" s="11" t="s">
        <v>69</v>
      </c>
      <c r="I202" s="11" t="s">
        <v>70</v>
      </c>
      <c r="J202" s="12"/>
      <c r="K202" s="11"/>
      <c r="L202" s="4"/>
      <c r="M202" s="1" t="s">
        <v>215</v>
      </c>
      <c r="N202" s="1">
        <v>125</v>
      </c>
    </row>
    <row r="203" spans="1:14" ht="23.1" customHeight="1">
      <c r="A203" s="1" t="s">
        <v>339</v>
      </c>
      <c r="B203" s="1" t="s">
        <v>339</v>
      </c>
      <c r="C203" s="1" t="s">
        <v>213</v>
      </c>
      <c r="D203" s="3">
        <v>42.731138674726601</v>
      </c>
      <c r="E203" s="3">
        <v>-73.679866302533597</v>
      </c>
      <c r="F203" s="10">
        <f>COUNTIFS(Connections!$B$6:$B$589,A203)+COUNTIFS(Connections!$C$6:$C$589,A203)</f>
        <v>3</v>
      </c>
      <c r="G203" s="10">
        <f>COUNTIFS(Connections!$B$6:$B$589,A203,Connections!$D$6:$D$589,"TRUE")+COUNTIFS(Connections!$C$6:$C$589,A203,Connections!$D$6:$D$589,"TRUE")</f>
        <v>0</v>
      </c>
      <c r="H203" s="11" t="s">
        <v>69</v>
      </c>
      <c r="I203" s="11" t="s">
        <v>70</v>
      </c>
      <c r="J203" s="12"/>
      <c r="K203" s="11"/>
      <c r="L203" s="4"/>
      <c r="M203" s="1" t="s">
        <v>215</v>
      </c>
      <c r="N203" s="1">
        <v>126</v>
      </c>
    </row>
    <row r="204" spans="1:14" ht="23.1" customHeight="1">
      <c r="A204" s="1" t="s">
        <v>340</v>
      </c>
      <c r="B204" s="1" t="s">
        <v>340</v>
      </c>
      <c r="C204" s="1" t="s">
        <v>213</v>
      </c>
      <c r="D204" s="3">
        <v>42.728920114394803</v>
      </c>
      <c r="E204" s="3">
        <v>-73.678195083961597</v>
      </c>
      <c r="F204" s="10">
        <f>COUNTIFS(Connections!$B$6:$B$589,A204)+COUNTIFS(Connections!$C$6:$C$589,A204)</f>
        <v>4</v>
      </c>
      <c r="G204" s="10">
        <f>COUNTIFS(Connections!$B$6:$B$589,A204,Connections!$D$6:$D$589,"TRUE")+COUNTIFS(Connections!$C$6:$C$589,A204,Connections!$D$6:$D$589,"TRUE")</f>
        <v>0</v>
      </c>
      <c r="H204" s="11" t="s">
        <v>69</v>
      </c>
      <c r="I204" s="11" t="s">
        <v>70</v>
      </c>
      <c r="J204" s="12"/>
      <c r="K204" s="11"/>
      <c r="L204" s="4"/>
      <c r="M204" s="1" t="s">
        <v>215</v>
      </c>
      <c r="N204" s="1">
        <v>127</v>
      </c>
    </row>
    <row r="205" spans="1:14" ht="23.1" customHeight="1">
      <c r="A205" s="1" t="s">
        <v>341</v>
      </c>
      <c r="B205" s="1" t="s">
        <v>341</v>
      </c>
      <c r="C205" s="1" t="s">
        <v>213</v>
      </c>
      <c r="D205" s="3">
        <v>42.728972991998603</v>
      </c>
      <c r="E205" s="3">
        <v>-73.677679393659304</v>
      </c>
      <c r="F205" s="10">
        <f>COUNTIFS(Connections!$B$6:$B$589,A205)+COUNTIFS(Connections!$C$6:$C$589,A205)</f>
        <v>4</v>
      </c>
      <c r="G205" s="10">
        <f>COUNTIFS(Connections!$B$6:$B$589,A205,Connections!$D$6:$D$589,"TRUE")+COUNTIFS(Connections!$C$6:$C$589,A205,Connections!$D$6:$D$589,"TRUE")</f>
        <v>0</v>
      </c>
      <c r="H205" s="11" t="s">
        <v>69</v>
      </c>
      <c r="I205" s="11" t="s">
        <v>70</v>
      </c>
      <c r="J205" s="12"/>
      <c r="K205" s="11"/>
      <c r="L205" s="4"/>
      <c r="M205" s="1" t="s">
        <v>215</v>
      </c>
      <c r="N205" s="1">
        <v>128</v>
      </c>
    </row>
    <row r="206" spans="1:14" ht="23.1" customHeight="1">
      <c r="A206" s="1" t="s">
        <v>342</v>
      </c>
      <c r="B206" s="1" t="s">
        <v>342</v>
      </c>
      <c r="C206" s="1" t="s">
        <v>213</v>
      </c>
      <c r="D206" s="3">
        <v>42.728938506604798</v>
      </c>
      <c r="E206" s="3">
        <v>-73.677278301202094</v>
      </c>
      <c r="F206" s="10">
        <f>COUNTIFS(Connections!$B$6:$B$589,A206)+COUNTIFS(Connections!$C$6:$C$589,A206)</f>
        <v>3</v>
      </c>
      <c r="G206" s="10">
        <f>COUNTIFS(Connections!$B$6:$B$589,A206,Connections!$D$6:$D$589,"TRUE")+COUNTIFS(Connections!$C$6:$C$589,A206,Connections!$D$6:$D$589,"TRUE")</f>
        <v>0</v>
      </c>
      <c r="H206" s="11" t="s">
        <v>69</v>
      </c>
      <c r="I206" s="11" t="s">
        <v>70</v>
      </c>
      <c r="J206" s="12"/>
      <c r="K206" s="11"/>
      <c r="L206" s="4"/>
      <c r="M206" s="1" t="s">
        <v>215</v>
      </c>
      <c r="N206" s="1">
        <v>129</v>
      </c>
    </row>
    <row r="207" spans="1:14" ht="23.1" customHeight="1">
      <c r="A207" s="1" t="s">
        <v>343</v>
      </c>
      <c r="B207" s="1" t="s">
        <v>343</v>
      </c>
      <c r="C207" s="1" t="s">
        <v>213</v>
      </c>
      <c r="D207" s="3">
        <v>42.729471880694902</v>
      </c>
      <c r="E207" s="3">
        <v>-73.677139828806105</v>
      </c>
      <c r="F207" s="10">
        <f>COUNTIFS(Connections!$B$6:$B$589,A207)+COUNTIFS(Connections!$C$6:$C$589,A207)</f>
        <v>3</v>
      </c>
      <c r="G207" s="10">
        <f>COUNTIFS(Connections!$B$6:$B$589,A207,Connections!$D$6:$D$589,"TRUE")+COUNTIFS(Connections!$C$6:$C$589,A207,Connections!$D$6:$D$589,"TRUE")</f>
        <v>0</v>
      </c>
      <c r="H207" s="11" t="s">
        <v>69</v>
      </c>
      <c r="I207" s="11" t="s">
        <v>70</v>
      </c>
      <c r="J207" s="12"/>
      <c r="K207" s="11"/>
      <c r="L207" s="4"/>
      <c r="M207" s="1" t="s">
        <v>215</v>
      </c>
      <c r="N207" s="1">
        <v>130</v>
      </c>
    </row>
    <row r="208" spans="1:14" ht="23.1" customHeight="1">
      <c r="A208" s="1" t="s">
        <v>344</v>
      </c>
      <c r="B208" s="1" t="s">
        <v>344</v>
      </c>
      <c r="C208" s="1" t="s">
        <v>213</v>
      </c>
      <c r="D208" s="3">
        <v>42.729719026016902</v>
      </c>
      <c r="E208" s="3">
        <v>-73.677112770981594</v>
      </c>
      <c r="F208" s="10">
        <f>COUNTIFS(Connections!$B$6:$B$589,A208)+COUNTIFS(Connections!$C$6:$C$589,A208)</f>
        <v>2</v>
      </c>
      <c r="G208" s="10">
        <f>COUNTIFS(Connections!$B$6:$B$589,A208,Connections!$D$6:$D$589,"TRUE")+COUNTIFS(Connections!$C$6:$C$589,A208,Connections!$D$6:$D$589,"TRUE")</f>
        <v>0</v>
      </c>
      <c r="H208" s="11" t="s">
        <v>69</v>
      </c>
      <c r="I208" s="11" t="s">
        <v>70</v>
      </c>
      <c r="J208" s="12"/>
      <c r="K208" s="11"/>
      <c r="L208" s="4"/>
      <c r="M208" s="1" t="s">
        <v>215</v>
      </c>
      <c r="N208" s="1">
        <v>131</v>
      </c>
    </row>
    <row r="209" spans="1:14" ht="23.1" customHeight="1">
      <c r="A209" s="1" t="s">
        <v>345</v>
      </c>
      <c r="B209" s="1" t="s">
        <v>345</v>
      </c>
      <c r="C209" s="1" t="s">
        <v>213</v>
      </c>
      <c r="D209" s="3">
        <v>42.7299604237732</v>
      </c>
      <c r="E209" s="3">
        <v>-73.677128687348898</v>
      </c>
      <c r="F209" s="10">
        <f>COUNTIFS(Connections!$B$6:$B$589,A209)+COUNTIFS(Connections!$C$6:$C$589,A209)</f>
        <v>3</v>
      </c>
      <c r="G209" s="10">
        <f>COUNTIFS(Connections!$B$6:$B$589,A209,Connections!$D$6:$D$589,"TRUE")+COUNTIFS(Connections!$C$6:$C$589,A209,Connections!$D$6:$D$589,"TRUE")</f>
        <v>0</v>
      </c>
      <c r="H209" s="11" t="s">
        <v>69</v>
      </c>
      <c r="I209" s="11" t="s">
        <v>70</v>
      </c>
      <c r="J209" s="12"/>
      <c r="K209" s="11"/>
      <c r="L209" s="4"/>
      <c r="M209" s="1" t="s">
        <v>215</v>
      </c>
      <c r="N209" s="1">
        <v>132</v>
      </c>
    </row>
    <row r="210" spans="1:14" ht="23.1" customHeight="1">
      <c r="A210" s="1" t="s">
        <v>346</v>
      </c>
      <c r="B210" s="1" t="s">
        <v>346</v>
      </c>
      <c r="C210" s="1" t="s">
        <v>213</v>
      </c>
      <c r="D210" s="3">
        <v>42.729085644284801</v>
      </c>
      <c r="E210" s="3">
        <v>-73.676985440042799</v>
      </c>
      <c r="F210" s="10">
        <f>COUNTIFS(Connections!$B$6:$B$589,A210)+COUNTIFS(Connections!$C$6:$C$589,A210)</f>
        <v>4</v>
      </c>
      <c r="G210" s="10">
        <f>COUNTIFS(Connections!$B$6:$B$589,A210,Connections!$D$6:$D$589,"TRUE")+COUNTIFS(Connections!$C$6:$C$589,A210,Connections!$D$6:$D$589,"TRUE")</f>
        <v>0</v>
      </c>
      <c r="H210" s="11" t="s">
        <v>69</v>
      </c>
      <c r="I210" s="11" t="s">
        <v>70</v>
      </c>
      <c r="J210" s="12"/>
      <c r="K210" s="11"/>
      <c r="L210" s="4"/>
      <c r="M210" s="1" t="s">
        <v>215</v>
      </c>
      <c r="N210" s="1">
        <v>133</v>
      </c>
    </row>
    <row r="211" spans="1:14" ht="23.1" customHeight="1">
      <c r="A211" s="1" t="s">
        <v>347</v>
      </c>
      <c r="B211" s="1" t="s">
        <v>347</v>
      </c>
      <c r="C211" s="1" t="s">
        <v>213</v>
      </c>
      <c r="D211" s="3">
        <v>42.729552346613701</v>
      </c>
      <c r="E211" s="3">
        <v>-73.676937690940704</v>
      </c>
      <c r="F211" s="10">
        <f>COUNTIFS(Connections!$B$6:$B$589,A211)+COUNTIFS(Connections!$C$6:$C$589,A211)</f>
        <v>3</v>
      </c>
      <c r="G211" s="10">
        <f>COUNTIFS(Connections!$B$6:$B$589,A211,Connections!$D$6:$D$589,"TRUE")+COUNTIFS(Connections!$C$6:$C$589,A211,Connections!$D$6:$D$589,"TRUE")</f>
        <v>0</v>
      </c>
      <c r="H211" s="11" t="s">
        <v>69</v>
      </c>
      <c r="I211" s="11" t="s">
        <v>70</v>
      </c>
      <c r="J211" s="12"/>
      <c r="K211" s="11"/>
      <c r="L211" s="4"/>
      <c r="M211" s="1" t="s">
        <v>215</v>
      </c>
      <c r="N211" s="1">
        <v>134</v>
      </c>
    </row>
    <row r="212" spans="1:14" ht="23.1" customHeight="1">
      <c r="A212" s="1" t="s">
        <v>348</v>
      </c>
      <c r="B212" s="1" t="s">
        <v>348</v>
      </c>
      <c r="C212" s="1" t="s">
        <v>213</v>
      </c>
      <c r="D212" s="3">
        <v>42.728920114394803</v>
      </c>
      <c r="E212" s="3">
        <v>-73.676062290736297</v>
      </c>
      <c r="F212" s="10">
        <f>COUNTIFS(Connections!$B$6:$B$589,A212)+COUNTIFS(Connections!$C$6:$C$589,A212)</f>
        <v>2</v>
      </c>
      <c r="G212" s="10">
        <f>COUNTIFS(Connections!$B$6:$B$589,A212,Connections!$D$6:$D$589,"TRUE")+COUNTIFS(Connections!$C$6:$C$589,A212,Connections!$D$6:$D$589,"TRUE")</f>
        <v>0</v>
      </c>
      <c r="H212" s="11" t="s">
        <v>69</v>
      </c>
      <c r="I212" s="11" t="s">
        <v>70</v>
      </c>
      <c r="J212" s="12"/>
      <c r="K212" s="11"/>
      <c r="L212" s="4"/>
      <c r="M212" s="1" t="s">
        <v>215</v>
      </c>
      <c r="N212" s="1">
        <v>135</v>
      </c>
    </row>
    <row r="213" spans="1:14" ht="23.1" customHeight="1">
      <c r="A213" s="1" t="s">
        <v>349</v>
      </c>
      <c r="B213" s="1" t="s">
        <v>349</v>
      </c>
      <c r="C213" s="1" t="s">
        <v>213</v>
      </c>
      <c r="D213" s="3">
        <v>42.728690211769703</v>
      </c>
      <c r="E213" s="3">
        <v>-73.676062290736297</v>
      </c>
      <c r="F213" s="10">
        <f>COUNTIFS(Connections!$B$6:$B$589,A213)+COUNTIFS(Connections!$C$6:$C$589,A213)</f>
        <v>3</v>
      </c>
      <c r="G213" s="10">
        <f>COUNTIFS(Connections!$B$6:$B$589,A213,Connections!$D$6:$D$589,"TRUE")+COUNTIFS(Connections!$C$6:$C$589,A213,Connections!$D$6:$D$589,"TRUE")</f>
        <v>0</v>
      </c>
      <c r="H213" s="11" t="s">
        <v>69</v>
      </c>
      <c r="I213" s="11" t="s">
        <v>70</v>
      </c>
      <c r="J213" s="12"/>
      <c r="K213" s="11"/>
      <c r="L213" s="4"/>
      <c r="M213" s="1" t="s">
        <v>215</v>
      </c>
      <c r="N213" s="1">
        <v>136</v>
      </c>
    </row>
    <row r="214" spans="1:14" ht="23.1" customHeight="1">
      <c r="A214" s="1" t="s">
        <v>350</v>
      </c>
      <c r="B214" s="1" t="s">
        <v>350</v>
      </c>
      <c r="C214" s="1" t="s">
        <v>213</v>
      </c>
      <c r="D214" s="3">
        <v>42.728660324428503</v>
      </c>
      <c r="E214" s="3">
        <v>-73.675895168879094</v>
      </c>
      <c r="F214" s="10">
        <f>COUNTIFS(Connections!$B$6:$B$589,A214)+COUNTIFS(Connections!$C$6:$C$589,A214)</f>
        <v>3</v>
      </c>
      <c r="G214" s="10">
        <f>COUNTIFS(Connections!$B$6:$B$589,A214,Connections!$D$6:$D$589,"TRUE")+COUNTIFS(Connections!$C$6:$C$589,A214,Connections!$D$6:$D$589,"TRUE")</f>
        <v>0</v>
      </c>
      <c r="H214" s="11" t="s">
        <v>69</v>
      </c>
      <c r="I214" s="11" t="s">
        <v>70</v>
      </c>
      <c r="J214" s="12"/>
      <c r="K214" s="11"/>
      <c r="L214" s="4"/>
      <c r="M214" s="1" t="s">
        <v>215</v>
      </c>
      <c r="N214" s="1">
        <v>137</v>
      </c>
    </row>
    <row r="215" spans="1:14" ht="23.1" customHeight="1">
      <c r="A215" s="1" t="s">
        <v>351</v>
      </c>
      <c r="B215" s="1" t="s">
        <v>351</v>
      </c>
      <c r="C215" s="1" t="s">
        <v>213</v>
      </c>
      <c r="D215" s="3">
        <v>42.728478701354703</v>
      </c>
      <c r="E215" s="3">
        <v>-73.675791712491304</v>
      </c>
      <c r="F215" s="10">
        <f>COUNTIFS(Connections!$B$6:$B$589,A215)+COUNTIFS(Connections!$C$6:$C$589,A215)</f>
        <v>2</v>
      </c>
      <c r="G215" s="10">
        <f>COUNTIFS(Connections!$B$6:$B$589,A215,Connections!$D$6:$D$589,"TRUE")+COUNTIFS(Connections!$C$6:$C$589,A215,Connections!$D$6:$D$589,"TRUE")</f>
        <v>0</v>
      </c>
      <c r="H215" s="11" t="s">
        <v>69</v>
      </c>
      <c r="I215" s="11" t="s">
        <v>70</v>
      </c>
      <c r="J215" s="12"/>
      <c r="K215" s="11"/>
      <c r="L215" s="4"/>
      <c r="M215" s="1" t="s">
        <v>215</v>
      </c>
      <c r="N215" s="1">
        <v>138</v>
      </c>
    </row>
    <row r="216" spans="1:14" ht="23.1" customHeight="1">
      <c r="A216" s="1" t="s">
        <v>352</v>
      </c>
      <c r="B216" s="1" t="s">
        <v>352</v>
      </c>
      <c r="C216" s="1" t="s">
        <v>213</v>
      </c>
      <c r="D216" s="3">
        <v>42.728218911388403</v>
      </c>
      <c r="E216" s="3">
        <v>-73.677924505716604</v>
      </c>
      <c r="F216" s="10">
        <f>COUNTIFS(Connections!$B$6:$B$589,A216)+COUNTIFS(Connections!$C$6:$C$589,A216)</f>
        <v>3</v>
      </c>
      <c r="G216" s="10">
        <f>COUNTIFS(Connections!$B$6:$B$589,A216,Connections!$D$6:$D$589,"TRUE")+COUNTIFS(Connections!$C$6:$C$589,A216,Connections!$D$6:$D$589,"TRUE")</f>
        <v>0</v>
      </c>
      <c r="H216" s="11" t="s">
        <v>69</v>
      </c>
      <c r="I216" s="11" t="s">
        <v>70</v>
      </c>
      <c r="J216" s="12"/>
      <c r="K216" s="11"/>
      <c r="L216" s="4"/>
      <c r="M216" s="1" t="s">
        <v>215</v>
      </c>
      <c r="N216" s="1">
        <v>139</v>
      </c>
    </row>
    <row r="217" spans="1:14" ht="23.1" customHeight="1">
      <c r="A217" s="1" t="s">
        <v>353</v>
      </c>
      <c r="B217" s="1" t="s">
        <v>353</v>
      </c>
      <c r="C217" s="1" t="s">
        <v>213</v>
      </c>
      <c r="D217" s="3">
        <v>42.728259144347803</v>
      </c>
      <c r="E217" s="3">
        <v>-73.677450197969506</v>
      </c>
      <c r="F217" s="10">
        <f>COUNTIFS(Connections!$B$6:$B$589,A217)+COUNTIFS(Connections!$C$6:$C$589,A217)</f>
        <v>2</v>
      </c>
      <c r="G217" s="10">
        <f>COUNTIFS(Connections!$B$6:$B$589,A217,Connections!$D$6:$D$589,"TRUE")+COUNTIFS(Connections!$C$6:$C$589,A217,Connections!$D$6:$D$589,"TRUE")</f>
        <v>0</v>
      </c>
      <c r="H217" s="11" t="s">
        <v>69</v>
      </c>
      <c r="I217" s="11" t="s">
        <v>70</v>
      </c>
      <c r="J217" s="12"/>
      <c r="K217" s="11"/>
      <c r="L217" s="4"/>
      <c r="M217" s="1" t="s">
        <v>215</v>
      </c>
      <c r="N217" s="1">
        <v>140</v>
      </c>
    </row>
    <row r="218" spans="1:14" ht="23.1" customHeight="1">
      <c r="A218" s="1" t="s">
        <v>354</v>
      </c>
      <c r="B218" s="1" t="s">
        <v>354</v>
      </c>
      <c r="C218" s="1" t="s">
        <v>213</v>
      </c>
      <c r="D218" s="3">
        <v>42.727406205608801</v>
      </c>
      <c r="E218" s="3">
        <v>-73.678067753022702</v>
      </c>
      <c r="F218" s="10">
        <f>COUNTIFS(Connections!$B$6:$B$589,A218)+COUNTIFS(Connections!$C$6:$C$589,A218)</f>
        <v>4</v>
      </c>
      <c r="G218" s="10">
        <f>COUNTIFS(Connections!$B$6:$B$589,A218,Connections!$D$6:$D$589,"TRUE")+COUNTIFS(Connections!$C$6:$C$589,A218,Connections!$D$6:$D$589,"TRUE")</f>
        <v>0</v>
      </c>
      <c r="H218" s="11" t="s">
        <v>69</v>
      </c>
      <c r="I218" s="11" t="s">
        <v>70</v>
      </c>
      <c r="J218" s="12"/>
      <c r="K218" s="11"/>
      <c r="L218" s="4"/>
      <c r="M218" s="1" t="s">
        <v>215</v>
      </c>
      <c r="N218" s="1">
        <v>141</v>
      </c>
    </row>
    <row r="219" spans="1:14" ht="23.1" customHeight="1">
      <c r="A219" s="1" t="s">
        <v>355</v>
      </c>
      <c r="B219" s="1" t="s">
        <v>355</v>
      </c>
      <c r="C219" s="1" t="s">
        <v>213</v>
      </c>
      <c r="D219" s="3">
        <v>42.7284373188822</v>
      </c>
      <c r="E219" s="3">
        <v>-73.680232378982694</v>
      </c>
      <c r="F219" s="10">
        <f>COUNTIFS(Connections!$B$6:$B$589,A219)+COUNTIFS(Connections!$C$6:$C$589,A219)</f>
        <v>3</v>
      </c>
      <c r="G219" s="10">
        <f>COUNTIFS(Connections!$B$6:$B$589,A219,Connections!$D$6:$D$589,"TRUE")+COUNTIFS(Connections!$C$6:$C$589,A219,Connections!$D$6:$D$589,"TRUE")</f>
        <v>0</v>
      </c>
      <c r="H219" s="11" t="s">
        <v>69</v>
      </c>
      <c r="I219" s="11" t="s">
        <v>70</v>
      </c>
      <c r="J219" s="12"/>
      <c r="K219" s="11"/>
      <c r="L219" s="4"/>
      <c r="M219" s="1" t="s">
        <v>215</v>
      </c>
      <c r="N219" s="1">
        <v>142</v>
      </c>
    </row>
    <row r="220" spans="1:14" ht="23.1" customHeight="1">
      <c r="A220" s="1" t="s">
        <v>356</v>
      </c>
      <c r="B220" s="1" t="s">
        <v>356</v>
      </c>
      <c r="C220" s="1" t="s">
        <v>213</v>
      </c>
      <c r="D220" s="3">
        <v>42.728241901650897</v>
      </c>
      <c r="E220" s="3">
        <v>-73.680280128084803</v>
      </c>
      <c r="F220" s="10">
        <f>COUNTIFS(Connections!$B$6:$B$589,A220)+COUNTIFS(Connections!$C$6:$C$589,A220)</f>
        <v>4</v>
      </c>
      <c r="G220" s="10">
        <f>COUNTIFS(Connections!$B$6:$B$589,A220,Connections!$D$6:$D$589,"TRUE")+COUNTIFS(Connections!$C$6:$C$589,A220,Connections!$D$6:$D$589,"TRUE")</f>
        <v>0</v>
      </c>
      <c r="H220" s="11" t="s">
        <v>69</v>
      </c>
      <c r="I220" s="11" t="s">
        <v>70</v>
      </c>
      <c r="J220" s="12"/>
      <c r="K220" s="11"/>
      <c r="L220" s="4"/>
      <c r="M220" s="1" t="s">
        <v>215</v>
      </c>
      <c r="N220" s="1">
        <v>143</v>
      </c>
    </row>
    <row r="221" spans="1:14" ht="23.1" customHeight="1">
      <c r="A221" s="1" t="s">
        <v>357</v>
      </c>
      <c r="B221" s="1" t="s">
        <v>357</v>
      </c>
      <c r="C221" s="1" t="s">
        <v>213</v>
      </c>
      <c r="D221" s="3">
        <v>42.730667374345302</v>
      </c>
      <c r="E221" s="3">
        <v>-73.682369947118204</v>
      </c>
      <c r="F221" s="10">
        <f>COUNTIFS(Connections!$B$6:$B$589,A221)+COUNTIFS(Connections!$C$6:$C$589,A221)</f>
        <v>3</v>
      </c>
      <c r="G221" s="10">
        <f>COUNTIFS(Connections!$B$6:$B$589,A221,Connections!$D$6:$D$589,"TRUE")+COUNTIFS(Connections!$C$6:$C$589,A221,Connections!$D$6:$D$589,"TRUE")</f>
        <v>0</v>
      </c>
      <c r="H221" s="11" t="s">
        <v>69</v>
      </c>
      <c r="I221" s="11" t="s">
        <v>70</v>
      </c>
      <c r="J221" s="12"/>
      <c r="K221" s="11"/>
      <c r="L221" s="4"/>
      <c r="M221" s="1" t="s">
        <v>215</v>
      </c>
      <c r="N221" s="1">
        <v>144</v>
      </c>
    </row>
    <row r="222" spans="1:14" ht="23.1" customHeight="1">
      <c r="A222" s="1" t="s">
        <v>358</v>
      </c>
      <c r="B222" s="1" t="s">
        <v>358</v>
      </c>
      <c r="C222" s="1" t="s">
        <v>213</v>
      </c>
      <c r="D222" s="3">
        <v>42.730603001610298</v>
      </c>
      <c r="E222" s="3">
        <v>-73.682627792269301</v>
      </c>
      <c r="F222" s="10">
        <f>COUNTIFS(Connections!$B$6:$B$589,A222)+COUNTIFS(Connections!$C$6:$C$589,A222)</f>
        <v>3</v>
      </c>
      <c r="G222" s="10">
        <f>COUNTIFS(Connections!$B$6:$B$589,A222,Connections!$D$6:$D$589,"TRUE")+COUNTIFS(Connections!$C$6:$C$589,A222,Connections!$D$6:$D$589,"TRUE")</f>
        <v>0</v>
      </c>
      <c r="H222" s="11" t="s">
        <v>69</v>
      </c>
      <c r="I222" s="11" t="s">
        <v>70</v>
      </c>
      <c r="J222" s="12"/>
      <c r="K222" s="11"/>
      <c r="L222" s="4"/>
      <c r="M222" s="1" t="s">
        <v>215</v>
      </c>
      <c r="N222" s="1">
        <v>145</v>
      </c>
    </row>
    <row r="223" spans="1:14" ht="23.1" customHeight="1">
      <c r="A223" s="1" t="s">
        <v>359</v>
      </c>
      <c r="B223" s="1" t="s">
        <v>359</v>
      </c>
      <c r="C223" s="1" t="s">
        <v>213</v>
      </c>
      <c r="D223" s="3">
        <v>42.730575413295199</v>
      </c>
      <c r="E223" s="3">
        <v>-73.682938161432602</v>
      </c>
      <c r="F223" s="10">
        <f>COUNTIFS(Connections!$B$6:$B$589,A223)+COUNTIFS(Connections!$C$6:$C$589,A223)</f>
        <v>4</v>
      </c>
      <c r="G223" s="10">
        <f>COUNTIFS(Connections!$B$6:$B$589,A223,Connections!$D$6:$D$589,"TRUE")+COUNTIFS(Connections!$C$6:$C$589,A223,Connections!$D$6:$D$589,"TRUE")</f>
        <v>0</v>
      </c>
      <c r="H223" s="11" t="s">
        <v>69</v>
      </c>
      <c r="I223" s="11" t="s">
        <v>70</v>
      </c>
      <c r="J223" s="12"/>
      <c r="K223" s="11"/>
      <c r="L223" s="4"/>
      <c r="M223" s="1" t="s">
        <v>215</v>
      </c>
      <c r="N223" s="1">
        <v>146</v>
      </c>
    </row>
    <row r="224" spans="1:14" ht="23.1" customHeight="1">
      <c r="A224" s="1" t="s">
        <v>360</v>
      </c>
      <c r="B224" s="1" t="s">
        <v>360</v>
      </c>
      <c r="C224" s="1" t="s">
        <v>213</v>
      </c>
      <c r="D224" s="3">
        <v>42.7304144814577</v>
      </c>
      <c r="E224" s="3">
        <v>-73.683065492371497</v>
      </c>
      <c r="F224" s="10">
        <f>COUNTIFS(Connections!$B$6:$B$589,A224)+COUNTIFS(Connections!$C$6:$C$589,A224)</f>
        <v>3</v>
      </c>
      <c r="G224" s="10">
        <f>COUNTIFS(Connections!$B$6:$B$589,A224,Connections!$D$6:$D$589,"TRUE")+COUNTIFS(Connections!$C$6:$C$589,A224,Connections!$D$6:$D$589,"TRUE")</f>
        <v>0</v>
      </c>
      <c r="H224" s="11" t="s">
        <v>69</v>
      </c>
      <c r="I224" s="11" t="s">
        <v>70</v>
      </c>
      <c r="J224" s="12"/>
      <c r="K224" s="11"/>
      <c r="L224" s="4"/>
      <c r="M224" s="1" t="s">
        <v>215</v>
      </c>
      <c r="N224" s="1">
        <v>147</v>
      </c>
    </row>
    <row r="225" spans="1:14" ht="23.1" customHeight="1">
      <c r="A225" s="1" t="s">
        <v>361</v>
      </c>
      <c r="B225" s="1" t="s">
        <v>361</v>
      </c>
      <c r="C225" s="1" t="s">
        <v>213</v>
      </c>
      <c r="D225" s="3">
        <v>42.727180901036199</v>
      </c>
      <c r="E225" s="3">
        <v>-73.677319683757204</v>
      </c>
      <c r="F225" s="10">
        <f>COUNTIFS(Connections!$B$6:$B$589,A225)+COUNTIFS(Connections!$C$6:$C$589,A225)</f>
        <v>3</v>
      </c>
      <c r="G225" s="10">
        <f>COUNTIFS(Connections!$B$6:$B$589,A225,Connections!$D$6:$D$589,"TRUE")+COUNTIFS(Connections!$C$6:$C$589,A225,Connections!$D$6:$D$589,"TRUE")</f>
        <v>0</v>
      </c>
      <c r="H225" s="11" t="s">
        <v>69</v>
      </c>
      <c r="I225" s="11" t="s">
        <v>70</v>
      </c>
      <c r="J225" s="12"/>
      <c r="K225" s="11"/>
      <c r="L225" s="4"/>
      <c r="M225" s="1" t="s">
        <v>215</v>
      </c>
      <c r="N225" s="1">
        <v>148</v>
      </c>
    </row>
    <row r="226" spans="1:14" ht="23.1" customHeight="1">
      <c r="A226" s="1" t="s">
        <v>362</v>
      </c>
      <c r="B226" s="1" t="s">
        <v>362</v>
      </c>
      <c r="C226" s="1" t="s">
        <v>213</v>
      </c>
      <c r="D226" s="3">
        <v>42.727042959461201</v>
      </c>
      <c r="E226" s="3">
        <v>-73.676858109103904</v>
      </c>
      <c r="F226" s="10">
        <f>COUNTIFS(Connections!$B$6:$B$589,A226)+COUNTIFS(Connections!$C$6:$C$589,A226)</f>
        <v>2</v>
      </c>
      <c r="G226" s="10">
        <f>COUNTIFS(Connections!$B$6:$B$589,A226,Connections!$D$6:$D$589,"TRUE")+COUNTIFS(Connections!$C$6:$C$589,A226,Connections!$D$6:$D$589,"TRUE")</f>
        <v>0</v>
      </c>
      <c r="H226" s="11" t="s">
        <v>69</v>
      </c>
      <c r="I226" s="11" t="s">
        <v>70</v>
      </c>
      <c r="J226" s="12"/>
      <c r="K226" s="11"/>
      <c r="L226" s="4"/>
      <c r="M226" s="1" t="s">
        <v>215</v>
      </c>
      <c r="N226" s="1">
        <v>149</v>
      </c>
    </row>
    <row r="227" spans="1:14" ht="23.1" customHeight="1">
      <c r="A227" s="1" t="s">
        <v>363</v>
      </c>
      <c r="B227" s="1" t="s">
        <v>363</v>
      </c>
      <c r="C227" s="1" t="s">
        <v>213</v>
      </c>
      <c r="D227" s="3">
        <v>42.726747534588</v>
      </c>
      <c r="E227" s="3">
        <v>-73.676332868981305</v>
      </c>
      <c r="F227" s="10">
        <f>COUNTIFS(Connections!$B$6:$B$589,A227)+COUNTIFS(Connections!$C$6:$C$589,A227)</f>
        <v>3</v>
      </c>
      <c r="G227" s="10">
        <f>COUNTIFS(Connections!$B$6:$B$589,A227,Connections!$D$6:$D$589,"TRUE")+COUNTIFS(Connections!$C$6:$C$589,A227,Connections!$D$6:$D$589,"TRUE")</f>
        <v>0</v>
      </c>
      <c r="H227" s="11" t="s">
        <v>69</v>
      </c>
      <c r="I227" s="11" t="s">
        <v>70</v>
      </c>
      <c r="J227" s="12"/>
      <c r="K227" s="11"/>
      <c r="L227" s="4"/>
      <c r="M227" s="1" t="s">
        <v>215</v>
      </c>
      <c r="N227" s="1">
        <v>150</v>
      </c>
    </row>
    <row r="228" spans="1:14" ht="23.1" customHeight="1">
      <c r="A228" s="1" t="s">
        <v>364</v>
      </c>
      <c r="B228" s="1" t="s">
        <v>364</v>
      </c>
      <c r="C228" s="1" t="s">
        <v>213</v>
      </c>
      <c r="D228" s="3">
        <v>42.726705002602301</v>
      </c>
      <c r="E228" s="3">
        <v>-73.675887210695393</v>
      </c>
      <c r="F228" s="10">
        <f>COUNTIFS(Connections!$B$6:$B$589,A228)+COUNTIFS(Connections!$C$6:$C$589,A228)</f>
        <v>2</v>
      </c>
      <c r="G228" s="10">
        <f>COUNTIFS(Connections!$B$6:$B$589,A228,Connections!$D$6:$D$589,"TRUE")+COUNTIFS(Connections!$C$6:$C$589,A228,Connections!$D$6:$D$589,"TRUE")</f>
        <v>0</v>
      </c>
      <c r="H228" s="11" t="s">
        <v>69</v>
      </c>
      <c r="I228" s="11" t="s">
        <v>70</v>
      </c>
      <c r="J228" s="12"/>
      <c r="K228" s="11"/>
      <c r="L228" s="4"/>
      <c r="M228" s="1" t="s">
        <v>215</v>
      </c>
      <c r="N228" s="1">
        <v>151</v>
      </c>
    </row>
    <row r="229" spans="1:14" ht="23.1" customHeight="1">
      <c r="A229" s="1" t="s">
        <v>365</v>
      </c>
      <c r="B229" s="1" t="s">
        <v>365</v>
      </c>
      <c r="C229" s="1" t="s">
        <v>213</v>
      </c>
      <c r="D229" s="3">
        <v>42.726816505375503</v>
      </c>
      <c r="E229" s="3">
        <v>-73.675465426960599</v>
      </c>
      <c r="F229" s="10">
        <f>COUNTIFS(Connections!$B$6:$B$589,A229)+COUNTIFS(Connections!$C$6:$C$589,A229)</f>
        <v>2</v>
      </c>
      <c r="G229" s="10">
        <f>COUNTIFS(Connections!$B$6:$B$589,A229,Connections!$D$6:$D$589,"TRUE")+COUNTIFS(Connections!$C$6:$C$589,A229,Connections!$D$6:$D$589,"TRUE")</f>
        <v>0</v>
      </c>
      <c r="H229" s="11" t="s">
        <v>69</v>
      </c>
      <c r="I229" s="11" t="s">
        <v>70</v>
      </c>
      <c r="J229" s="12"/>
      <c r="K229" s="11"/>
      <c r="L229" s="4"/>
      <c r="M229" s="1" t="s">
        <v>215</v>
      </c>
      <c r="N229" s="1">
        <v>152</v>
      </c>
    </row>
    <row r="230" spans="1:14" ht="23.1" customHeight="1">
      <c r="A230" s="1" t="s">
        <v>366</v>
      </c>
      <c r="B230" s="1" t="s">
        <v>366</v>
      </c>
      <c r="C230" s="1" t="s">
        <v>213</v>
      </c>
      <c r="D230" s="3">
        <v>42.7270199691987</v>
      </c>
      <c r="E230" s="3">
        <v>-73.675354012389107</v>
      </c>
      <c r="F230" s="10">
        <f>COUNTIFS(Connections!$B$6:$B$589,A230)+COUNTIFS(Connections!$C$6:$C$589,A230)</f>
        <v>4</v>
      </c>
      <c r="G230" s="10">
        <f>COUNTIFS(Connections!$B$6:$B$589,A230,Connections!$D$6:$D$589,"TRUE")+COUNTIFS(Connections!$C$6:$C$589,A230,Connections!$D$6:$D$589,"TRUE")</f>
        <v>0</v>
      </c>
      <c r="H230" s="11" t="s">
        <v>69</v>
      </c>
      <c r="I230" s="11" t="s">
        <v>70</v>
      </c>
      <c r="J230" s="12"/>
      <c r="K230" s="11"/>
      <c r="L230" s="4"/>
      <c r="M230" s="1" t="s">
        <v>215</v>
      </c>
      <c r="N230" s="1">
        <v>153</v>
      </c>
    </row>
    <row r="231" spans="1:14" ht="23.1" customHeight="1">
      <c r="A231" s="1" t="s">
        <v>367</v>
      </c>
      <c r="B231" s="1" t="s">
        <v>367</v>
      </c>
      <c r="C231" s="1" t="s">
        <v>213</v>
      </c>
      <c r="D231" s="3">
        <v>42.7263187661922</v>
      </c>
      <c r="E231" s="3">
        <v>-73.6756962142872</v>
      </c>
      <c r="F231" s="10">
        <f>COUNTIFS(Connections!$B$6:$B$589,A231)+COUNTIFS(Connections!$C$6:$C$589,A231)</f>
        <v>2</v>
      </c>
      <c r="G231" s="10">
        <f>COUNTIFS(Connections!$B$6:$B$589,A231,Connections!$D$6:$D$589,"TRUE")+COUNTIFS(Connections!$C$6:$C$589,A231,Connections!$D$6:$D$589,"TRUE")</f>
        <v>0</v>
      </c>
      <c r="H231" s="11" t="s">
        <v>69</v>
      </c>
      <c r="I231" s="11" t="s">
        <v>70</v>
      </c>
      <c r="J231" s="12"/>
      <c r="K231" s="11"/>
      <c r="L231" s="4"/>
      <c r="M231" s="1" t="s">
        <v>215</v>
      </c>
      <c r="N231" s="1">
        <v>154</v>
      </c>
    </row>
    <row r="232" spans="1:14" ht="23.1" customHeight="1">
      <c r="A232" s="1" t="s">
        <v>368</v>
      </c>
      <c r="B232" s="1" t="s">
        <v>368</v>
      </c>
      <c r="C232" s="1" t="s">
        <v>213</v>
      </c>
      <c r="D232" s="3">
        <v>42.725804933825202</v>
      </c>
      <c r="E232" s="3">
        <v>-73.675330137838102</v>
      </c>
      <c r="F232" s="10">
        <f>COUNTIFS(Connections!$B$6:$B$589,A232)+COUNTIFS(Connections!$C$6:$C$589,A232)</f>
        <v>2</v>
      </c>
      <c r="G232" s="10">
        <f>COUNTIFS(Connections!$B$6:$B$589,A232,Connections!$D$6:$D$589,"TRUE")+COUNTIFS(Connections!$C$6:$C$589,A232,Connections!$D$6:$D$589,"TRUE")</f>
        <v>0</v>
      </c>
      <c r="H232" s="11" t="s">
        <v>69</v>
      </c>
      <c r="I232" s="11" t="s">
        <v>70</v>
      </c>
      <c r="J232" s="12"/>
      <c r="K232" s="11"/>
      <c r="L232" s="4"/>
      <c r="M232" s="1" t="s">
        <v>215</v>
      </c>
      <c r="N232" s="1">
        <v>155</v>
      </c>
    </row>
    <row r="233" spans="1:14" ht="23.1" customHeight="1">
      <c r="A233" s="1" t="s">
        <v>369</v>
      </c>
      <c r="B233" s="1" t="s">
        <v>369</v>
      </c>
      <c r="C233" s="1" t="s">
        <v>213</v>
      </c>
      <c r="D233" s="3">
        <v>42.725192243329403</v>
      </c>
      <c r="E233" s="3">
        <v>-73.675330137838102</v>
      </c>
      <c r="F233" s="10">
        <f>COUNTIFS(Connections!$B$6:$B$589,A233)+COUNTIFS(Connections!$C$6:$C$589,A233)</f>
        <v>3</v>
      </c>
      <c r="G233" s="10">
        <f>COUNTIFS(Connections!$B$6:$B$589,A233,Connections!$D$6:$D$589,"TRUE")+COUNTIFS(Connections!$C$6:$C$589,A233,Connections!$D$6:$D$589,"TRUE")</f>
        <v>0</v>
      </c>
      <c r="H233" s="11" t="s">
        <v>69</v>
      </c>
      <c r="I233" s="11" t="s">
        <v>70</v>
      </c>
      <c r="J233" s="12"/>
      <c r="K233" s="11"/>
      <c r="L233" s="4"/>
      <c r="M233" s="1" t="s">
        <v>215</v>
      </c>
      <c r="N233" s="1">
        <v>156</v>
      </c>
    </row>
    <row r="234" spans="1:14" ht="23.1" customHeight="1">
      <c r="A234" s="1" t="s">
        <v>370</v>
      </c>
      <c r="B234" s="1" t="s">
        <v>370</v>
      </c>
      <c r="C234" s="1" t="s">
        <v>213</v>
      </c>
      <c r="D234" s="3">
        <v>42.730184578832599</v>
      </c>
      <c r="E234" s="3">
        <v>-73.683224656044999</v>
      </c>
      <c r="F234" s="10">
        <f>COUNTIFS(Connections!$B$6:$B$589,A234)+COUNTIFS(Connections!$C$6:$C$589,A234)</f>
        <v>2</v>
      </c>
      <c r="G234" s="10">
        <f>COUNTIFS(Connections!$B$6:$B$589,A234,Connections!$D$6:$D$589,"TRUE")+COUNTIFS(Connections!$C$6:$C$589,A234,Connections!$D$6:$D$589,"TRUE")</f>
        <v>0</v>
      </c>
      <c r="H234" s="11" t="s">
        <v>69</v>
      </c>
      <c r="I234" s="11" t="s">
        <v>70</v>
      </c>
      <c r="J234" s="12"/>
      <c r="K234" s="11"/>
      <c r="L234" s="4"/>
      <c r="M234" s="1" t="s">
        <v>215</v>
      </c>
      <c r="N234" s="1">
        <v>157</v>
      </c>
    </row>
    <row r="235" spans="1:14" ht="23.1" customHeight="1">
      <c r="A235" s="1" t="s">
        <v>371</v>
      </c>
      <c r="B235" s="1" t="s">
        <v>371</v>
      </c>
      <c r="C235" s="1" t="s">
        <v>213</v>
      </c>
      <c r="D235" s="3">
        <v>42.730178831266997</v>
      </c>
      <c r="E235" s="3">
        <v>-73.683507967383903</v>
      </c>
      <c r="F235" s="10">
        <f>COUNTIFS(Connections!$B$6:$B$589,A235)+COUNTIFS(Connections!$C$6:$C$589,A235)</f>
        <v>2</v>
      </c>
      <c r="G235" s="10">
        <f>COUNTIFS(Connections!$B$6:$B$589,A235,Connections!$D$6:$D$589,"TRUE")+COUNTIFS(Connections!$C$6:$C$589,A235,Connections!$D$6:$D$589,"TRUE")</f>
        <v>0</v>
      </c>
      <c r="H235" s="11" t="s">
        <v>69</v>
      </c>
      <c r="I235" s="11" t="s">
        <v>70</v>
      </c>
      <c r="J235" s="12"/>
      <c r="K235" s="11"/>
      <c r="L235" s="4"/>
      <c r="M235" s="1" t="s">
        <v>215</v>
      </c>
      <c r="N235" s="1">
        <v>158</v>
      </c>
    </row>
    <row r="236" spans="1:14" ht="23.1" customHeight="1">
      <c r="A236" s="1" t="s">
        <v>372</v>
      </c>
      <c r="B236" s="1" t="s">
        <v>372</v>
      </c>
      <c r="C236" s="1" t="s">
        <v>213</v>
      </c>
      <c r="D236" s="3">
        <v>42.730552423032698</v>
      </c>
      <c r="E236" s="3">
        <v>-73.683597099040995</v>
      </c>
      <c r="F236" s="10">
        <f>COUNTIFS(Connections!$B$6:$B$589,A236)+COUNTIFS(Connections!$C$6:$C$589,A236)</f>
        <v>2</v>
      </c>
      <c r="G236" s="10">
        <f>COUNTIFS(Connections!$B$6:$B$589,A236,Connections!$D$6:$D$589,"TRUE")+COUNTIFS(Connections!$C$6:$C$589,A236,Connections!$D$6:$D$589,"TRUE")</f>
        <v>0</v>
      </c>
      <c r="H236" s="11" t="s">
        <v>69</v>
      </c>
      <c r="I236" s="11" t="s">
        <v>70</v>
      </c>
      <c r="J236" s="12"/>
      <c r="K236" s="11"/>
      <c r="L236" s="4"/>
      <c r="M236" s="1" t="s">
        <v>215</v>
      </c>
      <c r="N236" s="1">
        <v>159</v>
      </c>
    </row>
    <row r="237" spans="1:14" ht="23.1" customHeight="1">
      <c r="A237" s="1" t="s">
        <v>373</v>
      </c>
      <c r="B237" s="1" t="s">
        <v>373</v>
      </c>
      <c r="C237" s="1" t="s">
        <v>213</v>
      </c>
      <c r="D237" s="3">
        <v>42.730807614946599</v>
      </c>
      <c r="E237" s="3">
        <v>-73.683439527004296</v>
      </c>
      <c r="F237" s="10">
        <f>COUNTIFS(Connections!$B$6:$B$589,A237)+COUNTIFS(Connections!$C$6:$C$589,A237)</f>
        <v>3</v>
      </c>
      <c r="G237" s="10">
        <f>COUNTIFS(Connections!$B$6:$B$589,A237,Connections!$D$6:$D$589,"TRUE")+COUNTIFS(Connections!$C$6:$C$589,A237,Connections!$D$6:$D$589,"TRUE")</f>
        <v>0</v>
      </c>
      <c r="H237" s="11" t="s">
        <v>69</v>
      </c>
      <c r="I237" s="11" t="s">
        <v>70</v>
      </c>
      <c r="J237" s="12"/>
      <c r="K237" s="11"/>
      <c r="L237" s="4"/>
      <c r="M237" s="1" t="s">
        <v>215</v>
      </c>
      <c r="N237" s="1">
        <v>160</v>
      </c>
    </row>
    <row r="238" spans="1:14" ht="23.1" customHeight="1">
      <c r="A238" s="1" t="s">
        <v>374</v>
      </c>
      <c r="B238" s="1" t="s">
        <v>374</v>
      </c>
      <c r="C238" s="1" t="s">
        <v>213</v>
      </c>
      <c r="D238" s="3">
        <v>42.730894977944097</v>
      </c>
      <c r="E238" s="3">
        <v>-73.683622565228802</v>
      </c>
      <c r="F238" s="10">
        <f>COUNTIFS(Connections!$B$6:$B$589,A238)+COUNTIFS(Connections!$C$6:$C$589,A238)</f>
        <v>3</v>
      </c>
      <c r="G238" s="10">
        <f>COUNTIFS(Connections!$B$6:$B$589,A238,Connections!$D$6:$D$589,"TRUE")+COUNTIFS(Connections!$C$6:$C$589,A238,Connections!$D$6:$D$589,"TRUE")</f>
        <v>0</v>
      </c>
      <c r="H238" s="11" t="s">
        <v>69</v>
      </c>
      <c r="I238" s="11" t="s">
        <v>70</v>
      </c>
      <c r="J238" s="12"/>
      <c r="K238" s="11"/>
      <c r="L238" s="4"/>
      <c r="M238" s="1" t="s">
        <v>215</v>
      </c>
      <c r="N238" s="1">
        <v>161</v>
      </c>
    </row>
    <row r="239" spans="1:14" ht="23.1" customHeight="1">
      <c r="A239" s="1" t="s">
        <v>375</v>
      </c>
      <c r="B239" s="1" t="s">
        <v>375</v>
      </c>
      <c r="C239" s="1" t="s">
        <v>213</v>
      </c>
      <c r="D239" s="3">
        <v>42.730251250593902</v>
      </c>
      <c r="E239" s="3">
        <v>-73.684389734135195</v>
      </c>
      <c r="F239" s="10">
        <f>COUNTIFS(Connections!$B$6:$B$589,A239)+COUNTIFS(Connections!$C$6:$C$589,A239)</f>
        <v>3</v>
      </c>
      <c r="G239" s="10">
        <f>COUNTIFS(Connections!$B$6:$B$589,A239,Connections!$D$6:$D$589,"TRUE")+COUNTIFS(Connections!$C$6:$C$589,A239,Connections!$D$6:$D$589,"TRUE")</f>
        <v>0</v>
      </c>
      <c r="H239" s="11" t="s">
        <v>69</v>
      </c>
      <c r="I239" s="11" t="s">
        <v>70</v>
      </c>
      <c r="J239" s="12"/>
      <c r="K239" s="11"/>
      <c r="L239" s="4"/>
      <c r="M239" s="1" t="s">
        <v>215</v>
      </c>
      <c r="N239" s="1">
        <v>162</v>
      </c>
    </row>
    <row r="240" spans="1:14" ht="23.1" customHeight="1">
      <c r="A240" s="1" t="s">
        <v>376</v>
      </c>
      <c r="B240" s="1" t="s">
        <v>376</v>
      </c>
      <c r="C240" s="1" t="s">
        <v>213</v>
      </c>
      <c r="D240" s="3">
        <v>42.7297132784513</v>
      </c>
      <c r="E240" s="3">
        <v>-73.684525023257706</v>
      </c>
      <c r="F240" s="10">
        <f>COUNTIFS(Connections!$B$6:$B$589,A240)+COUNTIFS(Connections!$C$6:$C$589,A240)</f>
        <v>3</v>
      </c>
      <c r="G240" s="10">
        <f>COUNTIFS(Connections!$B$6:$B$589,A240,Connections!$D$6:$D$589,"TRUE")+COUNTIFS(Connections!$C$6:$C$589,A240,Connections!$D$6:$D$589,"TRUE")</f>
        <v>0</v>
      </c>
      <c r="H240" s="11" t="s">
        <v>69</v>
      </c>
      <c r="I240" s="11" t="s">
        <v>70</v>
      </c>
      <c r="J240" s="12"/>
      <c r="K240" s="11"/>
      <c r="L240" s="4"/>
      <c r="M240" s="1" t="s">
        <v>215</v>
      </c>
      <c r="N240" s="1">
        <v>163</v>
      </c>
    </row>
    <row r="241" spans="1:14" ht="23.1" customHeight="1">
      <c r="A241" s="1" t="s">
        <v>377</v>
      </c>
      <c r="B241" s="1" t="s">
        <v>377</v>
      </c>
      <c r="C241" s="1" t="s">
        <v>213</v>
      </c>
      <c r="D241" s="3">
        <v>42.729471880694902</v>
      </c>
      <c r="E241" s="3">
        <v>-73.684402467229106</v>
      </c>
      <c r="F241" s="10">
        <f>COUNTIFS(Connections!$B$6:$B$589,A241)+COUNTIFS(Connections!$C$6:$C$589,A241)</f>
        <v>2</v>
      </c>
      <c r="G241" s="10">
        <f>COUNTIFS(Connections!$B$6:$B$589,A241,Connections!$D$6:$D$589,"TRUE")+COUNTIFS(Connections!$C$6:$C$589,A241,Connections!$D$6:$D$589,"TRUE")</f>
        <v>0</v>
      </c>
      <c r="H241" s="11" t="s">
        <v>69</v>
      </c>
      <c r="I241" s="11" t="s">
        <v>70</v>
      </c>
      <c r="J241" s="12"/>
      <c r="K241" s="11"/>
      <c r="L241" s="4"/>
      <c r="M241" s="1" t="s">
        <v>215</v>
      </c>
      <c r="N241" s="1">
        <v>164</v>
      </c>
    </row>
    <row r="242" spans="1:14" ht="23.1" customHeight="1">
      <c r="A242" s="1" t="s">
        <v>378</v>
      </c>
      <c r="B242" s="1" t="s">
        <v>378</v>
      </c>
      <c r="C242" s="1" t="s">
        <v>213</v>
      </c>
      <c r="D242" s="3">
        <v>42.729182203387403</v>
      </c>
      <c r="E242" s="3">
        <v>-73.684497965433195</v>
      </c>
      <c r="F242" s="10">
        <f>COUNTIFS(Connections!$B$6:$B$589,A242)+COUNTIFS(Connections!$C$6:$C$589,A242)</f>
        <v>2</v>
      </c>
      <c r="G242" s="10">
        <f>COUNTIFS(Connections!$B$6:$B$589,A242,Connections!$D$6:$D$589,"TRUE")+COUNTIFS(Connections!$C$6:$C$589,A242,Connections!$D$6:$D$589,"TRUE")</f>
        <v>0</v>
      </c>
      <c r="H242" s="11" t="s">
        <v>69</v>
      </c>
      <c r="I242" s="11" t="s">
        <v>70</v>
      </c>
      <c r="J242" s="12"/>
      <c r="K242" s="11"/>
      <c r="L242" s="4"/>
      <c r="M242" s="1" t="s">
        <v>215</v>
      </c>
      <c r="N242" s="1">
        <v>165</v>
      </c>
    </row>
    <row r="243" spans="1:14" ht="23.1" customHeight="1">
      <c r="A243" s="1" t="s">
        <v>379</v>
      </c>
      <c r="B243" s="1" t="s">
        <v>379</v>
      </c>
      <c r="C243" s="1" t="s">
        <v>213</v>
      </c>
      <c r="D243" s="3">
        <v>42.729027019115499</v>
      </c>
      <c r="E243" s="3">
        <v>-73.684588688727104</v>
      </c>
      <c r="F243" s="10">
        <f>COUNTIFS(Connections!$B$6:$B$589,A243)+COUNTIFS(Connections!$C$6:$C$589,A243)</f>
        <v>2</v>
      </c>
      <c r="G243" s="10">
        <f>COUNTIFS(Connections!$B$6:$B$589,A243,Connections!$D$6:$D$589,"TRUE")+COUNTIFS(Connections!$C$6:$C$589,A243,Connections!$D$6:$D$589,"TRUE")</f>
        <v>0</v>
      </c>
      <c r="H243" s="11" t="s">
        <v>69</v>
      </c>
      <c r="I243" s="11" t="s">
        <v>70</v>
      </c>
      <c r="J243" s="12"/>
      <c r="K243" s="11"/>
      <c r="L243" s="4"/>
      <c r="M243" s="1" t="s">
        <v>215</v>
      </c>
      <c r="N243" s="1">
        <v>166</v>
      </c>
    </row>
    <row r="244" spans="1:14" ht="23.1" customHeight="1">
      <c r="A244" s="1" t="s">
        <v>380</v>
      </c>
      <c r="B244" s="1" t="s">
        <v>380</v>
      </c>
      <c r="C244" s="1" t="s">
        <v>213</v>
      </c>
      <c r="D244" s="3">
        <v>42.728993683234798</v>
      </c>
      <c r="E244" s="3">
        <v>-73.684736710943497</v>
      </c>
      <c r="F244" s="10">
        <f>COUNTIFS(Connections!$B$6:$B$589,A244)+COUNTIFS(Connections!$C$6:$C$589,A244)</f>
        <v>3</v>
      </c>
      <c r="G244" s="10">
        <f>COUNTIFS(Connections!$B$6:$B$589,A244,Connections!$D$6:$D$589,"TRUE")+COUNTIFS(Connections!$C$6:$C$589,A244,Connections!$D$6:$D$589,"TRUE")</f>
        <v>0</v>
      </c>
      <c r="H244" s="11" t="s">
        <v>69</v>
      </c>
      <c r="I244" s="11" t="s">
        <v>70</v>
      </c>
      <c r="J244" s="12"/>
      <c r="K244" s="11"/>
      <c r="L244" s="4"/>
      <c r="M244" s="1" t="s">
        <v>215</v>
      </c>
      <c r="N244" s="1">
        <v>167</v>
      </c>
    </row>
    <row r="245" spans="1:14" ht="23.1" customHeight="1">
      <c r="A245" s="1" t="s">
        <v>381</v>
      </c>
      <c r="B245" s="1" t="s">
        <v>381</v>
      </c>
      <c r="C245" s="1" t="s">
        <v>213</v>
      </c>
      <c r="D245" s="3">
        <v>42.728537326524098</v>
      </c>
      <c r="E245" s="3">
        <v>-73.684852900425199</v>
      </c>
      <c r="F245" s="10">
        <f>COUNTIFS(Connections!$B$6:$B$589,A245)+COUNTIFS(Connections!$C$6:$C$589,A245)</f>
        <v>3</v>
      </c>
      <c r="G245" s="10">
        <f>COUNTIFS(Connections!$B$6:$B$589,A245,Connections!$D$6:$D$589,"TRUE")+COUNTIFS(Connections!$C$6:$C$589,A245,Connections!$D$6:$D$589,"TRUE")</f>
        <v>0</v>
      </c>
      <c r="H245" s="11" t="s">
        <v>69</v>
      </c>
      <c r="I245" s="11" t="s">
        <v>70</v>
      </c>
      <c r="J245" s="12"/>
      <c r="K245" s="11"/>
      <c r="L245" s="4"/>
      <c r="M245" s="1" t="s">
        <v>215</v>
      </c>
      <c r="N245" s="1">
        <v>168</v>
      </c>
    </row>
    <row r="246" spans="1:14" ht="23.1" customHeight="1">
      <c r="A246" s="1" t="s">
        <v>382</v>
      </c>
      <c r="B246" s="1" t="s">
        <v>382</v>
      </c>
      <c r="C246" s="1" t="s">
        <v>213</v>
      </c>
      <c r="D246" s="3">
        <v>42.728483299407202</v>
      </c>
      <c r="E246" s="3">
        <v>-73.684614154914897</v>
      </c>
      <c r="F246" s="10">
        <f>COUNTIFS(Connections!$B$6:$B$589,A246)+COUNTIFS(Connections!$C$6:$C$589,A246)</f>
        <v>2</v>
      </c>
      <c r="G246" s="10">
        <f>COUNTIFS(Connections!$B$6:$B$589,A246,Connections!$D$6:$D$589,"TRUE")+COUNTIFS(Connections!$C$6:$C$589,A246,Connections!$D$6:$D$589,"TRUE")</f>
        <v>0</v>
      </c>
      <c r="H246" s="11" t="s">
        <v>69</v>
      </c>
      <c r="I246" s="11" t="s">
        <v>70</v>
      </c>
      <c r="J246" s="12"/>
      <c r="K246" s="11"/>
      <c r="L246" s="4"/>
      <c r="M246" s="1" t="s">
        <v>215</v>
      </c>
      <c r="N246" s="1">
        <v>169</v>
      </c>
    </row>
    <row r="247" spans="1:14" ht="23.1" customHeight="1">
      <c r="A247" s="1" t="s">
        <v>383</v>
      </c>
      <c r="B247" s="1" t="s">
        <v>383</v>
      </c>
      <c r="C247" s="1" t="s">
        <v>213</v>
      </c>
      <c r="D247" s="3">
        <v>42.7287246971635</v>
      </c>
      <c r="E247" s="3">
        <v>-73.684466132698503</v>
      </c>
      <c r="F247" s="10">
        <f>COUNTIFS(Connections!$B$6:$B$589,A247)+COUNTIFS(Connections!$C$6:$C$589,A247)</f>
        <v>2</v>
      </c>
      <c r="G247" s="10">
        <f>COUNTIFS(Connections!$B$6:$B$589,A247,Connections!$D$6:$D$589,"TRUE")+COUNTIFS(Connections!$C$6:$C$589,A247,Connections!$D$6:$D$589,"TRUE")</f>
        <v>0</v>
      </c>
      <c r="H247" s="11" t="s">
        <v>69</v>
      </c>
      <c r="I247" s="11" t="s">
        <v>70</v>
      </c>
      <c r="J247" s="12"/>
      <c r="K247" s="11"/>
      <c r="L247" s="4"/>
      <c r="M247" s="1" t="s">
        <v>215</v>
      </c>
      <c r="N247" s="1">
        <v>170</v>
      </c>
    </row>
    <row r="248" spans="1:14" ht="23.1" customHeight="1">
      <c r="A248" s="1" t="s">
        <v>384</v>
      </c>
      <c r="B248" s="1" t="s">
        <v>384</v>
      </c>
      <c r="C248" s="1" t="s">
        <v>213</v>
      </c>
      <c r="D248" s="3">
        <v>42.7300638799545</v>
      </c>
      <c r="E248" s="3">
        <v>-73.6828076472204</v>
      </c>
      <c r="F248" s="10">
        <f>COUNTIFS(Connections!$B$6:$B$589,A248)+COUNTIFS(Connections!$C$6:$C$589,A248)</f>
        <v>2</v>
      </c>
      <c r="G248" s="10">
        <f>COUNTIFS(Connections!$B$6:$B$589,A248,Connections!$D$6:$D$589,"TRUE")+COUNTIFS(Connections!$C$6:$C$589,A248,Connections!$D$6:$D$589,"TRUE")</f>
        <v>0</v>
      </c>
      <c r="H248" s="11" t="s">
        <v>69</v>
      </c>
      <c r="I248" s="11" t="s">
        <v>70</v>
      </c>
      <c r="J248" s="12"/>
      <c r="K248" s="11"/>
      <c r="L248" s="4"/>
      <c r="M248" s="1" t="s">
        <v>215</v>
      </c>
      <c r="N248" s="1">
        <v>171</v>
      </c>
    </row>
    <row r="249" spans="1:14" ht="23.1" customHeight="1">
      <c r="A249" s="1" t="s">
        <v>385</v>
      </c>
      <c r="B249" s="1" t="s">
        <v>385</v>
      </c>
      <c r="C249" s="1" t="s">
        <v>213</v>
      </c>
      <c r="D249" s="3">
        <v>42.729828229763797</v>
      </c>
      <c r="E249" s="3">
        <v>-73.682782181032593</v>
      </c>
      <c r="F249" s="10">
        <f>COUNTIFS(Connections!$B$6:$B$589,A249)+COUNTIFS(Connections!$C$6:$C$589,A249)</f>
        <v>3</v>
      </c>
      <c r="G249" s="10">
        <f>COUNTIFS(Connections!$B$6:$B$589,A249,Connections!$D$6:$D$589,"TRUE")+COUNTIFS(Connections!$C$6:$C$589,A249,Connections!$D$6:$D$589,"TRUE")</f>
        <v>0</v>
      </c>
      <c r="H249" s="11" t="s">
        <v>69</v>
      </c>
      <c r="I249" s="11" t="s">
        <v>70</v>
      </c>
      <c r="J249" s="12"/>
      <c r="K249" s="11"/>
      <c r="L249" s="4"/>
      <c r="M249" s="1" t="s">
        <v>215</v>
      </c>
      <c r="N249" s="1">
        <v>172</v>
      </c>
    </row>
    <row r="250" spans="1:14" ht="23.1" customHeight="1">
      <c r="A250" s="1" t="s">
        <v>386</v>
      </c>
      <c r="B250" s="1" t="s">
        <v>386</v>
      </c>
      <c r="C250" s="1" t="s">
        <v>213</v>
      </c>
      <c r="D250" s="3">
        <v>42.729985713062</v>
      </c>
      <c r="E250" s="3">
        <v>-73.682314239832394</v>
      </c>
      <c r="F250" s="10">
        <f>COUNTIFS(Connections!$B$6:$B$589,A250)+COUNTIFS(Connections!$C$6:$C$589,A250)</f>
        <v>2</v>
      </c>
      <c r="G250" s="10">
        <f>COUNTIFS(Connections!$B$6:$B$589,A250,Connections!$D$6:$D$589,"TRUE")+COUNTIFS(Connections!$C$6:$C$589,A250,Connections!$D$6:$D$589,"TRUE")</f>
        <v>0</v>
      </c>
      <c r="H250" s="11" t="s">
        <v>69</v>
      </c>
      <c r="I250" s="11" t="s">
        <v>70</v>
      </c>
      <c r="J250" s="12"/>
      <c r="K250" s="11"/>
      <c r="L250" s="4"/>
      <c r="M250" s="1" t="s">
        <v>215</v>
      </c>
      <c r="N250" s="1">
        <v>173</v>
      </c>
    </row>
    <row r="251" spans="1:14" ht="23.1" customHeight="1">
      <c r="A251" s="1" t="s">
        <v>387</v>
      </c>
      <c r="B251" s="1" t="s">
        <v>387</v>
      </c>
      <c r="C251" s="1" t="s">
        <v>213</v>
      </c>
      <c r="D251" s="3">
        <v>42.729692587214998</v>
      </c>
      <c r="E251" s="3">
        <v>-73.682977952350996</v>
      </c>
      <c r="F251" s="10">
        <f>COUNTIFS(Connections!$B$6:$B$589,A251)+COUNTIFS(Connections!$C$6:$C$589,A251)</f>
        <v>2</v>
      </c>
      <c r="G251" s="10">
        <f>COUNTIFS(Connections!$B$6:$B$589,A251,Connections!$D$6:$D$589,"TRUE")+COUNTIFS(Connections!$C$6:$C$589,A251,Connections!$D$6:$D$589,"TRUE")</f>
        <v>0</v>
      </c>
      <c r="H251" s="11" t="s">
        <v>69</v>
      </c>
      <c r="I251" s="11" t="s">
        <v>70</v>
      </c>
      <c r="J251" s="12"/>
      <c r="K251" s="11"/>
      <c r="L251" s="4"/>
      <c r="M251" s="1" t="s">
        <v>215</v>
      </c>
      <c r="N251" s="1">
        <v>174</v>
      </c>
    </row>
    <row r="252" spans="1:14" ht="23.1" customHeight="1">
      <c r="A252" s="1" t="s">
        <v>388</v>
      </c>
      <c r="B252" s="1" t="s">
        <v>388</v>
      </c>
      <c r="C252" s="1" t="s">
        <v>213</v>
      </c>
      <c r="D252" s="3">
        <v>42.729419003091202</v>
      </c>
      <c r="E252" s="3">
        <v>-73.683055942550993</v>
      </c>
      <c r="F252" s="10">
        <f>COUNTIFS(Connections!$B$6:$B$589,A252)+COUNTIFS(Connections!$C$6:$C$589,A252)</f>
        <v>3</v>
      </c>
      <c r="G252" s="10">
        <f>COUNTIFS(Connections!$B$6:$B$589,A252,Connections!$D$6:$D$589,"TRUE")+COUNTIFS(Connections!$C$6:$C$589,A252,Connections!$D$6:$D$589,"TRUE")</f>
        <v>0</v>
      </c>
      <c r="H252" s="11" t="s">
        <v>69</v>
      </c>
      <c r="I252" s="11" t="s">
        <v>70</v>
      </c>
      <c r="J252" s="12"/>
      <c r="K252" s="11"/>
      <c r="L252" s="4"/>
      <c r="M252" s="1" t="s">
        <v>215</v>
      </c>
      <c r="N252" s="1">
        <v>175</v>
      </c>
    </row>
    <row r="253" spans="1:14" ht="23.1" customHeight="1">
      <c r="A253" s="1" t="s">
        <v>389</v>
      </c>
      <c r="B253" s="1" t="s">
        <v>389</v>
      </c>
      <c r="C253" s="1" t="s">
        <v>213</v>
      </c>
      <c r="D253" s="3">
        <v>42.729207492676103</v>
      </c>
      <c r="E253" s="3">
        <v>-73.683102100016399</v>
      </c>
      <c r="F253" s="10">
        <f>COUNTIFS(Connections!$B$6:$B$589,A253)+COUNTIFS(Connections!$C$6:$C$589,A253)</f>
        <v>2</v>
      </c>
      <c r="G253" s="10">
        <f>COUNTIFS(Connections!$B$6:$B$589,A253,Connections!$D$6:$D$589,"TRUE")+COUNTIFS(Connections!$C$6:$C$589,A253,Connections!$D$6:$D$589,"TRUE")</f>
        <v>0</v>
      </c>
      <c r="H253" s="11" t="s">
        <v>69</v>
      </c>
      <c r="I253" s="11" t="s">
        <v>70</v>
      </c>
      <c r="J253" s="12"/>
      <c r="K253" s="11"/>
      <c r="L253" s="4"/>
      <c r="M253" s="1" t="s">
        <v>215</v>
      </c>
      <c r="N253" s="1">
        <v>176</v>
      </c>
    </row>
    <row r="254" spans="1:14" ht="23.1" customHeight="1">
      <c r="A254" s="1" t="s">
        <v>390</v>
      </c>
      <c r="B254" s="1" t="s">
        <v>390</v>
      </c>
      <c r="C254" s="1" t="s">
        <v>213</v>
      </c>
      <c r="D254" s="3">
        <v>42.728805163082299</v>
      </c>
      <c r="E254" s="3">
        <v>-73.683122791293897</v>
      </c>
      <c r="F254" s="10">
        <f>COUNTIFS(Connections!$B$6:$B$589,A254)+COUNTIFS(Connections!$C$6:$C$589,A254)</f>
        <v>3</v>
      </c>
      <c r="G254" s="10">
        <f>COUNTIFS(Connections!$B$6:$B$589,A254,Connections!$D$6:$D$589,"TRUE")+COUNTIFS(Connections!$C$6:$C$589,A254,Connections!$D$6:$D$589,"TRUE")</f>
        <v>0</v>
      </c>
      <c r="H254" s="11" t="s">
        <v>69</v>
      </c>
      <c r="I254" s="11" t="s">
        <v>70</v>
      </c>
      <c r="J254" s="12"/>
      <c r="K254" s="11"/>
      <c r="L254" s="4"/>
      <c r="M254" s="1" t="s">
        <v>215</v>
      </c>
      <c r="N254" s="1">
        <v>177</v>
      </c>
    </row>
    <row r="255" spans="1:14" ht="23.1" customHeight="1">
      <c r="A255" s="1" t="s">
        <v>391</v>
      </c>
      <c r="B255" s="1" t="s">
        <v>391</v>
      </c>
      <c r="C255" s="1" t="s">
        <v>213</v>
      </c>
      <c r="D255" s="3">
        <v>42.729164960690497</v>
      </c>
      <c r="E255" s="3">
        <v>-73.682285590371194</v>
      </c>
      <c r="F255" s="10">
        <f>COUNTIFS(Connections!$B$6:$B$589,A255)+COUNTIFS(Connections!$C$6:$C$589,A255)</f>
        <v>2</v>
      </c>
      <c r="G255" s="10">
        <f>COUNTIFS(Connections!$B$6:$B$589,A255,Connections!$D$6:$D$589,"TRUE")+COUNTIFS(Connections!$C$6:$C$589,A255,Connections!$D$6:$D$589,"TRUE")</f>
        <v>0</v>
      </c>
      <c r="H255" s="11" t="s">
        <v>69</v>
      </c>
      <c r="I255" s="11" t="s">
        <v>70</v>
      </c>
      <c r="J255" s="12"/>
      <c r="K255" s="11"/>
      <c r="L255" s="4"/>
      <c r="M255" s="1" t="s">
        <v>215</v>
      </c>
      <c r="N255" s="1">
        <v>178</v>
      </c>
    </row>
    <row r="256" spans="1:14" ht="23.1" customHeight="1">
      <c r="A256" s="1" t="s">
        <v>392</v>
      </c>
      <c r="B256" s="1" t="s">
        <v>392</v>
      </c>
      <c r="C256" s="1" t="s">
        <v>213</v>
      </c>
      <c r="D256" s="3">
        <v>42.728591353641001</v>
      </c>
      <c r="E256" s="3">
        <v>-73.683277180057303</v>
      </c>
      <c r="F256" s="10">
        <f>COUNTIFS(Connections!$B$6:$B$589,A256)+COUNTIFS(Connections!$C$6:$C$589,A256)</f>
        <v>2</v>
      </c>
      <c r="G256" s="10">
        <f>COUNTIFS(Connections!$B$6:$B$589,A256,Connections!$D$6:$D$589,"TRUE")+COUNTIFS(Connections!$C$6:$C$589,A256,Connections!$D$6:$D$589,"TRUE")</f>
        <v>0</v>
      </c>
      <c r="H256" s="11" t="s">
        <v>69</v>
      </c>
      <c r="I256" s="11" t="s">
        <v>70</v>
      </c>
      <c r="J256" s="12"/>
      <c r="K256" s="11"/>
      <c r="L256" s="4"/>
      <c r="M256" s="1" t="s">
        <v>215</v>
      </c>
      <c r="N256" s="1">
        <v>179</v>
      </c>
    </row>
    <row r="257" spans="1:14" ht="23.1" customHeight="1">
      <c r="A257" s="1" t="s">
        <v>393</v>
      </c>
      <c r="B257" s="1" t="s">
        <v>393</v>
      </c>
      <c r="C257" s="1" t="s">
        <v>213</v>
      </c>
      <c r="D257" s="3">
        <v>42.728385590791497</v>
      </c>
      <c r="E257" s="3">
        <v>-73.683326520796001</v>
      </c>
      <c r="F257" s="10">
        <f>COUNTIFS(Connections!$B$6:$B$589,A257)+COUNTIFS(Connections!$C$6:$C$589,A257)</f>
        <v>2</v>
      </c>
      <c r="G257" s="10">
        <f>COUNTIFS(Connections!$B$6:$B$589,A257,Connections!$D$6:$D$589,"TRUE")+COUNTIFS(Connections!$C$6:$C$589,A257,Connections!$D$6:$D$589,"TRUE")</f>
        <v>0</v>
      </c>
      <c r="H257" s="11" t="s">
        <v>69</v>
      </c>
      <c r="I257" s="11" t="s">
        <v>70</v>
      </c>
      <c r="J257" s="12"/>
      <c r="K257" s="11"/>
      <c r="L257" s="4"/>
      <c r="M257" s="1" t="s">
        <v>215</v>
      </c>
      <c r="N257" s="1">
        <v>180</v>
      </c>
    </row>
    <row r="258" spans="1:14" ht="23.1" customHeight="1">
      <c r="A258" s="1" t="s">
        <v>394</v>
      </c>
      <c r="B258" s="1" t="s">
        <v>394</v>
      </c>
      <c r="C258" s="1" t="s">
        <v>213</v>
      </c>
      <c r="D258" s="3">
        <v>42.7276958829164</v>
      </c>
      <c r="E258" s="3">
        <v>-73.682460670412098</v>
      </c>
      <c r="F258" s="10">
        <f>COUNTIFS(Connections!$B$6:$B$589,A258)+COUNTIFS(Connections!$C$6:$C$589,A258)</f>
        <v>3</v>
      </c>
      <c r="G258" s="10">
        <f>COUNTIFS(Connections!$B$6:$B$589,A258,Connections!$D$6:$D$589,"TRUE")+COUNTIFS(Connections!$C$6:$C$589,A258,Connections!$D$6:$D$589,"TRUE")</f>
        <v>0</v>
      </c>
      <c r="H258" s="11" t="s">
        <v>69</v>
      </c>
      <c r="I258" s="11" t="s">
        <v>70</v>
      </c>
      <c r="J258" s="12"/>
      <c r="K258" s="11"/>
      <c r="L258" s="4"/>
      <c r="M258" s="1" t="s">
        <v>215</v>
      </c>
      <c r="N258" s="1">
        <v>181</v>
      </c>
    </row>
    <row r="259" spans="1:14" ht="23.1" customHeight="1">
      <c r="A259" s="1" t="s">
        <v>395</v>
      </c>
      <c r="B259" s="1" t="s">
        <v>395</v>
      </c>
      <c r="C259" s="1" t="s">
        <v>213</v>
      </c>
      <c r="D259" s="3">
        <v>42.728002802920798</v>
      </c>
      <c r="E259" s="3">
        <v>-73.681542296015806</v>
      </c>
      <c r="F259" s="10">
        <f>COUNTIFS(Connections!$B$6:$B$589,A259)+COUNTIFS(Connections!$C$6:$C$589,A259)</f>
        <v>2</v>
      </c>
      <c r="G259" s="10">
        <f>COUNTIFS(Connections!$B$6:$B$589,A259,Connections!$D$6:$D$589,"TRUE")+COUNTIFS(Connections!$C$6:$C$589,A259,Connections!$D$6:$D$589,"TRUE")</f>
        <v>0</v>
      </c>
      <c r="H259" s="11" t="s">
        <v>69</v>
      </c>
      <c r="I259" s="11" t="s">
        <v>70</v>
      </c>
      <c r="J259" s="12"/>
      <c r="K259" s="11"/>
      <c r="L259" s="4"/>
      <c r="M259" s="1" t="s">
        <v>215</v>
      </c>
      <c r="N259" s="1">
        <v>182</v>
      </c>
    </row>
    <row r="260" spans="1:14" ht="23.1" customHeight="1">
      <c r="A260" s="1" t="s">
        <v>396</v>
      </c>
      <c r="B260" s="1" t="s">
        <v>396</v>
      </c>
      <c r="C260" s="1" t="s">
        <v>213</v>
      </c>
      <c r="D260" s="3">
        <v>42.728301676333402</v>
      </c>
      <c r="E260" s="3">
        <v>-73.680148022235699</v>
      </c>
      <c r="F260" s="10">
        <f>COUNTIFS(Connections!$B$6:$B$589,A260)+COUNTIFS(Connections!$C$6:$C$589,A260)</f>
        <v>3</v>
      </c>
      <c r="G260" s="10">
        <f>COUNTIFS(Connections!$B$6:$B$589,A260,Connections!$D$6:$D$589,"TRUE")+COUNTIFS(Connections!$C$6:$C$589,A260,Connections!$D$6:$D$589,"TRUE")</f>
        <v>0</v>
      </c>
      <c r="H260" s="11" t="s">
        <v>69</v>
      </c>
      <c r="I260" s="11" t="s">
        <v>70</v>
      </c>
      <c r="J260" s="12"/>
      <c r="K260" s="11"/>
      <c r="L260" s="4"/>
      <c r="M260" s="1" t="s">
        <v>215</v>
      </c>
      <c r="N260" s="1">
        <v>183</v>
      </c>
    </row>
    <row r="261" spans="1:14" ht="23.1" customHeight="1">
      <c r="A261" s="1" t="s">
        <v>397</v>
      </c>
      <c r="B261" s="1" t="s">
        <v>397</v>
      </c>
      <c r="C261" s="1" t="s">
        <v>213</v>
      </c>
      <c r="D261" s="3">
        <v>42.728069474682101</v>
      </c>
      <c r="E261" s="3">
        <v>-73.6786502920678</v>
      </c>
      <c r="F261" s="10">
        <f>COUNTIFS(Connections!$B$6:$B$589,A261)+COUNTIFS(Connections!$C$6:$C$589,A261)</f>
        <v>2</v>
      </c>
      <c r="G261" s="10">
        <f>COUNTIFS(Connections!$B$6:$B$589,A261,Connections!$D$6:$D$589,"TRUE")+COUNTIFS(Connections!$C$6:$C$589,A261,Connections!$D$6:$D$589,"TRUE")</f>
        <v>0</v>
      </c>
      <c r="H261" s="11" t="s">
        <v>69</v>
      </c>
      <c r="I261" s="11" t="s">
        <v>70</v>
      </c>
      <c r="J261" s="12"/>
      <c r="K261" s="11"/>
      <c r="L261" s="4"/>
      <c r="M261" s="1" t="s">
        <v>215</v>
      </c>
      <c r="N261" s="1">
        <v>184</v>
      </c>
    </row>
    <row r="262" spans="1:14" ht="23.1" customHeight="1">
      <c r="A262" s="1" t="s">
        <v>398</v>
      </c>
      <c r="B262" s="1" t="s">
        <v>398</v>
      </c>
      <c r="C262" s="1" t="s">
        <v>213</v>
      </c>
      <c r="D262" s="3">
        <v>42.727893599173903</v>
      </c>
      <c r="E262" s="3">
        <v>-73.678688491349504</v>
      </c>
      <c r="F262" s="10">
        <f>COUNTIFS(Connections!$B$6:$B$589,A262)+COUNTIFS(Connections!$C$6:$C$589,A262)</f>
        <v>3</v>
      </c>
      <c r="G262" s="10">
        <f>COUNTIFS(Connections!$B$6:$B$589,A262,Connections!$D$6:$D$589,"TRUE")+COUNTIFS(Connections!$C$6:$C$589,A262,Connections!$D$6:$D$589,"TRUE")</f>
        <v>0</v>
      </c>
      <c r="H262" s="11" t="s">
        <v>69</v>
      </c>
      <c r="I262" s="11" t="s">
        <v>70</v>
      </c>
      <c r="J262" s="12"/>
      <c r="K262" s="11"/>
      <c r="L262" s="4"/>
      <c r="M262" s="1" t="s">
        <v>215</v>
      </c>
      <c r="N262" s="1">
        <v>185</v>
      </c>
    </row>
    <row r="263" spans="1:14" ht="23.1" customHeight="1">
      <c r="A263" s="1" t="s">
        <v>399</v>
      </c>
      <c r="B263" s="1" t="s">
        <v>399</v>
      </c>
      <c r="C263" s="1" t="s">
        <v>213</v>
      </c>
      <c r="D263" s="3">
        <v>42.727770601269498</v>
      </c>
      <c r="E263" s="3">
        <v>-73.678768073186305</v>
      </c>
      <c r="F263" s="10">
        <f>COUNTIFS(Connections!$B$6:$B$589,A263)+COUNTIFS(Connections!$C$6:$C$589,A263)</f>
        <v>2</v>
      </c>
      <c r="G263" s="10">
        <f>COUNTIFS(Connections!$B$6:$B$589,A263,Connections!$D$6:$D$589,"TRUE")+COUNTIFS(Connections!$C$6:$C$589,A263,Connections!$D$6:$D$589,"TRUE")</f>
        <v>0</v>
      </c>
      <c r="H263" s="11" t="s">
        <v>69</v>
      </c>
      <c r="I263" s="11" t="s">
        <v>70</v>
      </c>
      <c r="J263" s="12"/>
      <c r="K263" s="11"/>
      <c r="L263" s="4"/>
      <c r="M263" s="1" t="s">
        <v>215</v>
      </c>
      <c r="N263" s="1">
        <v>186</v>
      </c>
    </row>
    <row r="264" spans="1:14" ht="23.1" customHeight="1">
      <c r="A264" s="1" t="s">
        <v>400</v>
      </c>
      <c r="B264" s="1" t="s">
        <v>400</v>
      </c>
      <c r="C264" s="1" t="s">
        <v>213</v>
      </c>
      <c r="D264" s="3">
        <v>42.7278798050164</v>
      </c>
      <c r="E264" s="3">
        <v>-73.679605274108994</v>
      </c>
      <c r="F264" s="10">
        <f>COUNTIFS(Connections!$B$6:$B$589,A264)+COUNTIFS(Connections!$C$6:$C$589,A264)</f>
        <v>2</v>
      </c>
      <c r="G264" s="10">
        <f>COUNTIFS(Connections!$B$6:$B$589,A264,Connections!$D$6:$D$589,"TRUE")+COUNTIFS(Connections!$C$6:$C$589,A264,Connections!$D$6:$D$589,"TRUE")</f>
        <v>0</v>
      </c>
      <c r="H264" s="11" t="s">
        <v>69</v>
      </c>
      <c r="I264" s="11" t="s">
        <v>70</v>
      </c>
      <c r="J264" s="12"/>
      <c r="K264" s="11"/>
      <c r="L264" s="4"/>
      <c r="M264" s="1" t="s">
        <v>215</v>
      </c>
      <c r="N264" s="1">
        <v>187</v>
      </c>
    </row>
    <row r="265" spans="1:14" ht="23.1" customHeight="1">
      <c r="A265" s="1" t="s">
        <v>401</v>
      </c>
      <c r="B265" s="1" t="s">
        <v>401</v>
      </c>
      <c r="C265" s="1" t="s">
        <v>213</v>
      </c>
      <c r="D265" s="3">
        <v>42.728057979550798</v>
      </c>
      <c r="E265" s="3">
        <v>-73.679914051635606</v>
      </c>
      <c r="F265" s="10">
        <f>COUNTIFS(Connections!$B$6:$B$589,A265)+COUNTIFS(Connections!$C$6:$C$589,A265)</f>
        <v>2</v>
      </c>
      <c r="G265" s="10">
        <f>COUNTIFS(Connections!$B$6:$B$589,A265,Connections!$D$6:$D$589,"TRUE")+COUNTIFS(Connections!$C$6:$C$589,A265,Connections!$D$6:$D$589,"TRUE")</f>
        <v>0</v>
      </c>
      <c r="H265" s="11" t="s">
        <v>69</v>
      </c>
      <c r="I265" s="11" t="s">
        <v>70</v>
      </c>
      <c r="J265" s="12"/>
      <c r="K265" s="11"/>
      <c r="L265" s="4"/>
      <c r="M265" s="1" t="s">
        <v>215</v>
      </c>
      <c r="N265" s="1">
        <v>188</v>
      </c>
    </row>
    <row r="266" spans="1:14" ht="23.1" customHeight="1">
      <c r="A266" s="1" t="s">
        <v>402</v>
      </c>
      <c r="B266" s="1" t="s">
        <v>402</v>
      </c>
      <c r="C266" s="1" t="s">
        <v>213</v>
      </c>
      <c r="D266" s="3">
        <v>42.728083268839598</v>
      </c>
      <c r="E266" s="3">
        <v>-73.680359709921504</v>
      </c>
      <c r="F266" s="10">
        <f>COUNTIFS(Connections!$B$6:$B$589,A266)+COUNTIFS(Connections!$C$6:$C$589,A266)</f>
        <v>3</v>
      </c>
      <c r="G266" s="10">
        <f>COUNTIFS(Connections!$B$6:$B$589,A266,Connections!$D$6:$D$589,"TRUE")+COUNTIFS(Connections!$C$6:$C$589,A266,Connections!$D$6:$D$589,"TRUE")</f>
        <v>0</v>
      </c>
      <c r="H266" s="11" t="s">
        <v>69</v>
      </c>
      <c r="I266" s="11" t="s">
        <v>70</v>
      </c>
      <c r="J266" s="12"/>
      <c r="K266" s="11"/>
      <c r="L266" s="4"/>
      <c r="M266" s="1" t="s">
        <v>215</v>
      </c>
      <c r="N266" s="1">
        <v>189</v>
      </c>
    </row>
    <row r="267" spans="1:14" ht="23.1" customHeight="1">
      <c r="A267" s="1" t="s">
        <v>403</v>
      </c>
      <c r="B267" s="1" t="s">
        <v>403</v>
      </c>
      <c r="C267" s="1" t="s">
        <v>213</v>
      </c>
      <c r="D267" s="3">
        <v>42.7268509907693</v>
      </c>
      <c r="E267" s="3">
        <v>-73.6781314184922</v>
      </c>
      <c r="F267" s="10">
        <f>COUNTIFS(Connections!$B$6:$B$589,A267)+COUNTIFS(Connections!$C$6:$C$589,A267)</f>
        <v>3</v>
      </c>
      <c r="G267" s="10">
        <f>COUNTIFS(Connections!$B$6:$B$589,A267,Connections!$D$6:$D$589,"TRUE")+COUNTIFS(Connections!$C$6:$C$589,A267,Connections!$D$6:$D$589,"TRUE")</f>
        <v>0</v>
      </c>
      <c r="H267" s="11" t="s">
        <v>69</v>
      </c>
      <c r="I267" s="11" t="s">
        <v>70</v>
      </c>
      <c r="J267" s="12"/>
      <c r="K267" s="11"/>
      <c r="L267" s="4"/>
      <c r="M267" s="1" t="s">
        <v>215</v>
      </c>
      <c r="N267" s="1">
        <v>190</v>
      </c>
    </row>
    <row r="268" spans="1:14" ht="23.1" customHeight="1">
      <c r="A268" s="1" t="s">
        <v>404</v>
      </c>
      <c r="B268" s="1" t="s">
        <v>404</v>
      </c>
      <c r="C268" s="1" t="s">
        <v>213</v>
      </c>
      <c r="D268" s="3">
        <v>42.727057903131801</v>
      </c>
      <c r="E268" s="3">
        <v>-73.677504313618499</v>
      </c>
      <c r="F268" s="10">
        <f>COUNTIFS(Connections!$B$6:$B$589,A268)+COUNTIFS(Connections!$C$6:$C$589,A268)</f>
        <v>2</v>
      </c>
      <c r="G268" s="10">
        <f>COUNTIFS(Connections!$B$6:$B$589,A268,Connections!$D$6:$D$589,"TRUE")+COUNTIFS(Connections!$C$6:$C$589,A268,Connections!$D$6:$D$589,"TRUE")</f>
        <v>0</v>
      </c>
      <c r="H268" s="11" t="s">
        <v>69</v>
      </c>
      <c r="I268" s="11" t="s">
        <v>70</v>
      </c>
      <c r="J268" s="12"/>
      <c r="K268" s="11"/>
      <c r="L268" s="4"/>
      <c r="M268" s="1" t="s">
        <v>215</v>
      </c>
      <c r="N268" s="1">
        <v>191</v>
      </c>
    </row>
    <row r="269" spans="1:14" ht="23.1" customHeight="1">
      <c r="A269" s="1" t="s">
        <v>405</v>
      </c>
      <c r="B269" s="1" t="s">
        <v>405</v>
      </c>
      <c r="C269" s="1" t="s">
        <v>213</v>
      </c>
      <c r="D269" s="3">
        <v>42.727078594368102</v>
      </c>
      <c r="E269" s="3">
        <v>-73.678090035937004</v>
      </c>
      <c r="F269" s="10">
        <f>COUNTIFS(Connections!$B$6:$B$589,A269)+COUNTIFS(Connections!$C$6:$C$589,A269)</f>
        <v>3</v>
      </c>
      <c r="G269" s="10">
        <f>COUNTIFS(Connections!$B$6:$B$589,A269,Connections!$D$6:$D$589,"TRUE")+COUNTIFS(Connections!$C$6:$C$589,A269,Connections!$D$6:$D$589,"TRUE")</f>
        <v>0</v>
      </c>
      <c r="H269" s="11" t="s">
        <v>69</v>
      </c>
      <c r="I269" s="11" t="s">
        <v>70</v>
      </c>
      <c r="J269" s="12"/>
      <c r="K269" s="11"/>
      <c r="L269" s="4"/>
      <c r="M269" s="1" t="s">
        <v>215</v>
      </c>
      <c r="N269" s="1">
        <v>192</v>
      </c>
    </row>
    <row r="270" spans="1:14" ht="23.1" customHeight="1">
      <c r="A270" s="1" t="s">
        <v>406</v>
      </c>
      <c r="B270" s="1" t="s">
        <v>406</v>
      </c>
      <c r="C270" s="1" t="s">
        <v>213</v>
      </c>
      <c r="D270" s="3">
        <v>42.7257589533002</v>
      </c>
      <c r="E270" s="3">
        <v>-73.678454520749398</v>
      </c>
      <c r="F270" s="10">
        <f>COUNTIFS(Connections!$B$6:$B$589,A270)+COUNTIFS(Connections!$C$6:$C$589,A270)</f>
        <v>2</v>
      </c>
      <c r="G270" s="10">
        <f>COUNTIFS(Connections!$B$6:$B$589,A270,Connections!$D$6:$D$589,"TRUE")+COUNTIFS(Connections!$C$6:$C$589,A270,Connections!$D$6:$D$589,"TRUE")</f>
        <v>0</v>
      </c>
      <c r="H270" s="11" t="s">
        <v>69</v>
      </c>
      <c r="I270" s="11" t="s">
        <v>70</v>
      </c>
      <c r="J270" s="12"/>
      <c r="K270" s="11"/>
      <c r="L270" s="4"/>
      <c r="M270" s="1" t="s">
        <v>215</v>
      </c>
      <c r="N270" s="1">
        <v>193</v>
      </c>
    </row>
    <row r="271" spans="1:14" ht="23.1" customHeight="1">
      <c r="A271" s="1" t="s">
        <v>407</v>
      </c>
      <c r="B271" s="1" t="s">
        <v>407</v>
      </c>
      <c r="C271" s="1" t="s">
        <v>213</v>
      </c>
      <c r="D271" s="3">
        <v>42.724889921377503</v>
      </c>
      <c r="E271" s="3">
        <v>-73.673681202180404</v>
      </c>
      <c r="F271" s="10">
        <f>COUNTIFS(Connections!$B$6:$B$589,A271)+COUNTIFS(Connections!$C$6:$C$589,A271)</f>
        <v>2</v>
      </c>
      <c r="G271" s="10">
        <f>COUNTIFS(Connections!$B$6:$B$589,A271,Connections!$D$6:$D$589,"TRUE")+COUNTIFS(Connections!$C$6:$C$589,A271,Connections!$D$6:$D$589,"TRUE")</f>
        <v>0</v>
      </c>
      <c r="H271" s="11" t="s">
        <v>69</v>
      </c>
      <c r="I271" s="11" t="s">
        <v>70</v>
      </c>
      <c r="J271" s="12"/>
      <c r="K271" s="11"/>
      <c r="L271" s="4"/>
      <c r="M271" s="1" t="s">
        <v>215</v>
      </c>
      <c r="N271" s="1">
        <v>194</v>
      </c>
    </row>
    <row r="272" spans="1:14" ht="23.1" customHeight="1">
      <c r="A272" s="1" t="s">
        <v>408</v>
      </c>
      <c r="B272" s="1" t="s">
        <v>408</v>
      </c>
      <c r="C272" s="1" t="s">
        <v>213</v>
      </c>
      <c r="D272" s="3">
        <v>42.726896971294302</v>
      </c>
      <c r="E272" s="3">
        <v>-73.673515671959905</v>
      </c>
      <c r="F272" s="10">
        <f>COUNTIFS(Connections!$B$6:$B$589,A272)+COUNTIFS(Connections!$C$6:$C$589,A272)</f>
        <v>1</v>
      </c>
      <c r="G272" s="10">
        <f>COUNTIFS(Connections!$B$6:$B$589,A272,Connections!$D$6:$D$589,"TRUE")+COUNTIFS(Connections!$C$6:$C$589,A272,Connections!$D$6:$D$589,"TRUE")</f>
        <v>0</v>
      </c>
      <c r="H272" s="11" t="s">
        <v>69</v>
      </c>
      <c r="I272" s="11" t="s">
        <v>70</v>
      </c>
      <c r="J272" s="12"/>
      <c r="K272" s="11"/>
      <c r="L272" s="4"/>
      <c r="M272" s="1" t="s">
        <v>215</v>
      </c>
      <c r="N272" s="1">
        <v>195</v>
      </c>
    </row>
    <row r="273" spans="1:14" ht="23.1" customHeight="1">
      <c r="A273" s="1" t="s">
        <v>409</v>
      </c>
      <c r="B273" s="1" t="s">
        <v>409</v>
      </c>
      <c r="C273" s="1" t="s">
        <v>213</v>
      </c>
      <c r="D273" s="3">
        <v>42.7268257014805</v>
      </c>
      <c r="E273" s="3">
        <v>-73.673144820600598</v>
      </c>
      <c r="F273" s="10">
        <f>COUNTIFS(Connections!$B$6:$B$589,A273)+COUNTIFS(Connections!$C$6:$C$589,A273)</f>
        <v>3</v>
      </c>
      <c r="G273" s="10">
        <f>COUNTIFS(Connections!$B$6:$B$589,A273,Connections!$D$6:$D$589,"TRUE")+COUNTIFS(Connections!$C$6:$C$589,A273,Connections!$D$6:$D$589,"TRUE")</f>
        <v>0</v>
      </c>
      <c r="H273" s="11" t="s">
        <v>69</v>
      </c>
      <c r="I273" s="11" t="s">
        <v>70</v>
      </c>
      <c r="J273" s="12"/>
      <c r="K273" s="11"/>
      <c r="L273" s="4"/>
      <c r="M273" s="1" t="s">
        <v>215</v>
      </c>
      <c r="N273" s="1">
        <v>196</v>
      </c>
    </row>
    <row r="274" spans="1:14" ht="23.1" customHeight="1">
      <c r="A274" s="1" t="s">
        <v>410</v>
      </c>
      <c r="B274" s="1" t="s">
        <v>410</v>
      </c>
      <c r="C274" s="1" t="s">
        <v>213</v>
      </c>
      <c r="D274" s="3">
        <v>42.726888924702401</v>
      </c>
      <c r="E274" s="3">
        <v>-73.674056828449906</v>
      </c>
      <c r="F274" s="10">
        <f>COUNTIFS(Connections!$B$6:$B$589,A274)+COUNTIFS(Connections!$C$6:$C$589,A274)</f>
        <v>2</v>
      </c>
      <c r="G274" s="10">
        <f>COUNTIFS(Connections!$B$6:$B$589,A274,Connections!$D$6:$D$589,"TRUE")+COUNTIFS(Connections!$C$6:$C$589,A274,Connections!$D$6:$D$589,"TRUE")</f>
        <v>0</v>
      </c>
      <c r="H274" s="11" t="s">
        <v>69</v>
      </c>
      <c r="I274" s="11" t="s">
        <v>70</v>
      </c>
      <c r="J274" s="12"/>
      <c r="K274" s="11"/>
      <c r="L274" s="4"/>
      <c r="M274" s="1" t="s">
        <v>215</v>
      </c>
      <c r="N274" s="1">
        <v>197</v>
      </c>
    </row>
    <row r="275" spans="1:14" ht="23.1" customHeight="1">
      <c r="A275" s="1" t="s">
        <v>411</v>
      </c>
      <c r="B275" s="1" t="s">
        <v>411</v>
      </c>
      <c r="C275" s="1" t="s">
        <v>213</v>
      </c>
      <c r="D275" s="3">
        <v>42.7268532897955</v>
      </c>
      <c r="E275" s="3">
        <v>-73.674359239429606</v>
      </c>
      <c r="F275" s="10">
        <f>COUNTIFS(Connections!$B$6:$B$589,A275)+COUNTIFS(Connections!$C$6:$C$589,A275)</f>
        <v>2</v>
      </c>
      <c r="G275" s="10">
        <f>COUNTIFS(Connections!$B$6:$B$589,A275,Connections!$D$6:$D$589,"TRUE")+COUNTIFS(Connections!$C$6:$C$589,A275,Connections!$D$6:$D$589,"TRUE")</f>
        <v>0</v>
      </c>
      <c r="H275" s="11" t="s">
        <v>69</v>
      </c>
      <c r="I275" s="11" t="s">
        <v>70</v>
      </c>
      <c r="J275" s="12"/>
      <c r="K275" s="11"/>
      <c r="L275" s="4"/>
      <c r="M275" s="1" t="s">
        <v>215</v>
      </c>
      <c r="N275" s="1">
        <v>198</v>
      </c>
    </row>
    <row r="276" spans="1:14" ht="23.1" customHeight="1">
      <c r="A276" s="1" t="s">
        <v>412</v>
      </c>
      <c r="B276" s="1" t="s">
        <v>412</v>
      </c>
      <c r="C276" s="1" t="s">
        <v>213</v>
      </c>
      <c r="D276" s="3">
        <v>42.728290181202098</v>
      </c>
      <c r="E276" s="3">
        <v>-73.676195988222105</v>
      </c>
      <c r="F276" s="10">
        <f>COUNTIFS(Connections!$B$6:$B$589,A276)+COUNTIFS(Connections!$C$6:$C$589,A276)</f>
        <v>2</v>
      </c>
      <c r="G276" s="10">
        <f>COUNTIFS(Connections!$B$6:$B$589,A276,Connections!$D$6:$D$589,"TRUE")+COUNTIFS(Connections!$C$6:$C$589,A276,Connections!$D$6:$D$589,"TRUE")</f>
        <v>0</v>
      </c>
      <c r="H276" s="11" t="s">
        <v>69</v>
      </c>
      <c r="I276" s="11" t="s">
        <v>70</v>
      </c>
      <c r="J276" s="12"/>
      <c r="K276" s="11"/>
      <c r="L276" s="4"/>
      <c r="M276" s="1" t="s">
        <v>215</v>
      </c>
      <c r="N276" s="1">
        <v>199</v>
      </c>
    </row>
    <row r="277" spans="1:14" ht="23.1" customHeight="1">
      <c r="A277" s="1" t="s">
        <v>413</v>
      </c>
      <c r="B277" s="1" t="s">
        <v>413</v>
      </c>
      <c r="C277" s="1" t="s">
        <v>213</v>
      </c>
      <c r="D277" s="3">
        <v>42.727598174300702</v>
      </c>
      <c r="E277" s="3">
        <v>-73.675505217879007</v>
      </c>
      <c r="F277" s="10">
        <f>COUNTIFS(Connections!$B$6:$B$589,A277)+COUNTIFS(Connections!$C$6:$C$589,A277)</f>
        <v>3</v>
      </c>
      <c r="G277" s="10">
        <f>COUNTIFS(Connections!$B$6:$B$589,A277,Connections!$D$6:$D$589,"TRUE")+COUNTIFS(Connections!$C$6:$C$589,A277,Connections!$D$6:$D$589,"TRUE")</f>
        <v>0</v>
      </c>
      <c r="H277" s="11" t="s">
        <v>69</v>
      </c>
      <c r="I277" s="11" t="s">
        <v>70</v>
      </c>
      <c r="J277" s="12"/>
      <c r="K277" s="11"/>
      <c r="L277" s="4"/>
      <c r="M277" s="1" t="s">
        <v>215</v>
      </c>
      <c r="N277" s="1">
        <v>200</v>
      </c>
    </row>
    <row r="278" spans="1:14" ht="23.1" customHeight="1">
      <c r="A278" s="1" t="s">
        <v>414</v>
      </c>
      <c r="B278" s="1" t="s">
        <v>414</v>
      </c>
      <c r="C278" s="1" t="s">
        <v>213</v>
      </c>
      <c r="D278" s="3">
        <v>42.727057903131801</v>
      </c>
      <c r="E278" s="3">
        <v>-73.675568883348404</v>
      </c>
      <c r="F278" s="10">
        <f>COUNTIFS(Connections!$B$6:$B$589,A278)+COUNTIFS(Connections!$C$6:$C$589,A278)</f>
        <v>2</v>
      </c>
      <c r="G278" s="10">
        <f>COUNTIFS(Connections!$B$6:$B$589,A278,Connections!$D$6:$D$589,"TRUE")+COUNTIFS(Connections!$C$6:$C$589,A278,Connections!$D$6:$D$589,"TRUE")</f>
        <v>0</v>
      </c>
      <c r="H278" s="11" t="s">
        <v>69</v>
      </c>
      <c r="I278" s="11" t="s">
        <v>70</v>
      </c>
      <c r="J278" s="12"/>
      <c r="K278" s="11"/>
      <c r="L278" s="4"/>
      <c r="M278" s="1" t="s">
        <v>215</v>
      </c>
      <c r="N278" s="1">
        <v>201</v>
      </c>
    </row>
    <row r="279" spans="1:14" ht="23.1" customHeight="1">
      <c r="A279" s="1" t="s">
        <v>415</v>
      </c>
      <c r="B279" s="1" t="s">
        <v>415</v>
      </c>
      <c r="C279" s="1" t="s">
        <v>213</v>
      </c>
      <c r="D279" s="3">
        <v>42.727853366214497</v>
      </c>
      <c r="E279" s="3">
        <v>-73.674648917315395</v>
      </c>
      <c r="F279" s="10">
        <f>COUNTIFS(Connections!$B$6:$B$589,A279)+COUNTIFS(Connections!$C$6:$C$589,A279)</f>
        <v>3</v>
      </c>
      <c r="G279" s="10">
        <f>COUNTIFS(Connections!$B$6:$B$589,A279,Connections!$D$6:$D$589,"TRUE")+COUNTIFS(Connections!$C$6:$C$589,A279,Connections!$D$6:$D$589,"TRUE")</f>
        <v>0</v>
      </c>
      <c r="H279" s="11" t="s">
        <v>69</v>
      </c>
      <c r="I279" s="11" t="s">
        <v>70</v>
      </c>
      <c r="J279" s="12"/>
      <c r="K279" s="11"/>
      <c r="L279" s="4"/>
      <c r="M279" s="1" t="s">
        <v>215</v>
      </c>
      <c r="N279" s="1">
        <v>202</v>
      </c>
    </row>
    <row r="280" spans="1:14" ht="23.1" customHeight="1">
      <c r="A280" s="1" t="s">
        <v>416</v>
      </c>
      <c r="B280" s="1" t="s">
        <v>416</v>
      </c>
      <c r="C280" s="1" t="s">
        <v>213</v>
      </c>
      <c r="D280" s="3">
        <v>42.727638407260102</v>
      </c>
      <c r="E280" s="3">
        <v>-73.675882435785198</v>
      </c>
      <c r="F280" s="10">
        <f>COUNTIFS(Connections!$B$6:$B$589,A280)+COUNTIFS(Connections!$C$6:$C$589,A280)</f>
        <v>2</v>
      </c>
      <c r="G280" s="10">
        <f>COUNTIFS(Connections!$B$6:$B$589,A280,Connections!$D$6:$D$589,"TRUE")+COUNTIFS(Connections!$C$6:$C$589,A280,Connections!$D$6:$D$589,"TRUE")</f>
        <v>0</v>
      </c>
      <c r="H280" s="11" t="s">
        <v>69</v>
      </c>
      <c r="I280" s="11" t="s">
        <v>70</v>
      </c>
      <c r="J280" s="12"/>
      <c r="K280" s="11"/>
      <c r="L280" s="4"/>
      <c r="M280" s="1" t="s">
        <v>215</v>
      </c>
      <c r="N280" s="1">
        <v>203</v>
      </c>
    </row>
    <row r="281" spans="1:14" ht="23.1" customHeight="1">
      <c r="A281" s="1" t="s">
        <v>417</v>
      </c>
      <c r="B281" s="1" t="s">
        <v>417</v>
      </c>
      <c r="C281" s="1" t="s">
        <v>213</v>
      </c>
      <c r="D281" s="3">
        <v>42.731429501547296</v>
      </c>
      <c r="E281" s="3">
        <v>-73.681266942860603</v>
      </c>
      <c r="F281" s="10">
        <f>COUNTIFS(Connections!$B$6:$B$589,A281)+COUNTIFS(Connections!$C$6:$C$589,A281)</f>
        <v>2</v>
      </c>
      <c r="G281" s="10">
        <f>COUNTIFS(Connections!$B$6:$B$589,A281,Connections!$D$6:$D$589,"TRUE")+COUNTIFS(Connections!$C$6:$C$589,A281,Connections!$D$6:$D$589,"TRUE")</f>
        <v>0</v>
      </c>
      <c r="H281" s="11" t="s">
        <v>69</v>
      </c>
      <c r="I281" s="11" t="s">
        <v>70</v>
      </c>
      <c r="J281" s="12"/>
      <c r="K281" s="11"/>
      <c r="L281" s="4"/>
      <c r="M281" s="1" t="s">
        <v>215</v>
      </c>
      <c r="N281" s="1">
        <v>204</v>
      </c>
    </row>
    <row r="282" spans="1:14" ht="23.1" customHeight="1">
      <c r="A282" s="1" t="s">
        <v>418</v>
      </c>
      <c r="B282" s="1" t="s">
        <v>418</v>
      </c>
      <c r="C282" s="1" t="s">
        <v>213</v>
      </c>
      <c r="D282" s="3">
        <v>42.732115760883197</v>
      </c>
      <c r="E282" s="3">
        <v>-73.681833565538398</v>
      </c>
      <c r="F282" s="10">
        <f>COUNTIFS(Connections!$B$6:$B$589,A282)+COUNTIFS(Connections!$C$6:$C$589,A282)</f>
        <v>3</v>
      </c>
      <c r="G282" s="10">
        <f>COUNTIFS(Connections!$B$6:$B$589,A282,Connections!$D$6:$D$589,"TRUE")+COUNTIFS(Connections!$C$6:$C$589,A282,Connections!$D$6:$D$589,"TRUE")</f>
        <v>0</v>
      </c>
      <c r="H282" s="11" t="s">
        <v>69</v>
      </c>
      <c r="I282" s="11" t="s">
        <v>70</v>
      </c>
      <c r="J282" s="12"/>
      <c r="K282" s="11"/>
      <c r="L282" s="4"/>
      <c r="M282" s="1" t="s">
        <v>215</v>
      </c>
      <c r="N282" s="1">
        <v>205</v>
      </c>
    </row>
    <row r="283" spans="1:14" ht="23.1" customHeight="1">
      <c r="A283" s="1" t="s">
        <v>419</v>
      </c>
      <c r="B283" s="1" t="s">
        <v>419</v>
      </c>
      <c r="C283" s="1" t="s">
        <v>213</v>
      </c>
      <c r="D283" s="3">
        <v>42.731696188592402</v>
      </c>
      <c r="E283" s="3">
        <v>-73.6815900451179</v>
      </c>
      <c r="F283" s="10">
        <f>COUNTIFS(Connections!$B$6:$B$589,A283)+COUNTIFS(Connections!$C$6:$C$589,A283)</f>
        <v>2</v>
      </c>
      <c r="G283" s="10">
        <f>COUNTIFS(Connections!$B$6:$B$589,A283,Connections!$D$6:$D$589,"TRUE")+COUNTIFS(Connections!$C$6:$C$589,A283,Connections!$D$6:$D$589,"TRUE")</f>
        <v>0</v>
      </c>
      <c r="H283" s="11" t="s">
        <v>69</v>
      </c>
      <c r="I283" s="11" t="s">
        <v>70</v>
      </c>
      <c r="J283" s="12"/>
      <c r="K283" s="11"/>
      <c r="L283" s="4"/>
      <c r="M283" s="1" t="s">
        <v>215</v>
      </c>
      <c r="N283" s="1">
        <v>206</v>
      </c>
    </row>
    <row r="284" spans="1:14" ht="23.1" customHeight="1">
      <c r="A284" s="1" t="s">
        <v>420</v>
      </c>
      <c r="B284" s="1" t="s">
        <v>420</v>
      </c>
      <c r="C284" s="1" t="s">
        <v>213</v>
      </c>
      <c r="D284" s="3">
        <v>42.731563994582999</v>
      </c>
      <c r="E284" s="3">
        <v>-73.681473855636199</v>
      </c>
      <c r="F284" s="10">
        <f>COUNTIFS(Connections!$B$6:$B$589,A284)+COUNTIFS(Connections!$C$6:$C$589,A284)</f>
        <v>3</v>
      </c>
      <c r="G284" s="10">
        <f>COUNTIFS(Connections!$B$6:$B$589,A284,Connections!$D$6:$D$589,"TRUE")+COUNTIFS(Connections!$C$6:$C$589,A284,Connections!$D$6:$D$589,"TRUE")</f>
        <v>0</v>
      </c>
      <c r="H284" s="11" t="s">
        <v>69</v>
      </c>
      <c r="I284" s="11" t="s">
        <v>70</v>
      </c>
      <c r="J284" s="12"/>
      <c r="K284" s="11"/>
      <c r="L284" s="4"/>
      <c r="M284" s="1" t="s">
        <v>215</v>
      </c>
      <c r="N284" s="1">
        <v>207</v>
      </c>
    </row>
    <row r="285" spans="1:14" ht="23.1" customHeight="1">
      <c r="A285" s="1" t="s">
        <v>421</v>
      </c>
      <c r="B285" s="1" t="s">
        <v>421</v>
      </c>
      <c r="C285" s="1" t="s">
        <v>213</v>
      </c>
      <c r="D285" s="3">
        <v>42.731496173308599</v>
      </c>
      <c r="E285" s="3">
        <v>-73.681593228391307</v>
      </c>
      <c r="F285" s="10">
        <f>COUNTIFS(Connections!$B$6:$B$589,A285)+COUNTIFS(Connections!$C$6:$C$589,A285)</f>
        <v>4</v>
      </c>
      <c r="G285" s="10">
        <f>COUNTIFS(Connections!$B$6:$B$589,A285,Connections!$D$6:$D$589,"TRUE")+COUNTIFS(Connections!$C$6:$C$589,A285,Connections!$D$6:$D$589,"TRUE")</f>
        <v>0</v>
      </c>
      <c r="H285" s="11" t="s">
        <v>69</v>
      </c>
      <c r="I285" s="11" t="s">
        <v>70</v>
      </c>
      <c r="J285" s="12"/>
      <c r="K285" s="11"/>
      <c r="L285" s="4"/>
      <c r="M285" s="1" t="s">
        <v>215</v>
      </c>
      <c r="N285" s="1">
        <v>208</v>
      </c>
    </row>
    <row r="286" spans="1:14" ht="23.1" customHeight="1">
      <c r="A286" s="1" t="s">
        <v>422</v>
      </c>
      <c r="B286" s="1" t="s">
        <v>422</v>
      </c>
      <c r="C286" s="1" t="s">
        <v>213</v>
      </c>
      <c r="D286" s="3">
        <v>42.731228336750398</v>
      </c>
      <c r="E286" s="3">
        <v>-73.681612328032202</v>
      </c>
      <c r="F286" s="10">
        <f>COUNTIFS(Connections!$B$6:$B$589,A286)+COUNTIFS(Connections!$C$6:$C$589,A286)</f>
        <v>2</v>
      </c>
      <c r="G286" s="10">
        <f>COUNTIFS(Connections!$B$6:$B$589,A286,Connections!$D$6:$D$589,"TRUE")+COUNTIFS(Connections!$C$6:$C$589,A286,Connections!$D$6:$D$589,"TRUE")</f>
        <v>0</v>
      </c>
      <c r="H286" s="11" t="s">
        <v>69</v>
      </c>
      <c r="I286" s="11" t="s">
        <v>70</v>
      </c>
      <c r="J286" s="12"/>
      <c r="K286" s="11"/>
      <c r="L286" s="4"/>
      <c r="M286" s="1" t="s">
        <v>215</v>
      </c>
      <c r="N286" s="1">
        <v>209</v>
      </c>
    </row>
    <row r="287" spans="1:14" ht="23.1" customHeight="1">
      <c r="A287" s="1" t="s">
        <v>423</v>
      </c>
      <c r="B287" s="1" t="s">
        <v>423</v>
      </c>
      <c r="C287" s="1" t="s">
        <v>213</v>
      </c>
      <c r="D287" s="3">
        <v>42.732108863804399</v>
      </c>
      <c r="E287" s="3">
        <v>-73.682705782469299</v>
      </c>
      <c r="F287" s="10">
        <f>COUNTIFS(Connections!$B$6:$B$589,A287)+COUNTIFS(Connections!$C$6:$C$589,A287)</f>
        <v>2</v>
      </c>
      <c r="G287" s="10">
        <f>COUNTIFS(Connections!$B$6:$B$589,A287,Connections!$D$6:$D$589,"TRUE")+COUNTIFS(Connections!$C$6:$C$589,A287,Connections!$D$6:$D$589,"TRUE")</f>
        <v>0</v>
      </c>
      <c r="H287" s="11" t="s">
        <v>69</v>
      </c>
      <c r="I287" s="11" t="s">
        <v>70</v>
      </c>
      <c r="J287" s="12"/>
      <c r="K287" s="11"/>
      <c r="L287" s="4"/>
      <c r="M287" s="1" t="s">
        <v>215</v>
      </c>
      <c r="N287" s="1">
        <v>210</v>
      </c>
    </row>
    <row r="288" spans="1:14" ht="23.1" customHeight="1">
      <c r="A288" s="1" t="s">
        <v>424</v>
      </c>
      <c r="B288" s="1" t="s">
        <v>424</v>
      </c>
      <c r="C288" s="1" t="s">
        <v>213</v>
      </c>
      <c r="D288" s="3">
        <v>42.731851372864298</v>
      </c>
      <c r="E288" s="3">
        <v>-73.683145074208198</v>
      </c>
      <c r="F288" s="10">
        <f>COUNTIFS(Connections!$B$6:$B$589,A288)+COUNTIFS(Connections!$C$6:$C$589,A288)</f>
        <v>3</v>
      </c>
      <c r="G288" s="10">
        <f>COUNTIFS(Connections!$B$6:$B$589,A288,Connections!$D$6:$D$589,"TRUE")+COUNTIFS(Connections!$C$6:$C$589,A288,Connections!$D$6:$D$589,"TRUE")</f>
        <v>0</v>
      </c>
      <c r="H288" s="11" t="s">
        <v>69</v>
      </c>
      <c r="I288" s="11" t="s">
        <v>70</v>
      </c>
      <c r="J288" s="12"/>
      <c r="K288" s="11"/>
      <c r="L288" s="4"/>
      <c r="M288" s="1" t="s">
        <v>215</v>
      </c>
      <c r="N288" s="1">
        <v>211</v>
      </c>
    </row>
    <row r="289" spans="1:14" ht="23.1" customHeight="1">
      <c r="A289" s="1" t="s">
        <v>425</v>
      </c>
      <c r="B289" s="1" t="s">
        <v>425</v>
      </c>
      <c r="C289" s="1" t="s">
        <v>213</v>
      </c>
      <c r="D289" s="3">
        <v>42.731851372864298</v>
      </c>
      <c r="E289" s="3">
        <v>-73.682588001350894</v>
      </c>
      <c r="F289" s="10">
        <f>COUNTIFS(Connections!$B$6:$B$589,A289)+COUNTIFS(Connections!$C$6:$C$589,A289)</f>
        <v>3</v>
      </c>
      <c r="G289" s="10">
        <f>COUNTIFS(Connections!$B$6:$B$589,A289,Connections!$D$6:$D$589,"TRUE")+COUNTIFS(Connections!$C$6:$C$589,A289,Connections!$D$6:$D$589,"TRUE")</f>
        <v>0</v>
      </c>
      <c r="H289" s="11" t="s">
        <v>69</v>
      </c>
      <c r="I289" s="11" t="s">
        <v>70</v>
      </c>
      <c r="J289" s="12"/>
      <c r="K289" s="11"/>
      <c r="L289" s="4"/>
      <c r="M289" s="1" t="s">
        <v>215</v>
      </c>
      <c r="N289" s="1">
        <v>212</v>
      </c>
    </row>
    <row r="290" spans="1:14" ht="23.1" customHeight="1">
      <c r="A290" s="1" t="s">
        <v>426</v>
      </c>
      <c r="B290" s="1" t="s">
        <v>426</v>
      </c>
      <c r="C290" s="1" t="s">
        <v>213</v>
      </c>
      <c r="D290" s="3">
        <v>42.731465136454197</v>
      </c>
      <c r="E290" s="3">
        <v>-73.682759898118306</v>
      </c>
      <c r="F290" s="10">
        <f>COUNTIFS(Connections!$B$6:$B$589,A290)+COUNTIFS(Connections!$C$6:$C$589,A290)</f>
        <v>4</v>
      </c>
      <c r="G290" s="10">
        <f>COUNTIFS(Connections!$B$6:$B$589,A290,Connections!$D$6:$D$589,"TRUE")+COUNTIFS(Connections!$C$6:$C$589,A290,Connections!$D$6:$D$589,"TRUE")</f>
        <v>0</v>
      </c>
      <c r="H290" s="11" t="s">
        <v>69</v>
      </c>
      <c r="I290" s="11" t="s">
        <v>70</v>
      </c>
      <c r="J290" s="12"/>
      <c r="K290" s="11"/>
      <c r="L290" s="4"/>
      <c r="M290" s="1" t="s">
        <v>215</v>
      </c>
      <c r="N290" s="1">
        <v>213</v>
      </c>
    </row>
    <row r="291" spans="1:14" ht="23.1" customHeight="1">
      <c r="A291" s="1" t="s">
        <v>427</v>
      </c>
      <c r="B291" s="1" t="s">
        <v>427</v>
      </c>
      <c r="C291" s="1" t="s">
        <v>213</v>
      </c>
      <c r="D291" s="3">
        <v>42.731030620492902</v>
      </c>
      <c r="E291" s="3">
        <v>-73.682392230032406</v>
      </c>
      <c r="F291" s="10">
        <f>COUNTIFS(Connections!$B$6:$B$589,A291)+COUNTIFS(Connections!$C$6:$C$589,A291)</f>
        <v>2</v>
      </c>
      <c r="G291" s="10">
        <f>COUNTIFS(Connections!$B$6:$B$589,A291,Connections!$D$6:$D$589,"TRUE")+COUNTIFS(Connections!$C$6:$C$589,A291,Connections!$D$6:$D$589,"TRUE")</f>
        <v>0</v>
      </c>
      <c r="H291" s="11" t="s">
        <v>69</v>
      </c>
      <c r="I291" s="11" t="s">
        <v>70</v>
      </c>
      <c r="J291" s="12"/>
      <c r="K291" s="11"/>
      <c r="L291" s="4"/>
      <c r="M291" s="1" t="s">
        <v>215</v>
      </c>
      <c r="N291" s="1">
        <v>214</v>
      </c>
    </row>
    <row r="292" spans="1:14" ht="23.1" customHeight="1">
      <c r="A292" s="1" t="s">
        <v>428</v>
      </c>
      <c r="B292" s="1" t="s">
        <v>428</v>
      </c>
      <c r="C292" s="1" t="s">
        <v>213</v>
      </c>
      <c r="D292" s="3">
        <v>42.731161664989102</v>
      </c>
      <c r="E292" s="3">
        <v>-73.682906328697896</v>
      </c>
      <c r="F292" s="10">
        <f>COUNTIFS(Connections!$B$6:$B$589,A292)+COUNTIFS(Connections!$C$6:$C$589,A292)</f>
        <v>2</v>
      </c>
      <c r="G292" s="10">
        <f>COUNTIFS(Connections!$B$6:$B$589,A292,Connections!$D$6:$D$589,"TRUE")+COUNTIFS(Connections!$C$6:$C$589,A292,Connections!$D$6:$D$589,"TRUE")</f>
        <v>0</v>
      </c>
      <c r="H292" s="11" t="s">
        <v>69</v>
      </c>
      <c r="I292" s="11" t="s">
        <v>70</v>
      </c>
      <c r="J292" s="12"/>
      <c r="K292" s="11"/>
      <c r="L292" s="4"/>
      <c r="M292" s="1" t="s">
        <v>215</v>
      </c>
      <c r="N292" s="1">
        <v>215</v>
      </c>
    </row>
    <row r="293" spans="1:14" ht="23.1" customHeight="1">
      <c r="A293" s="1" t="s">
        <v>429</v>
      </c>
      <c r="B293" s="1" t="s">
        <v>429</v>
      </c>
      <c r="C293" s="1" t="s">
        <v>213</v>
      </c>
      <c r="D293" s="3">
        <v>42.730991537046599</v>
      </c>
      <c r="E293" s="3">
        <v>-73.683103691653102</v>
      </c>
      <c r="F293" s="10">
        <f>COUNTIFS(Connections!$B$6:$B$589,A293)+COUNTIFS(Connections!$C$6:$C$589,A293)</f>
        <v>2</v>
      </c>
      <c r="G293" s="10">
        <f>COUNTIFS(Connections!$B$6:$B$589,A293,Connections!$D$6:$D$589,"TRUE")+COUNTIFS(Connections!$C$6:$C$589,A293,Connections!$D$6:$D$589,"TRUE")</f>
        <v>0</v>
      </c>
      <c r="H293" s="11" t="s">
        <v>69</v>
      </c>
      <c r="I293" s="11" t="s">
        <v>70</v>
      </c>
      <c r="J293" s="12"/>
      <c r="K293" s="11"/>
      <c r="L293" s="4"/>
      <c r="M293" s="1" t="s">
        <v>215</v>
      </c>
      <c r="N293" s="1">
        <v>216</v>
      </c>
    </row>
    <row r="294" spans="1:14" ht="23.1" customHeight="1">
      <c r="A294" s="1" t="s">
        <v>430</v>
      </c>
      <c r="B294" s="1" t="s">
        <v>430</v>
      </c>
      <c r="C294" s="1" t="s">
        <v>213</v>
      </c>
      <c r="D294" s="3">
        <v>42.7309616497053</v>
      </c>
      <c r="E294" s="3">
        <v>-73.683358353530707</v>
      </c>
      <c r="F294" s="10">
        <f>COUNTIFS(Connections!$B$6:$B$589,A294)+COUNTIFS(Connections!$C$6:$C$589,A294)</f>
        <v>4</v>
      </c>
      <c r="G294" s="10">
        <f>COUNTIFS(Connections!$B$6:$B$589,A294,Connections!$D$6:$D$589,"TRUE")+COUNTIFS(Connections!$C$6:$C$589,A294,Connections!$D$6:$D$589,"TRUE")</f>
        <v>0</v>
      </c>
      <c r="H294" s="11" t="s">
        <v>69</v>
      </c>
      <c r="I294" s="11" t="s">
        <v>70</v>
      </c>
      <c r="J294" s="12"/>
      <c r="K294" s="11"/>
      <c r="L294" s="4"/>
      <c r="M294" s="1" t="s">
        <v>215</v>
      </c>
      <c r="N294" s="1">
        <v>217</v>
      </c>
    </row>
    <row r="295" spans="1:14" ht="23.1" customHeight="1">
      <c r="A295" s="1" t="s">
        <v>431</v>
      </c>
      <c r="B295" s="1" t="s">
        <v>431</v>
      </c>
      <c r="C295" s="1" t="s">
        <v>213</v>
      </c>
      <c r="D295" s="3">
        <v>42.730912220641002</v>
      </c>
      <c r="E295" s="3">
        <v>-73.682320606379406</v>
      </c>
      <c r="F295" s="10">
        <f>COUNTIFS(Connections!$B$6:$B$589,A295)+COUNTIFS(Connections!$C$6:$C$589,A295)</f>
        <v>2</v>
      </c>
      <c r="G295" s="10">
        <f>COUNTIFS(Connections!$B$6:$B$589,A295,Connections!$D$6:$D$589,"TRUE")+COUNTIFS(Connections!$C$6:$C$589,A295,Connections!$D$6:$D$589,"TRUE")</f>
        <v>0</v>
      </c>
      <c r="H295" s="11" t="s">
        <v>69</v>
      </c>
      <c r="I295" s="11" t="s">
        <v>70</v>
      </c>
      <c r="J295" s="12"/>
      <c r="K295" s="11"/>
      <c r="L295" s="4"/>
      <c r="M295" s="1" t="s">
        <v>215</v>
      </c>
      <c r="N295" s="1">
        <v>218</v>
      </c>
    </row>
    <row r="296" spans="1:14" ht="23.1" customHeight="1">
      <c r="A296" s="1" t="s">
        <v>432</v>
      </c>
      <c r="B296" s="1" t="s">
        <v>432</v>
      </c>
      <c r="C296" s="1" t="s">
        <v>213</v>
      </c>
      <c r="D296" s="3">
        <v>42.731104189332903</v>
      </c>
      <c r="E296" s="3">
        <v>-73.680996364615595</v>
      </c>
      <c r="F296" s="10">
        <f>COUNTIFS(Connections!$B$6:$B$589,A296)+COUNTIFS(Connections!$C$6:$C$589,A296)</f>
        <v>2</v>
      </c>
      <c r="G296" s="10">
        <f>COUNTIFS(Connections!$B$6:$B$589,A296,Connections!$D$6:$D$589,"TRUE")+COUNTIFS(Connections!$C$6:$C$589,A296,Connections!$D$6:$D$589,"TRUE")</f>
        <v>0</v>
      </c>
      <c r="H296" s="11" t="s">
        <v>69</v>
      </c>
      <c r="I296" s="11" t="s">
        <v>70</v>
      </c>
      <c r="J296" s="12"/>
      <c r="K296" s="11"/>
      <c r="L296" s="4"/>
      <c r="M296" s="1" t="s">
        <v>215</v>
      </c>
      <c r="N296" s="1">
        <v>219</v>
      </c>
    </row>
    <row r="297" spans="1:14" ht="23.1" customHeight="1">
      <c r="A297" s="1" t="s">
        <v>433</v>
      </c>
      <c r="B297" s="1" t="s">
        <v>433</v>
      </c>
      <c r="C297" s="1" t="s">
        <v>213</v>
      </c>
      <c r="D297" s="3">
        <v>42.731121432029802</v>
      </c>
      <c r="E297" s="3">
        <v>-73.6813735825219</v>
      </c>
      <c r="F297" s="10">
        <f>COUNTIFS(Connections!$B$6:$B$589,A297)+COUNTIFS(Connections!$C$6:$C$589,A297)</f>
        <v>2</v>
      </c>
      <c r="G297" s="10">
        <f>COUNTIFS(Connections!$B$6:$B$589,A297,Connections!$D$6:$D$589,"TRUE")+COUNTIFS(Connections!$C$6:$C$589,A297,Connections!$D$6:$D$589,"TRUE")</f>
        <v>0</v>
      </c>
      <c r="H297" s="11" t="s">
        <v>69</v>
      </c>
      <c r="I297" s="11" t="s">
        <v>70</v>
      </c>
      <c r="J297" s="12"/>
      <c r="K297" s="11"/>
      <c r="L297" s="4"/>
      <c r="M297" s="1" t="s">
        <v>215</v>
      </c>
      <c r="N297" s="1">
        <v>220</v>
      </c>
    </row>
    <row r="298" spans="1:14" ht="23.1" customHeight="1">
      <c r="A298" s="1" t="s">
        <v>434</v>
      </c>
      <c r="B298" s="1" t="s">
        <v>434</v>
      </c>
      <c r="C298" s="1" t="s">
        <v>213</v>
      </c>
      <c r="D298" s="3">
        <v>42.730793820789003</v>
      </c>
      <c r="E298" s="3">
        <v>-73.680603230342001</v>
      </c>
      <c r="F298" s="10">
        <f>COUNTIFS(Connections!$B$6:$B$589,A298)+COUNTIFS(Connections!$C$6:$C$589,A298)</f>
        <v>3</v>
      </c>
      <c r="G298" s="10">
        <f>COUNTIFS(Connections!$B$6:$B$589,A298,Connections!$D$6:$D$589,"TRUE")+COUNTIFS(Connections!$C$6:$C$589,A298,Connections!$D$6:$D$589,"TRUE")</f>
        <v>0</v>
      </c>
      <c r="H298" s="11" t="s">
        <v>69</v>
      </c>
      <c r="I298" s="11" t="s">
        <v>70</v>
      </c>
      <c r="J298" s="12"/>
      <c r="K298" s="11"/>
      <c r="L298" s="4"/>
      <c r="M298" s="1" t="s">
        <v>215</v>
      </c>
      <c r="N298" s="1">
        <v>221</v>
      </c>
    </row>
    <row r="299" spans="1:14" ht="23.1" customHeight="1">
      <c r="A299" s="1" t="s">
        <v>435</v>
      </c>
      <c r="B299" s="1" t="s">
        <v>435</v>
      </c>
      <c r="C299" s="1" t="s">
        <v>213</v>
      </c>
      <c r="D299" s="3">
        <v>42.731251327012899</v>
      </c>
      <c r="E299" s="3">
        <v>-73.680364484831699</v>
      </c>
      <c r="F299" s="10">
        <f>COUNTIFS(Connections!$B$6:$B$589,A299)+COUNTIFS(Connections!$C$6:$C$589,A299)</f>
        <v>3</v>
      </c>
      <c r="G299" s="10">
        <f>COUNTIFS(Connections!$B$6:$B$589,A299,Connections!$D$6:$D$589,"TRUE")+COUNTIFS(Connections!$C$6:$C$589,A299,Connections!$D$6:$D$589,"TRUE")</f>
        <v>0</v>
      </c>
      <c r="H299" s="11" t="s">
        <v>69</v>
      </c>
      <c r="I299" s="11" t="s">
        <v>70</v>
      </c>
      <c r="J299" s="12"/>
      <c r="K299" s="11"/>
      <c r="L299" s="4"/>
      <c r="M299" s="1" t="s">
        <v>215</v>
      </c>
      <c r="N299" s="1">
        <v>222</v>
      </c>
    </row>
    <row r="300" spans="1:14" ht="23.1" customHeight="1">
      <c r="A300" s="1" t="s">
        <v>436</v>
      </c>
      <c r="B300" s="1" t="s">
        <v>436</v>
      </c>
      <c r="C300" s="1" t="s">
        <v>213</v>
      </c>
      <c r="D300" s="3">
        <v>42.731419155929203</v>
      </c>
      <c r="E300" s="3">
        <v>-73.680375626288907</v>
      </c>
      <c r="F300" s="10">
        <f>COUNTIFS(Connections!$B$6:$B$589,A300)+COUNTIFS(Connections!$C$6:$C$589,A300)</f>
        <v>2</v>
      </c>
      <c r="G300" s="10">
        <f>COUNTIFS(Connections!$B$6:$B$589,A300,Connections!$D$6:$D$589,"TRUE")+COUNTIFS(Connections!$C$6:$C$589,A300,Connections!$D$6:$D$589,"TRUE")</f>
        <v>0</v>
      </c>
      <c r="H300" s="11" t="s">
        <v>69</v>
      </c>
      <c r="I300" s="11" t="s">
        <v>70</v>
      </c>
      <c r="J300" s="12"/>
      <c r="K300" s="11"/>
      <c r="L300" s="4"/>
      <c r="M300" s="1" t="s">
        <v>215</v>
      </c>
      <c r="N300" s="1">
        <v>223</v>
      </c>
    </row>
    <row r="301" spans="1:14" ht="23.1" customHeight="1">
      <c r="A301" s="1" t="s">
        <v>437</v>
      </c>
      <c r="B301" s="1" t="s">
        <v>437</v>
      </c>
      <c r="C301" s="1" t="s">
        <v>213</v>
      </c>
      <c r="D301" s="3">
        <v>42.731586984845499</v>
      </c>
      <c r="E301" s="3">
        <v>-73.680834017668602</v>
      </c>
      <c r="F301" s="10">
        <f>COUNTIFS(Connections!$B$6:$B$589,A301)+COUNTIFS(Connections!$C$6:$C$589,A301)</f>
        <v>2</v>
      </c>
      <c r="G301" s="10">
        <f>COUNTIFS(Connections!$B$6:$B$589,A301,Connections!$D$6:$D$589,"TRUE")+COUNTIFS(Connections!$C$6:$C$589,A301,Connections!$D$6:$D$589,"TRUE")</f>
        <v>0</v>
      </c>
      <c r="H301" s="11" t="s">
        <v>69</v>
      </c>
      <c r="I301" s="11" t="s">
        <v>70</v>
      </c>
      <c r="J301" s="12"/>
      <c r="K301" s="11"/>
      <c r="L301" s="4"/>
      <c r="M301" s="1" t="s">
        <v>215</v>
      </c>
      <c r="N301" s="1">
        <v>224</v>
      </c>
    </row>
    <row r="302" spans="1:14" ht="23.1" customHeight="1">
      <c r="A302" s="1" t="s">
        <v>438</v>
      </c>
      <c r="B302" s="1" t="s">
        <v>438</v>
      </c>
      <c r="C302" s="1" t="s">
        <v>213</v>
      </c>
      <c r="D302" s="3">
        <v>42.731943333914401</v>
      </c>
      <c r="E302" s="3">
        <v>-73.6811937275708</v>
      </c>
      <c r="F302" s="10">
        <f>COUNTIFS(Connections!$B$6:$B$589,A302)+COUNTIFS(Connections!$C$6:$C$589,A302)</f>
        <v>4</v>
      </c>
      <c r="G302" s="10">
        <f>COUNTIFS(Connections!$B$6:$B$589,A302,Connections!$D$6:$D$589,"TRUE")+COUNTIFS(Connections!$C$6:$C$589,A302,Connections!$D$6:$D$589,"TRUE")</f>
        <v>0</v>
      </c>
      <c r="H302" s="11" t="s">
        <v>69</v>
      </c>
      <c r="I302" s="11" t="s">
        <v>70</v>
      </c>
      <c r="J302" s="12"/>
      <c r="K302" s="11"/>
      <c r="L302" s="4"/>
      <c r="M302" s="1" t="s">
        <v>215</v>
      </c>
      <c r="N302" s="1">
        <v>225</v>
      </c>
    </row>
    <row r="303" spans="1:14" ht="23.1" customHeight="1">
      <c r="A303" s="1" t="s">
        <v>439</v>
      </c>
      <c r="B303" s="1" t="s">
        <v>439</v>
      </c>
      <c r="C303" s="1" t="s">
        <v>213</v>
      </c>
      <c r="D303" s="3">
        <v>42.732154844329401</v>
      </c>
      <c r="E303" s="3">
        <v>-73.681139611921793</v>
      </c>
      <c r="F303" s="10">
        <f>COUNTIFS(Connections!$B$6:$B$589,A303)+COUNTIFS(Connections!$C$6:$C$589,A303)</f>
        <v>2</v>
      </c>
      <c r="G303" s="10">
        <f>COUNTIFS(Connections!$B$6:$B$589,A303,Connections!$D$6:$D$589,"TRUE")+COUNTIFS(Connections!$C$6:$C$589,A303,Connections!$D$6:$D$589,"TRUE")</f>
        <v>0</v>
      </c>
      <c r="H303" s="11" t="s">
        <v>69</v>
      </c>
      <c r="I303" s="11" t="s">
        <v>70</v>
      </c>
      <c r="J303" s="12"/>
      <c r="K303" s="11"/>
      <c r="L303" s="4"/>
      <c r="M303" s="1" t="s">
        <v>215</v>
      </c>
      <c r="N303" s="1">
        <v>226</v>
      </c>
    </row>
    <row r="304" spans="1:14" ht="23.1" customHeight="1">
      <c r="A304" s="1" t="s">
        <v>440</v>
      </c>
      <c r="B304" s="1" t="s">
        <v>440</v>
      </c>
      <c r="C304" s="1" t="s">
        <v>213</v>
      </c>
      <c r="D304" s="3">
        <v>42.732341065455699</v>
      </c>
      <c r="E304" s="3">
        <v>-73.681278084317796</v>
      </c>
      <c r="F304" s="10">
        <f>COUNTIFS(Connections!$B$6:$B$589,A304)+COUNTIFS(Connections!$C$6:$C$589,A304)</f>
        <v>2</v>
      </c>
      <c r="G304" s="10">
        <f>COUNTIFS(Connections!$B$6:$B$589,A304,Connections!$D$6:$D$589,"TRUE")+COUNTIFS(Connections!$C$6:$C$589,A304,Connections!$D$6:$D$589,"TRUE")</f>
        <v>0</v>
      </c>
      <c r="H304" s="11" t="s">
        <v>69</v>
      </c>
      <c r="I304" s="11" t="s">
        <v>70</v>
      </c>
      <c r="J304" s="12"/>
      <c r="K304" s="11"/>
      <c r="L304" s="4"/>
      <c r="M304" s="1" t="s">
        <v>215</v>
      </c>
      <c r="N304" s="1">
        <v>227</v>
      </c>
    </row>
    <row r="305" spans="1:14" ht="23.1" customHeight="1">
      <c r="A305" s="1" t="s">
        <v>441</v>
      </c>
      <c r="B305" s="1" t="s">
        <v>441</v>
      </c>
      <c r="C305" s="1" t="s">
        <v>213</v>
      </c>
      <c r="D305" s="3">
        <v>42.732527286581998</v>
      </c>
      <c r="E305" s="3">
        <v>-73.680964531880903</v>
      </c>
      <c r="F305" s="10">
        <f>COUNTIFS(Connections!$B$6:$B$589,A305)+COUNTIFS(Connections!$C$6:$C$589,A305)</f>
        <v>2</v>
      </c>
      <c r="G305" s="10">
        <f>COUNTIFS(Connections!$B$6:$B$589,A305,Connections!$D$6:$D$589,"TRUE")+COUNTIFS(Connections!$C$6:$C$589,A305,Connections!$D$6:$D$589,"TRUE")</f>
        <v>0</v>
      </c>
      <c r="H305" s="11" t="s">
        <v>69</v>
      </c>
      <c r="I305" s="11" t="s">
        <v>70</v>
      </c>
      <c r="J305" s="12"/>
      <c r="K305" s="11"/>
      <c r="L305" s="4"/>
      <c r="M305" s="1" t="s">
        <v>215</v>
      </c>
      <c r="N305" s="1">
        <v>228</v>
      </c>
    </row>
    <row r="306" spans="1:14" ht="23.1" customHeight="1">
      <c r="A306" s="1" t="s">
        <v>442</v>
      </c>
      <c r="B306" s="1" t="s">
        <v>442</v>
      </c>
      <c r="C306" s="1" t="s">
        <v>213</v>
      </c>
      <c r="D306" s="3">
        <v>42.732880187111498</v>
      </c>
      <c r="E306" s="3">
        <v>-73.682673949734607</v>
      </c>
      <c r="F306" s="10">
        <f>COUNTIFS(Connections!$B$6:$B$589,A306)+COUNTIFS(Connections!$C$6:$C$589,A306)</f>
        <v>4</v>
      </c>
      <c r="G306" s="10">
        <f>COUNTIFS(Connections!$B$6:$B$589,A306,Connections!$D$6:$D$589,"TRUE")+COUNTIFS(Connections!$C$6:$C$589,A306,Connections!$D$6:$D$589,"TRUE")</f>
        <v>0</v>
      </c>
      <c r="H306" s="11" t="s">
        <v>69</v>
      </c>
      <c r="I306" s="11" t="s">
        <v>70</v>
      </c>
      <c r="J306" s="12"/>
      <c r="K306" s="11"/>
      <c r="L306" s="4"/>
      <c r="M306" s="1" t="s">
        <v>215</v>
      </c>
      <c r="N306" s="1">
        <v>229</v>
      </c>
    </row>
    <row r="307" spans="1:14" ht="23.1" customHeight="1">
      <c r="A307" s="1" t="s">
        <v>443</v>
      </c>
      <c r="B307" s="1" t="s">
        <v>443</v>
      </c>
      <c r="C307" s="1" t="s">
        <v>213</v>
      </c>
      <c r="D307" s="3">
        <v>42.7281269503383</v>
      </c>
      <c r="E307" s="3">
        <v>-73.684975456453799</v>
      </c>
      <c r="F307" s="10">
        <f>COUNTIFS(Connections!$B$6:$B$589,A307)+COUNTIFS(Connections!$C$6:$C$589,A307)</f>
        <v>3</v>
      </c>
      <c r="G307" s="10">
        <f>COUNTIFS(Connections!$B$6:$B$589,A307,Connections!$D$6:$D$589,"TRUE")+COUNTIFS(Connections!$C$6:$C$589,A307,Connections!$D$6:$D$589,"TRUE")</f>
        <v>0</v>
      </c>
      <c r="H307" s="11" t="s">
        <v>69</v>
      </c>
      <c r="I307" s="11" t="s">
        <v>70</v>
      </c>
      <c r="J307" s="12"/>
      <c r="K307" s="11"/>
      <c r="L307" s="4"/>
      <c r="M307" s="1" t="s">
        <v>215</v>
      </c>
      <c r="N307" s="1">
        <v>230</v>
      </c>
    </row>
    <row r="308" spans="1:14" ht="23.1" customHeight="1">
      <c r="A308" s="1" t="s">
        <v>444</v>
      </c>
      <c r="B308" s="1" t="s">
        <v>444</v>
      </c>
      <c r="C308" s="1" t="s">
        <v>213</v>
      </c>
      <c r="D308" s="3">
        <v>42.727831525465099</v>
      </c>
      <c r="E308" s="3">
        <v>-73.678047061745204</v>
      </c>
      <c r="F308" s="10">
        <f>COUNTIFS(Connections!$B$6:$B$589,A308)+COUNTIFS(Connections!$C$6:$C$589,A308)</f>
        <v>3</v>
      </c>
      <c r="G308" s="10">
        <f>COUNTIFS(Connections!$B$6:$B$589,A308,Connections!$D$6:$D$589,"TRUE")+COUNTIFS(Connections!$C$6:$C$589,A308,Connections!$D$6:$D$589,"TRUE")</f>
        <v>0</v>
      </c>
      <c r="H308" s="11" t="s">
        <v>69</v>
      </c>
      <c r="I308" s="11" t="s">
        <v>70</v>
      </c>
      <c r="J308" s="12"/>
      <c r="K308" s="11"/>
      <c r="L308" s="4"/>
      <c r="M308" s="1" t="s">
        <v>215</v>
      </c>
      <c r="N308" s="1">
        <v>231</v>
      </c>
    </row>
    <row r="309" spans="1:14" ht="23.1" customHeight="1">
      <c r="A309" s="1" t="s">
        <v>445</v>
      </c>
      <c r="B309" s="1" t="s">
        <v>445</v>
      </c>
      <c r="C309" s="1" t="s">
        <v>213</v>
      </c>
      <c r="D309" s="3">
        <v>42.732943410333398</v>
      </c>
      <c r="E309" s="3">
        <v>-73.680359709921504</v>
      </c>
      <c r="F309" s="10">
        <f>COUNTIFS(Connections!$B$6:$B$589,A309)+COUNTIFS(Connections!$C$6:$C$589,A309)</f>
        <v>6</v>
      </c>
      <c r="G309" s="10">
        <f>COUNTIFS(Connections!$B$6:$B$589,A309,Connections!$D$6:$D$589,"TRUE")+COUNTIFS(Connections!$C$6:$C$589,A309,Connections!$D$6:$D$589,"TRUE")</f>
        <v>0</v>
      </c>
      <c r="H309" s="11" t="s">
        <v>69</v>
      </c>
      <c r="I309" s="11" t="s">
        <v>70</v>
      </c>
      <c r="J309" s="12"/>
      <c r="K309" s="11"/>
      <c r="L309" s="4"/>
      <c r="M309" s="1" t="s">
        <v>215</v>
      </c>
      <c r="N309" s="1">
        <v>232</v>
      </c>
    </row>
    <row r="310" spans="1:14" ht="23.1" customHeight="1">
      <c r="A310" s="1" t="s">
        <v>446</v>
      </c>
      <c r="B310" s="1" t="s">
        <v>446</v>
      </c>
      <c r="C310" s="1" t="s">
        <v>213</v>
      </c>
      <c r="D310" s="3">
        <v>42.732828459020801</v>
      </c>
      <c r="E310" s="3">
        <v>-73.6798822189009</v>
      </c>
      <c r="F310" s="10">
        <f>COUNTIFS(Connections!$B$6:$B$589,A310)+COUNTIFS(Connections!$C$6:$C$589,A310)</f>
        <v>3</v>
      </c>
      <c r="G310" s="10">
        <f>COUNTIFS(Connections!$B$6:$B$589,A310,Connections!$D$6:$D$589,"TRUE")+COUNTIFS(Connections!$C$6:$C$589,A310,Connections!$D$6:$D$589,"TRUE")</f>
        <v>0</v>
      </c>
      <c r="H310" s="11" t="s">
        <v>69</v>
      </c>
      <c r="I310" s="11" t="s">
        <v>70</v>
      </c>
      <c r="J310" s="12"/>
      <c r="K310" s="11"/>
      <c r="L310" s="4"/>
      <c r="M310" s="1" t="s">
        <v>215</v>
      </c>
      <c r="N310" s="1">
        <v>233</v>
      </c>
    </row>
    <row r="311" spans="1:14" ht="23.1" customHeight="1">
      <c r="A311" s="1" t="s">
        <v>447</v>
      </c>
      <c r="B311" s="1" t="s">
        <v>447</v>
      </c>
      <c r="C311" s="1" t="s">
        <v>213</v>
      </c>
      <c r="D311" s="3">
        <v>42.733460691239799</v>
      </c>
      <c r="E311" s="3">
        <v>-73.679595724288603</v>
      </c>
      <c r="F311" s="10">
        <f>COUNTIFS(Connections!$B$6:$B$589,A311)+COUNTIFS(Connections!$C$6:$C$589,A311)</f>
        <v>3</v>
      </c>
      <c r="G311" s="10">
        <f>COUNTIFS(Connections!$B$6:$B$589,A311,Connections!$D$6:$D$589,"TRUE")+COUNTIFS(Connections!$C$6:$C$589,A311,Connections!$D$6:$D$589,"TRUE")</f>
        <v>0</v>
      </c>
      <c r="H311" s="11" t="s">
        <v>69</v>
      </c>
      <c r="I311" s="11" t="s">
        <v>70</v>
      </c>
      <c r="J311" s="12"/>
      <c r="K311" s="11"/>
      <c r="L311" s="4"/>
      <c r="M311" s="1" t="s">
        <v>215</v>
      </c>
      <c r="N311" s="1">
        <v>234</v>
      </c>
    </row>
    <row r="312" spans="1:14" ht="23.1" customHeight="1">
      <c r="A312" s="1" t="s">
        <v>448</v>
      </c>
      <c r="B312" s="1" t="s">
        <v>448</v>
      </c>
      <c r="C312" s="1" t="s">
        <v>213</v>
      </c>
      <c r="D312" s="3">
        <v>42.733081351908403</v>
      </c>
      <c r="E312" s="3">
        <v>-73.680630288166498</v>
      </c>
      <c r="F312" s="10">
        <f>COUNTIFS(Connections!$B$6:$B$589,A312)+COUNTIFS(Connections!$C$6:$C$589,A312)</f>
        <v>3</v>
      </c>
      <c r="G312" s="10">
        <f>COUNTIFS(Connections!$B$6:$B$589,A312,Connections!$D$6:$D$589,"TRUE")+COUNTIFS(Connections!$C$6:$C$589,A312,Connections!$D$6:$D$589,"TRUE")</f>
        <v>0</v>
      </c>
      <c r="H312" s="11" t="s">
        <v>69</v>
      </c>
      <c r="I312" s="11" t="s">
        <v>70</v>
      </c>
      <c r="J312" s="12"/>
      <c r="K312" s="11"/>
      <c r="L312" s="4"/>
      <c r="M312" s="1" t="s">
        <v>215</v>
      </c>
      <c r="N312" s="1">
        <v>235</v>
      </c>
    </row>
    <row r="313" spans="1:14" ht="23.1" customHeight="1">
      <c r="A313" s="1" t="s">
        <v>449</v>
      </c>
      <c r="B313" s="1" t="s">
        <v>449</v>
      </c>
      <c r="C313" s="1" t="s">
        <v>213</v>
      </c>
      <c r="D313" s="3">
        <v>42.733606679406698</v>
      </c>
      <c r="E313" s="3">
        <v>-73.680423375390902</v>
      </c>
      <c r="F313" s="10">
        <f>COUNTIFS(Connections!$B$6:$B$589,A313)+COUNTIFS(Connections!$C$6:$C$589,A313)</f>
        <v>3</v>
      </c>
      <c r="G313" s="10">
        <f>COUNTIFS(Connections!$B$6:$B$589,A313,Connections!$D$6:$D$589,"TRUE")+COUNTIFS(Connections!$C$6:$C$589,A313,Connections!$D$6:$D$589,"TRUE")</f>
        <v>0</v>
      </c>
      <c r="H313" s="11" t="s">
        <v>69</v>
      </c>
      <c r="I313" s="11" t="s">
        <v>70</v>
      </c>
      <c r="J313" s="12"/>
      <c r="K313" s="11"/>
      <c r="L313" s="4"/>
      <c r="M313" s="1" t="s">
        <v>215</v>
      </c>
      <c r="N313" s="1">
        <v>236</v>
      </c>
    </row>
    <row r="314" spans="1:14" ht="23.1" customHeight="1">
      <c r="A314" s="1" t="s">
        <v>450</v>
      </c>
      <c r="B314" s="1" t="s">
        <v>450</v>
      </c>
      <c r="C314" s="1" t="s">
        <v>213</v>
      </c>
      <c r="D314" s="3">
        <v>42.733798648098599</v>
      </c>
      <c r="E314" s="3">
        <v>-73.681426106534104</v>
      </c>
      <c r="F314" s="10">
        <f>COUNTIFS(Connections!$B$6:$B$589,A314)+COUNTIFS(Connections!$C$6:$C$589,A314)</f>
        <v>3</v>
      </c>
      <c r="G314" s="10">
        <f>COUNTIFS(Connections!$B$6:$B$589,A314,Connections!$D$6:$D$589,"TRUE")+COUNTIFS(Connections!$C$6:$C$589,A314,Connections!$D$6:$D$589,"TRUE")</f>
        <v>0</v>
      </c>
      <c r="H314" s="11" t="s">
        <v>69</v>
      </c>
      <c r="I314" s="11" t="s">
        <v>70</v>
      </c>
      <c r="J314" s="12"/>
      <c r="K314" s="11"/>
      <c r="L314" s="4"/>
      <c r="M314" s="1" t="s">
        <v>215</v>
      </c>
      <c r="N314" s="1">
        <v>237</v>
      </c>
    </row>
    <row r="315" spans="1:14" ht="23.1" customHeight="1">
      <c r="A315" s="1" t="s">
        <v>451</v>
      </c>
      <c r="B315" s="1" t="s">
        <v>451</v>
      </c>
      <c r="C315" s="1" t="s">
        <v>213</v>
      </c>
      <c r="D315" s="3">
        <v>42.733242283746002</v>
      </c>
      <c r="E315" s="3">
        <v>-73.681558212383194</v>
      </c>
      <c r="F315" s="10">
        <f>COUNTIFS(Connections!$B$6:$B$589,A315)+COUNTIFS(Connections!$C$6:$C$589,A315)</f>
        <v>2</v>
      </c>
      <c r="G315" s="10">
        <f>COUNTIFS(Connections!$B$6:$B$589,A315,Connections!$D$6:$D$589,"TRUE")+COUNTIFS(Connections!$C$6:$C$589,A315,Connections!$D$6:$D$589,"TRUE")</f>
        <v>0</v>
      </c>
      <c r="H315" s="11" t="s">
        <v>69</v>
      </c>
      <c r="I315" s="11" t="s">
        <v>70</v>
      </c>
      <c r="J315" s="12"/>
      <c r="K315" s="11"/>
      <c r="L315" s="4"/>
      <c r="M315" s="1" t="s">
        <v>215</v>
      </c>
      <c r="N315" s="1">
        <v>238</v>
      </c>
    </row>
    <row r="316" spans="1:14" ht="23.1" customHeight="1">
      <c r="A316" s="1" t="s">
        <v>452</v>
      </c>
      <c r="B316" s="1" t="s">
        <v>452</v>
      </c>
      <c r="C316" s="1" t="s">
        <v>213</v>
      </c>
      <c r="D316" s="3">
        <v>42.733936589673597</v>
      </c>
      <c r="E316" s="3">
        <v>-73.682349255840606</v>
      </c>
      <c r="F316" s="10">
        <f>COUNTIFS(Connections!$B$6:$B$589,A316)+COUNTIFS(Connections!$C$6:$C$589,A316)</f>
        <v>3</v>
      </c>
      <c r="G316" s="10">
        <f>COUNTIFS(Connections!$B$6:$B$589,A316,Connections!$D$6:$D$589,"TRUE")+COUNTIFS(Connections!$C$6:$C$589,A316,Connections!$D$6:$D$589,"TRUE")</f>
        <v>0</v>
      </c>
      <c r="H316" s="11" t="s">
        <v>69</v>
      </c>
      <c r="I316" s="11" t="s">
        <v>70</v>
      </c>
      <c r="J316" s="12"/>
      <c r="K316" s="11"/>
      <c r="L316" s="4"/>
      <c r="M316" s="1" t="s">
        <v>215</v>
      </c>
      <c r="N316" s="1">
        <v>239</v>
      </c>
    </row>
    <row r="317" spans="1:14" ht="23.1" customHeight="1">
      <c r="A317" s="1" t="s">
        <v>453</v>
      </c>
      <c r="B317" s="1" t="s">
        <v>453</v>
      </c>
      <c r="C317" s="1" t="s">
        <v>213</v>
      </c>
      <c r="D317" s="3">
        <v>42.733713584127301</v>
      </c>
      <c r="E317" s="3">
        <v>-73.683447485187898</v>
      </c>
      <c r="F317" s="10">
        <f>COUNTIFS(Connections!$B$6:$B$589,A317)+COUNTIFS(Connections!$C$6:$C$589,A317)</f>
        <v>3</v>
      </c>
      <c r="G317" s="10">
        <f>COUNTIFS(Connections!$B$6:$B$589,A317,Connections!$D$6:$D$589,"TRUE")+COUNTIFS(Connections!$C$6:$C$589,A317,Connections!$D$6:$D$589,"TRUE")</f>
        <v>0</v>
      </c>
      <c r="H317" s="11" t="s">
        <v>69</v>
      </c>
      <c r="I317" s="11" t="s">
        <v>70</v>
      </c>
      <c r="J317" s="12"/>
      <c r="K317" s="11"/>
      <c r="L317" s="4"/>
      <c r="M317" s="1" t="s">
        <v>215</v>
      </c>
      <c r="N317" s="1">
        <v>240</v>
      </c>
    </row>
    <row r="318" spans="1:14" ht="23.1" customHeight="1">
      <c r="A318" s="1" t="s">
        <v>454</v>
      </c>
      <c r="B318" s="1" t="s">
        <v>454</v>
      </c>
      <c r="C318" s="1" t="s">
        <v>213</v>
      </c>
      <c r="D318" s="3">
        <v>42.733097445092199</v>
      </c>
      <c r="E318" s="3">
        <v>-73.683614607045101</v>
      </c>
      <c r="F318" s="10">
        <f>COUNTIFS(Connections!$B$6:$B$589,A318)+COUNTIFS(Connections!$C$6:$C$589,A318)</f>
        <v>4</v>
      </c>
      <c r="G318" s="10">
        <f>COUNTIFS(Connections!$B$6:$B$589,A318,Connections!$D$6:$D$589,"TRUE")+COUNTIFS(Connections!$C$6:$C$589,A318,Connections!$D$6:$D$589,"TRUE")</f>
        <v>0</v>
      </c>
      <c r="H318" s="11" t="s">
        <v>69</v>
      </c>
      <c r="I318" s="11" t="s">
        <v>70</v>
      </c>
      <c r="J318" s="12"/>
      <c r="K318" s="11"/>
      <c r="L318" s="4"/>
      <c r="M318" s="1" t="s">
        <v>215</v>
      </c>
      <c r="N318" s="1">
        <v>241</v>
      </c>
    </row>
    <row r="319" spans="1:14" ht="23.1" customHeight="1">
      <c r="A319" s="1" t="s">
        <v>455</v>
      </c>
      <c r="B319" s="1" t="s">
        <v>455</v>
      </c>
      <c r="C319" s="1" t="s">
        <v>213</v>
      </c>
      <c r="D319" s="3">
        <v>42.730889230378502</v>
      </c>
      <c r="E319" s="3">
        <v>-73.684211470820898</v>
      </c>
      <c r="F319" s="10">
        <f>COUNTIFS(Connections!$B$6:$B$589,A319)+COUNTIFS(Connections!$C$6:$C$589,A319)</f>
        <v>3</v>
      </c>
      <c r="G319" s="10">
        <f>COUNTIFS(Connections!$B$6:$B$589,A319,Connections!$D$6:$D$589,"TRUE")+COUNTIFS(Connections!$C$6:$C$589,A319,Connections!$D$6:$D$589,"TRUE")</f>
        <v>0</v>
      </c>
      <c r="H319" s="11" t="s">
        <v>69</v>
      </c>
      <c r="I319" s="11" t="s">
        <v>70</v>
      </c>
      <c r="J319" s="12"/>
      <c r="K319" s="11"/>
      <c r="L319" s="4"/>
      <c r="M319" s="1" t="s">
        <v>215</v>
      </c>
      <c r="N319" s="1">
        <v>242</v>
      </c>
    </row>
    <row r="320" spans="1:14" ht="23.1" customHeight="1">
      <c r="A320" s="1" t="s">
        <v>456</v>
      </c>
      <c r="B320" s="1" t="s">
        <v>456</v>
      </c>
      <c r="C320" s="1" t="s">
        <v>213</v>
      </c>
      <c r="D320" s="3">
        <v>42.730619094794001</v>
      </c>
      <c r="E320" s="3">
        <v>-73.685675776617302</v>
      </c>
      <c r="F320" s="10">
        <f>COUNTIFS(Connections!$B$6:$B$589,A320)+COUNTIFS(Connections!$C$6:$C$589,A320)</f>
        <v>3</v>
      </c>
      <c r="G320" s="10">
        <f>COUNTIFS(Connections!$B$6:$B$589,A320,Connections!$D$6:$D$589,"TRUE")+COUNTIFS(Connections!$C$6:$C$589,A320,Connections!$D$6:$D$589,"TRUE")</f>
        <v>0</v>
      </c>
      <c r="H320" s="11" t="s">
        <v>69</v>
      </c>
      <c r="I320" s="11" t="s">
        <v>70</v>
      </c>
      <c r="J320" s="12"/>
      <c r="K320" s="11"/>
      <c r="L320" s="4"/>
      <c r="M320" s="1" t="s">
        <v>215</v>
      </c>
      <c r="N320" s="1">
        <v>243</v>
      </c>
    </row>
    <row r="321" spans="1:14" ht="23.1" customHeight="1">
      <c r="A321" s="1" t="s">
        <v>457</v>
      </c>
      <c r="B321" s="1" t="s">
        <v>457</v>
      </c>
      <c r="C321" s="1" t="s">
        <v>213</v>
      </c>
      <c r="D321" s="3">
        <v>42.730529432770197</v>
      </c>
      <c r="E321" s="3">
        <v>-73.684338801759694</v>
      </c>
      <c r="F321" s="10">
        <f>COUNTIFS(Connections!$B$6:$B$589,A321)+COUNTIFS(Connections!$C$6:$C$589,A321)</f>
        <v>3</v>
      </c>
      <c r="G321" s="10">
        <f>COUNTIFS(Connections!$B$6:$B$589,A321,Connections!$D$6:$D$589,"TRUE")+COUNTIFS(Connections!$C$6:$C$589,A321,Connections!$D$6:$D$589,"TRUE")</f>
        <v>0</v>
      </c>
      <c r="H321" s="11" t="s">
        <v>69</v>
      </c>
      <c r="I321" s="11" t="s">
        <v>70</v>
      </c>
      <c r="J321" s="12"/>
      <c r="K321" s="11"/>
      <c r="L321" s="4"/>
      <c r="M321" s="1" t="s">
        <v>215</v>
      </c>
      <c r="N321" s="1">
        <v>244</v>
      </c>
    </row>
    <row r="322" spans="1:14" ht="23.1" customHeight="1">
      <c r="A322" s="1" t="s">
        <v>458</v>
      </c>
      <c r="B322" s="1" t="s">
        <v>458</v>
      </c>
      <c r="C322" s="1" t="s">
        <v>213</v>
      </c>
      <c r="D322" s="3">
        <v>42.731334091957898</v>
      </c>
      <c r="E322" s="3">
        <v>-73.6855166129438</v>
      </c>
      <c r="F322" s="10">
        <f>COUNTIFS(Connections!$B$6:$B$589,A322)+COUNTIFS(Connections!$C$6:$C$589,A322)</f>
        <v>3</v>
      </c>
      <c r="G322" s="10">
        <f>COUNTIFS(Connections!$B$6:$B$589,A322,Connections!$D$6:$D$589,"TRUE")+COUNTIFS(Connections!$C$6:$C$589,A322,Connections!$D$6:$D$589,"TRUE")</f>
        <v>0</v>
      </c>
      <c r="H322" s="11" t="s">
        <v>69</v>
      </c>
      <c r="I322" s="11" t="s">
        <v>70</v>
      </c>
      <c r="J322" s="12"/>
      <c r="K322" s="11"/>
      <c r="L322" s="4"/>
      <c r="M322" s="1" t="s">
        <v>215</v>
      </c>
      <c r="N322" s="1">
        <v>245</v>
      </c>
    </row>
    <row r="323" spans="1:14" ht="23.1" customHeight="1">
      <c r="A323" s="1" t="s">
        <v>459</v>
      </c>
      <c r="B323" s="1" t="s">
        <v>459</v>
      </c>
      <c r="C323" s="1" t="s">
        <v>213</v>
      </c>
      <c r="D323" s="3">
        <v>42.731586984845499</v>
      </c>
      <c r="E323" s="3">
        <v>-73.685526162764205</v>
      </c>
      <c r="F323" s="10">
        <f>COUNTIFS(Connections!$B$6:$B$589,A323)+COUNTIFS(Connections!$C$6:$C$589,A323)</f>
        <v>2</v>
      </c>
      <c r="G323" s="10">
        <f>COUNTIFS(Connections!$B$6:$B$589,A323,Connections!$D$6:$D$589,"TRUE")+COUNTIFS(Connections!$C$6:$C$589,A323,Connections!$D$6:$D$589,"TRUE")</f>
        <v>0</v>
      </c>
      <c r="H323" s="11" t="s">
        <v>69</v>
      </c>
      <c r="I323" s="11" t="s">
        <v>70</v>
      </c>
      <c r="J323" s="12"/>
      <c r="K323" s="11"/>
      <c r="L323" s="4"/>
      <c r="M323" s="1" t="s">
        <v>215</v>
      </c>
      <c r="N323" s="1">
        <v>246</v>
      </c>
    </row>
    <row r="324" spans="1:14" ht="23.1" customHeight="1">
      <c r="A324" s="1" t="s">
        <v>460</v>
      </c>
      <c r="B324" s="1" t="s">
        <v>460</v>
      </c>
      <c r="C324" s="1" t="s">
        <v>213</v>
      </c>
      <c r="D324" s="3">
        <v>42.731637563423</v>
      </c>
      <c r="E324" s="3">
        <v>-73.686519344087003</v>
      </c>
      <c r="F324" s="10">
        <f>COUNTIFS(Connections!$B$6:$B$589,A324)+COUNTIFS(Connections!$C$6:$C$589,A324)</f>
        <v>3</v>
      </c>
      <c r="G324" s="10">
        <f>COUNTIFS(Connections!$B$6:$B$589,A324,Connections!$D$6:$D$589,"TRUE")+COUNTIFS(Connections!$C$6:$C$589,A324,Connections!$D$6:$D$589,"TRUE")</f>
        <v>0</v>
      </c>
      <c r="H324" s="11" t="s">
        <v>69</v>
      </c>
      <c r="I324" s="11" t="s">
        <v>70</v>
      </c>
      <c r="J324" s="12"/>
      <c r="K324" s="11"/>
      <c r="L324" s="4"/>
      <c r="M324" s="1" t="s">
        <v>215</v>
      </c>
      <c r="N324" s="1">
        <v>247</v>
      </c>
    </row>
    <row r="325" spans="1:14" ht="23.1" customHeight="1">
      <c r="A325" s="1" t="s">
        <v>461</v>
      </c>
      <c r="B325" s="1" t="s">
        <v>461</v>
      </c>
      <c r="C325" s="1" t="s">
        <v>213</v>
      </c>
      <c r="D325" s="3">
        <v>42.731621470239297</v>
      </c>
      <c r="E325" s="3">
        <v>-73.686208974923602</v>
      </c>
      <c r="F325" s="10">
        <f>COUNTIFS(Connections!$B$6:$B$589,A325)+COUNTIFS(Connections!$C$6:$C$589,A325)</f>
        <v>3</v>
      </c>
      <c r="G325" s="10">
        <f>COUNTIFS(Connections!$B$6:$B$589,A325,Connections!$D$6:$D$589,"TRUE")+COUNTIFS(Connections!$C$6:$C$589,A325,Connections!$D$6:$D$589,"TRUE")</f>
        <v>0</v>
      </c>
      <c r="H325" s="11" t="s">
        <v>69</v>
      </c>
      <c r="I325" s="11" t="s">
        <v>70</v>
      </c>
      <c r="J325" s="12"/>
      <c r="K325" s="11"/>
      <c r="L325" s="4"/>
      <c r="M325" s="1" t="s">
        <v>215</v>
      </c>
      <c r="N325" s="1">
        <v>248</v>
      </c>
    </row>
    <row r="326" spans="1:14" ht="23.1" customHeight="1">
      <c r="A326" s="1" t="s">
        <v>462</v>
      </c>
      <c r="B326" s="1" t="s">
        <v>462</v>
      </c>
      <c r="C326" s="1" t="s">
        <v>213</v>
      </c>
      <c r="D326" s="3">
        <v>42.730644384082801</v>
      </c>
      <c r="E326" s="3">
        <v>-73.686407929515497</v>
      </c>
      <c r="F326" s="10">
        <f>COUNTIFS(Connections!$B$6:$B$589,A326)+COUNTIFS(Connections!$C$6:$C$589,A326)</f>
        <v>2</v>
      </c>
      <c r="G326" s="10">
        <f>COUNTIFS(Connections!$B$6:$B$589,A326,Connections!$D$6:$D$589,"TRUE")+COUNTIFS(Connections!$C$6:$C$589,A326,Connections!$D$6:$D$589,"TRUE")</f>
        <v>0</v>
      </c>
      <c r="H326" s="11" t="s">
        <v>69</v>
      </c>
      <c r="I326" s="11" t="s">
        <v>70</v>
      </c>
      <c r="J326" s="12"/>
      <c r="K326" s="11"/>
      <c r="L326" s="4"/>
      <c r="M326" s="1" t="s">
        <v>215</v>
      </c>
      <c r="N326" s="1">
        <v>249</v>
      </c>
    </row>
    <row r="327" spans="1:14" ht="23.1" customHeight="1">
      <c r="A327" s="1" t="s">
        <v>463</v>
      </c>
      <c r="B327" s="1" t="s">
        <v>463</v>
      </c>
      <c r="C327" s="1" t="s">
        <v>213</v>
      </c>
      <c r="D327" s="3">
        <v>42.733633118208601</v>
      </c>
      <c r="E327" s="3">
        <v>-73.685930438494907</v>
      </c>
      <c r="F327" s="10">
        <f>COUNTIFS(Connections!$B$6:$B$589,A327)+COUNTIFS(Connections!$C$6:$C$589,A327)</f>
        <v>2</v>
      </c>
      <c r="G327" s="10">
        <f>COUNTIFS(Connections!$B$6:$B$589,A327,Connections!$D$6:$D$589,"TRUE")+COUNTIFS(Connections!$C$6:$C$589,A327,Connections!$D$6:$D$589,"TRUE")</f>
        <v>0</v>
      </c>
      <c r="H327" s="11" t="s">
        <v>69</v>
      </c>
      <c r="I327" s="11" t="s">
        <v>70</v>
      </c>
      <c r="J327" s="12"/>
      <c r="K327" s="11"/>
      <c r="L327" s="4"/>
      <c r="M327" s="1" t="s">
        <v>215</v>
      </c>
      <c r="N327" s="1">
        <v>250</v>
      </c>
    </row>
    <row r="328" spans="1:14" ht="23.1" customHeight="1">
      <c r="A328" s="1" t="s">
        <v>464</v>
      </c>
      <c r="B328" s="1" t="s">
        <v>464</v>
      </c>
      <c r="C328" s="1" t="s">
        <v>213</v>
      </c>
      <c r="D328" s="3">
        <v>42.733437700977298</v>
      </c>
      <c r="E328" s="3">
        <v>-73.684905424437403</v>
      </c>
      <c r="F328" s="10">
        <f>COUNTIFS(Connections!$B$6:$B$589,A328)+COUNTIFS(Connections!$C$6:$C$589,A328)</f>
        <v>3</v>
      </c>
      <c r="G328" s="10">
        <f>COUNTIFS(Connections!$B$6:$B$589,A328,Connections!$D$6:$D$589,"TRUE")+COUNTIFS(Connections!$C$6:$C$589,A328,Connections!$D$6:$D$589,"TRUE")</f>
        <v>0</v>
      </c>
      <c r="H328" s="11" t="s">
        <v>69</v>
      </c>
      <c r="I328" s="11" t="s">
        <v>70</v>
      </c>
      <c r="J328" s="12"/>
      <c r="K328" s="11"/>
      <c r="L328" s="4"/>
      <c r="M328" s="1" t="s">
        <v>215</v>
      </c>
      <c r="N328" s="1">
        <v>251</v>
      </c>
    </row>
    <row r="329" spans="1:14" ht="23.1" customHeight="1">
      <c r="A329" s="1" t="s">
        <v>465</v>
      </c>
      <c r="B329" s="1" t="s">
        <v>465</v>
      </c>
      <c r="C329" s="1" t="s">
        <v>213</v>
      </c>
      <c r="D329" s="3">
        <v>42.728345357832197</v>
      </c>
      <c r="E329" s="3">
        <v>-73.687203747883103</v>
      </c>
      <c r="F329" s="10">
        <f>COUNTIFS(Connections!$B$6:$B$589,A329)+COUNTIFS(Connections!$C$6:$C$589,A329)</f>
        <v>2</v>
      </c>
      <c r="G329" s="10">
        <f>COUNTIFS(Connections!$B$6:$B$589,A329,Connections!$D$6:$D$589,"TRUE")+COUNTIFS(Connections!$C$6:$C$589,A329,Connections!$D$6:$D$589,"TRUE")</f>
        <v>0</v>
      </c>
      <c r="H329" s="11" t="s">
        <v>69</v>
      </c>
      <c r="I329" s="11" t="s">
        <v>70</v>
      </c>
      <c r="J329" s="12"/>
      <c r="K329" s="11"/>
      <c r="L329" s="4"/>
      <c r="M329" s="1" t="s">
        <v>215</v>
      </c>
      <c r="N329" s="1">
        <v>252</v>
      </c>
    </row>
    <row r="330" spans="1:14" ht="23.1" customHeight="1">
      <c r="A330" s="1" t="s">
        <v>466</v>
      </c>
      <c r="B330" s="1" t="s">
        <v>466</v>
      </c>
      <c r="C330" s="1" t="s">
        <v>213</v>
      </c>
      <c r="D330" s="3">
        <v>42.729448890432401</v>
      </c>
      <c r="E330" s="3">
        <v>-73.686127801450098</v>
      </c>
      <c r="F330" s="10">
        <f>COUNTIFS(Connections!$B$6:$B$589,A330)+COUNTIFS(Connections!$C$6:$C$589,A330)</f>
        <v>1</v>
      </c>
      <c r="G330" s="10">
        <f>COUNTIFS(Connections!$B$6:$B$589,A330,Connections!$D$6:$D$589,"TRUE")+COUNTIFS(Connections!$C$6:$C$589,A330,Connections!$D$6:$D$589,"TRUE")</f>
        <v>0</v>
      </c>
      <c r="H330" s="11" t="s">
        <v>69</v>
      </c>
      <c r="I330" s="11" t="s">
        <v>70</v>
      </c>
      <c r="J330" s="12"/>
      <c r="K330" s="11"/>
      <c r="L330" s="4"/>
      <c r="M330" s="1" t="s">
        <v>215</v>
      </c>
      <c r="N330" s="1">
        <v>253</v>
      </c>
    </row>
    <row r="331" spans="1:14" ht="23.1" customHeight="1">
      <c r="A331" s="1" t="s">
        <v>467</v>
      </c>
      <c r="B331" s="1" t="s">
        <v>467</v>
      </c>
      <c r="C331" s="1" t="s">
        <v>213</v>
      </c>
      <c r="D331" s="3">
        <v>42.729563841744998</v>
      </c>
      <c r="E331" s="3">
        <v>-73.686955452552496</v>
      </c>
      <c r="F331" s="10">
        <f>COUNTIFS(Connections!$B$6:$B$589,A331)+COUNTIFS(Connections!$C$6:$C$589,A331)</f>
        <v>3</v>
      </c>
      <c r="G331" s="10">
        <f>COUNTIFS(Connections!$B$6:$B$589,A331,Connections!$D$6:$D$589,"TRUE")+COUNTIFS(Connections!$C$6:$C$589,A331,Connections!$D$6:$D$589,"TRUE")</f>
        <v>0</v>
      </c>
      <c r="H331" s="11" t="s">
        <v>69</v>
      </c>
      <c r="I331" s="11" t="s">
        <v>70</v>
      </c>
      <c r="J331" s="12"/>
      <c r="K331" s="11"/>
      <c r="L331" s="4"/>
      <c r="M331" s="1" t="s">
        <v>215</v>
      </c>
      <c r="N331" s="1">
        <v>254</v>
      </c>
    </row>
    <row r="332" spans="1:14" ht="23.1" customHeight="1">
      <c r="A332" s="1" t="s">
        <v>468</v>
      </c>
      <c r="B332" s="1" t="s">
        <v>468</v>
      </c>
      <c r="C332" s="1" t="s">
        <v>213</v>
      </c>
      <c r="D332" s="3">
        <v>42.728115455207103</v>
      </c>
      <c r="E332" s="3">
        <v>-73.686567093188998</v>
      </c>
      <c r="F332" s="10">
        <f>COUNTIFS(Connections!$B$6:$B$589,A332)+COUNTIFS(Connections!$C$6:$C$589,A332)</f>
        <v>2</v>
      </c>
      <c r="G332" s="10">
        <f>COUNTIFS(Connections!$B$6:$B$589,A332,Connections!$D$6:$D$589,"TRUE")+COUNTIFS(Connections!$C$6:$C$589,A332,Connections!$D$6:$D$589,"TRUE")</f>
        <v>0</v>
      </c>
      <c r="H332" s="11" t="s">
        <v>69</v>
      </c>
      <c r="I332" s="11" t="s">
        <v>70</v>
      </c>
      <c r="J332" s="12"/>
      <c r="K332" s="11"/>
      <c r="L332" s="4"/>
      <c r="M332" s="1" t="s">
        <v>215</v>
      </c>
      <c r="N332" s="1">
        <v>255</v>
      </c>
    </row>
    <row r="333" spans="1:14" ht="23.1" customHeight="1">
      <c r="A333" s="1" t="s">
        <v>469</v>
      </c>
      <c r="B333" s="1" t="s">
        <v>469</v>
      </c>
      <c r="C333" s="1" t="s">
        <v>213</v>
      </c>
      <c r="D333" s="3">
        <v>42.727471727856901</v>
      </c>
      <c r="E333" s="3">
        <v>-73.685166452862006</v>
      </c>
      <c r="F333" s="10">
        <f>COUNTIFS(Connections!$B$6:$B$589,A333)+COUNTIFS(Connections!$C$6:$C$589,A333)</f>
        <v>2</v>
      </c>
      <c r="G333" s="10">
        <f>COUNTIFS(Connections!$B$6:$B$589,A333,Connections!$D$6:$D$589,"TRUE")+COUNTIFS(Connections!$C$6:$C$589,A333,Connections!$D$6:$D$589,"TRUE")</f>
        <v>0</v>
      </c>
      <c r="H333" s="11" t="s">
        <v>69</v>
      </c>
      <c r="I333" s="11" t="s">
        <v>70</v>
      </c>
      <c r="J333" s="12"/>
      <c r="K333" s="11"/>
      <c r="L333" s="4"/>
      <c r="M333" s="1" t="s">
        <v>215</v>
      </c>
      <c r="N333" s="1">
        <v>256</v>
      </c>
    </row>
    <row r="334" spans="1:14" ht="23.1" customHeight="1">
      <c r="A334" s="1" t="s">
        <v>470</v>
      </c>
      <c r="B334" s="1" t="s">
        <v>470</v>
      </c>
      <c r="C334" s="1" t="s">
        <v>213</v>
      </c>
      <c r="D334" s="3">
        <v>42.727805086663302</v>
      </c>
      <c r="E334" s="3">
        <v>-73.686057769433802</v>
      </c>
      <c r="F334" s="10">
        <f>COUNTIFS(Connections!$B$6:$B$589,A334)+COUNTIFS(Connections!$C$6:$C$589,A334)</f>
        <v>2</v>
      </c>
      <c r="G334" s="10">
        <f>COUNTIFS(Connections!$B$6:$B$589,A334,Connections!$D$6:$D$589,"TRUE")+COUNTIFS(Connections!$C$6:$C$589,A334,Connections!$D$6:$D$589,"TRUE")</f>
        <v>0</v>
      </c>
      <c r="H334" s="11" t="s">
        <v>69</v>
      </c>
      <c r="I334" s="11" t="s">
        <v>70</v>
      </c>
      <c r="J334" s="12"/>
      <c r="K334" s="11"/>
      <c r="L334" s="4"/>
      <c r="M334" s="1" t="s">
        <v>215</v>
      </c>
      <c r="N334" s="1">
        <v>257</v>
      </c>
    </row>
    <row r="335" spans="1:14" ht="23.1" customHeight="1">
      <c r="A335" s="1" t="s">
        <v>471</v>
      </c>
      <c r="B335" s="1" t="s">
        <v>471</v>
      </c>
      <c r="C335" s="1" t="s">
        <v>213</v>
      </c>
      <c r="D335" s="3">
        <v>42.733288264271003</v>
      </c>
      <c r="E335" s="3">
        <v>-73.678497494941297</v>
      </c>
      <c r="F335" s="10">
        <f>COUNTIFS(Connections!$B$6:$B$589,A335)+COUNTIFS(Connections!$C$6:$C$589,A335)</f>
        <v>3</v>
      </c>
      <c r="G335" s="10">
        <f>COUNTIFS(Connections!$B$6:$B$589,A335,Connections!$D$6:$D$589,"TRUE")+COUNTIFS(Connections!$C$6:$C$589,A335,Connections!$D$6:$D$589,"TRUE")</f>
        <v>0</v>
      </c>
      <c r="H335" s="11" t="s">
        <v>69</v>
      </c>
      <c r="I335" s="11" t="s">
        <v>70</v>
      </c>
      <c r="J335" s="12"/>
      <c r="K335" s="11"/>
      <c r="L335" s="4"/>
      <c r="M335" s="1" t="s">
        <v>215</v>
      </c>
      <c r="N335" s="1">
        <v>258</v>
      </c>
    </row>
    <row r="336" spans="1:14" ht="23.1" customHeight="1">
      <c r="A336" s="1" t="s">
        <v>472</v>
      </c>
      <c r="B336" s="1" t="s">
        <v>472</v>
      </c>
      <c r="C336" s="1" t="s">
        <v>213</v>
      </c>
      <c r="D336" s="3">
        <v>42.732784777522099</v>
      </c>
      <c r="E336" s="3">
        <v>-73.678631192427005</v>
      </c>
      <c r="F336" s="10">
        <f>COUNTIFS(Connections!$B$6:$B$589,A336)+COUNTIFS(Connections!$C$6:$C$589,A336)</f>
        <v>3</v>
      </c>
      <c r="G336" s="10">
        <f>COUNTIFS(Connections!$B$6:$B$589,A336,Connections!$D$6:$D$589,"TRUE")+COUNTIFS(Connections!$C$6:$C$589,A336,Connections!$D$6:$D$589,"TRUE")</f>
        <v>0</v>
      </c>
      <c r="H336" s="11" t="s">
        <v>69</v>
      </c>
      <c r="I336" s="11" t="s">
        <v>70</v>
      </c>
      <c r="J336" s="12"/>
      <c r="K336" s="11"/>
      <c r="L336" s="4"/>
      <c r="M336" s="1" t="s">
        <v>215</v>
      </c>
      <c r="N336" s="1">
        <v>259</v>
      </c>
    </row>
    <row r="337" spans="1:14" ht="23.1" customHeight="1">
      <c r="A337" s="1" t="s">
        <v>473</v>
      </c>
      <c r="B337" s="1" t="s">
        <v>473</v>
      </c>
      <c r="C337" s="1" t="s">
        <v>213</v>
      </c>
      <c r="D337" s="3">
        <v>42.732843402691501</v>
      </c>
      <c r="E337" s="3">
        <v>-73.679049792888407</v>
      </c>
      <c r="F337" s="10">
        <f>COUNTIFS(Connections!$B$6:$B$589,A337)+COUNTIFS(Connections!$C$6:$C$589,A337)</f>
        <v>2</v>
      </c>
      <c r="G337" s="10">
        <f>COUNTIFS(Connections!$B$6:$B$589,A337,Connections!$D$6:$D$589,"TRUE")+COUNTIFS(Connections!$C$6:$C$589,A337,Connections!$D$6:$D$589,"TRUE")</f>
        <v>0</v>
      </c>
      <c r="H337" s="11" t="s">
        <v>69</v>
      </c>
      <c r="I337" s="11" t="s">
        <v>70</v>
      </c>
      <c r="J337" s="12"/>
      <c r="K337" s="11"/>
      <c r="L337" s="4"/>
      <c r="M337" s="1" t="s">
        <v>215</v>
      </c>
      <c r="N337" s="1">
        <v>260</v>
      </c>
    </row>
    <row r="338" spans="1:14" ht="23.1" customHeight="1">
      <c r="A338" s="1" t="s">
        <v>474</v>
      </c>
      <c r="B338" s="1" t="s">
        <v>474</v>
      </c>
      <c r="C338" s="1" t="s">
        <v>213</v>
      </c>
      <c r="D338" s="3">
        <v>42.733006633555298</v>
      </c>
      <c r="E338" s="3">
        <v>-73.679433377341596</v>
      </c>
      <c r="F338" s="10">
        <f>COUNTIFS(Connections!$B$6:$B$589,A338)+COUNTIFS(Connections!$C$6:$C$589,A338)</f>
        <v>3</v>
      </c>
      <c r="G338" s="10">
        <f>COUNTIFS(Connections!$B$6:$B$589,A338,Connections!$D$6:$D$589,"TRUE")+COUNTIFS(Connections!$C$6:$C$589,A338,Connections!$D$6:$D$589,"TRUE")</f>
        <v>0</v>
      </c>
      <c r="H338" s="11" t="s">
        <v>69</v>
      </c>
      <c r="I338" s="11" t="s">
        <v>70</v>
      </c>
      <c r="J338" s="12"/>
      <c r="K338" s="11"/>
      <c r="L338" s="4"/>
      <c r="M338" s="1" t="s">
        <v>215</v>
      </c>
      <c r="N338" s="1">
        <v>261</v>
      </c>
    </row>
    <row r="339" spans="1:14" ht="23.1" customHeight="1">
      <c r="A339" s="1" t="s">
        <v>475</v>
      </c>
      <c r="B339" s="1" t="s">
        <v>475</v>
      </c>
      <c r="C339" s="1" t="s">
        <v>213</v>
      </c>
      <c r="D339" s="3">
        <v>42.732770983364603</v>
      </c>
      <c r="E339" s="3">
        <v>-73.679317187859894</v>
      </c>
      <c r="F339" s="10">
        <f>COUNTIFS(Connections!$B$6:$B$589,A339)+COUNTIFS(Connections!$C$6:$C$589,A339)</f>
        <v>2</v>
      </c>
      <c r="G339" s="10">
        <f>COUNTIFS(Connections!$B$6:$B$589,A339,Connections!$D$6:$D$589,"TRUE")+COUNTIFS(Connections!$C$6:$C$589,A339,Connections!$D$6:$D$589,"TRUE")</f>
        <v>0</v>
      </c>
      <c r="H339" s="11" t="s">
        <v>69</v>
      </c>
      <c r="I339" s="11" t="s">
        <v>70</v>
      </c>
      <c r="J339" s="12"/>
      <c r="K339" s="11"/>
      <c r="L339" s="4"/>
      <c r="M339" s="1" t="s">
        <v>215</v>
      </c>
      <c r="N339" s="1">
        <v>262</v>
      </c>
    </row>
    <row r="340" spans="1:14" ht="23.1" customHeight="1">
      <c r="A340" s="1" t="s">
        <v>476</v>
      </c>
      <c r="B340" s="1" t="s">
        <v>476</v>
      </c>
      <c r="C340" s="1" t="s">
        <v>213</v>
      </c>
      <c r="D340" s="3">
        <v>42.732577865159499</v>
      </c>
      <c r="E340" s="3">
        <v>-73.678968619414903</v>
      </c>
      <c r="F340" s="10">
        <f>COUNTIFS(Connections!$B$6:$B$589,A340)+COUNTIFS(Connections!$C$6:$C$589,A340)</f>
        <v>3</v>
      </c>
      <c r="G340" s="10">
        <f>COUNTIFS(Connections!$B$6:$B$589,A340,Connections!$D$6:$D$589,"TRUE")+COUNTIFS(Connections!$C$6:$C$589,A340,Connections!$D$6:$D$589,"TRUE")</f>
        <v>0</v>
      </c>
      <c r="H340" s="11" t="s">
        <v>69</v>
      </c>
      <c r="I340" s="11" t="s">
        <v>70</v>
      </c>
      <c r="J340" s="12"/>
      <c r="K340" s="11"/>
      <c r="L340" s="4"/>
      <c r="M340" s="1" t="s">
        <v>215</v>
      </c>
      <c r="N340" s="1">
        <v>263</v>
      </c>
    </row>
    <row r="341" spans="1:14" ht="23.1" customHeight="1">
      <c r="A341" s="1" t="s">
        <v>477</v>
      </c>
      <c r="B341" s="1" t="s">
        <v>477</v>
      </c>
      <c r="C341" s="1" t="s">
        <v>213</v>
      </c>
      <c r="D341" s="3">
        <v>42.732828459020801</v>
      </c>
      <c r="E341" s="3">
        <v>-73.678927236859806</v>
      </c>
      <c r="F341" s="10">
        <f>COUNTIFS(Connections!$B$6:$B$589,A341)+COUNTIFS(Connections!$C$6:$C$589,A341)</f>
        <v>4</v>
      </c>
      <c r="G341" s="10">
        <f>COUNTIFS(Connections!$B$6:$B$589,A341,Connections!$D$6:$D$589,"TRUE")+COUNTIFS(Connections!$C$6:$C$589,A341,Connections!$D$6:$D$589,"TRUE")</f>
        <v>0</v>
      </c>
      <c r="H341" s="11" t="s">
        <v>69</v>
      </c>
      <c r="I341" s="11" t="s">
        <v>70</v>
      </c>
      <c r="J341" s="12"/>
      <c r="K341" s="11"/>
      <c r="L341" s="4"/>
      <c r="M341" s="1" t="s">
        <v>215</v>
      </c>
      <c r="N341" s="1">
        <v>264</v>
      </c>
    </row>
    <row r="342" spans="1:14" ht="23.1" customHeight="1">
      <c r="A342" s="1" t="s">
        <v>478</v>
      </c>
      <c r="B342" s="1" t="s">
        <v>478</v>
      </c>
      <c r="C342" s="1" t="s">
        <v>213</v>
      </c>
      <c r="D342" s="3">
        <v>42.733345739927202</v>
      </c>
      <c r="E342" s="3">
        <v>-73.6788158222883</v>
      </c>
      <c r="F342" s="10">
        <f>COUNTIFS(Connections!$B$6:$B$589,A342)+COUNTIFS(Connections!$C$6:$C$589,A342)</f>
        <v>3</v>
      </c>
      <c r="G342" s="10">
        <f>COUNTIFS(Connections!$B$6:$B$589,A342,Connections!$D$6:$D$589,"TRUE")+COUNTIFS(Connections!$C$6:$C$589,A342,Connections!$D$6:$D$589,"TRUE")</f>
        <v>0</v>
      </c>
      <c r="H342" s="11" t="s">
        <v>69</v>
      </c>
      <c r="I342" s="11" t="s">
        <v>70</v>
      </c>
      <c r="J342" s="12"/>
      <c r="K342" s="11"/>
      <c r="L342" s="4"/>
      <c r="M342" s="1" t="s">
        <v>215</v>
      </c>
      <c r="N342" s="1">
        <v>265</v>
      </c>
    </row>
    <row r="343" spans="1:14" ht="23.1" customHeight="1">
      <c r="A343" s="1" t="s">
        <v>479</v>
      </c>
      <c r="B343" s="1" t="s">
        <v>479</v>
      </c>
      <c r="C343" s="1" t="s">
        <v>213</v>
      </c>
      <c r="D343" s="3">
        <v>42.733111239249702</v>
      </c>
      <c r="E343" s="3">
        <v>-73.679762846145806</v>
      </c>
      <c r="F343" s="10">
        <f>COUNTIFS(Connections!$B$6:$B$589,A343)+COUNTIFS(Connections!$C$6:$C$589,A343)</f>
        <v>3</v>
      </c>
      <c r="G343" s="10">
        <f>COUNTIFS(Connections!$B$6:$B$589,A343,Connections!$D$6:$D$589,"TRUE")+COUNTIFS(Connections!$C$6:$C$589,A343,Connections!$D$6:$D$589,"TRUE")</f>
        <v>0</v>
      </c>
      <c r="H343" s="11" t="s">
        <v>69</v>
      </c>
      <c r="I343" s="11" t="s">
        <v>70</v>
      </c>
      <c r="J343" s="12"/>
      <c r="K343" s="11"/>
      <c r="L343" s="4"/>
      <c r="M343" s="1" t="s">
        <v>215</v>
      </c>
      <c r="N343" s="1">
        <v>266</v>
      </c>
    </row>
    <row r="344" spans="1:14" ht="23.1" customHeight="1">
      <c r="A344" s="1" t="s">
        <v>480</v>
      </c>
      <c r="B344" s="1" t="s">
        <v>480</v>
      </c>
      <c r="C344" s="1" t="s">
        <v>213</v>
      </c>
      <c r="D344" s="3">
        <v>42.7324951002145</v>
      </c>
      <c r="E344" s="3">
        <v>-73.678704407716793</v>
      </c>
      <c r="F344" s="10">
        <f>COUNTIFS(Connections!$B$6:$B$589,A344)+COUNTIFS(Connections!$C$6:$C$589,A344)</f>
        <v>3</v>
      </c>
      <c r="G344" s="10">
        <f>COUNTIFS(Connections!$B$6:$B$589,A344,Connections!$D$6:$D$589,"TRUE")+COUNTIFS(Connections!$C$6:$C$589,A344,Connections!$D$6:$D$589,"TRUE")</f>
        <v>0</v>
      </c>
      <c r="H344" s="11" t="s">
        <v>69</v>
      </c>
      <c r="I344" s="11" t="s">
        <v>70</v>
      </c>
      <c r="J344" s="12"/>
      <c r="K344" s="11"/>
      <c r="L344" s="4"/>
      <c r="M344" s="1" t="s">
        <v>215</v>
      </c>
      <c r="N344" s="1">
        <v>267</v>
      </c>
    </row>
    <row r="345" spans="1:14" ht="23.1" customHeight="1">
      <c r="A345" s="1" t="s">
        <v>481</v>
      </c>
      <c r="B345" s="1" t="s">
        <v>481</v>
      </c>
      <c r="C345" s="1" t="s">
        <v>213</v>
      </c>
      <c r="D345" s="3">
        <v>42.7324192323482</v>
      </c>
      <c r="E345" s="3">
        <v>-73.677733509308297</v>
      </c>
      <c r="F345" s="10">
        <f>COUNTIFS(Connections!$B$6:$B$589,A345)+COUNTIFS(Connections!$C$6:$C$589,A345)</f>
        <v>2</v>
      </c>
      <c r="G345" s="10">
        <f>COUNTIFS(Connections!$B$6:$B$589,A345,Connections!$D$6:$D$589,"TRUE")+COUNTIFS(Connections!$C$6:$C$589,A345,Connections!$D$6:$D$589,"TRUE")</f>
        <v>0</v>
      </c>
      <c r="H345" s="11" t="s">
        <v>69</v>
      </c>
      <c r="I345" s="11" t="s">
        <v>70</v>
      </c>
      <c r="J345" s="12"/>
      <c r="K345" s="11"/>
      <c r="L345" s="4"/>
      <c r="M345" s="1" t="s">
        <v>215</v>
      </c>
      <c r="N345" s="1">
        <v>268</v>
      </c>
    </row>
    <row r="346" spans="1:14" ht="23.1" customHeight="1">
      <c r="A346" s="1" t="s">
        <v>482</v>
      </c>
      <c r="B346" s="1" t="s">
        <v>482</v>
      </c>
      <c r="C346" s="1" t="s">
        <v>213</v>
      </c>
      <c r="D346" s="3">
        <v>42.732874439545903</v>
      </c>
      <c r="E346" s="3">
        <v>-73.677644377651205</v>
      </c>
      <c r="F346" s="10">
        <f>COUNTIFS(Connections!$B$6:$B$589,A346)+COUNTIFS(Connections!$C$6:$C$589,A346)</f>
        <v>3</v>
      </c>
      <c r="G346" s="10">
        <f>COUNTIFS(Connections!$B$6:$B$589,A346,Connections!$D$6:$D$589,"TRUE")+COUNTIFS(Connections!$C$6:$C$589,A346,Connections!$D$6:$D$589,"TRUE")</f>
        <v>0</v>
      </c>
      <c r="H346" s="11" t="s">
        <v>69</v>
      </c>
      <c r="I346" s="11" t="s">
        <v>70</v>
      </c>
      <c r="J346" s="12"/>
      <c r="K346" s="11"/>
      <c r="L346" s="4"/>
      <c r="M346" s="1" t="s">
        <v>215</v>
      </c>
      <c r="N346" s="1">
        <v>269</v>
      </c>
    </row>
    <row r="347" spans="1:14" ht="23.1" customHeight="1">
      <c r="A347" s="1" t="s">
        <v>483</v>
      </c>
      <c r="B347" s="1" t="s">
        <v>483</v>
      </c>
      <c r="C347" s="1" t="s">
        <v>213</v>
      </c>
      <c r="D347" s="3">
        <v>42.733160668314099</v>
      </c>
      <c r="E347" s="3">
        <v>-73.677539329626597</v>
      </c>
      <c r="F347" s="10">
        <f>COUNTIFS(Connections!$B$6:$B$589,A347)+COUNTIFS(Connections!$C$6:$C$589,A347)</f>
        <v>3</v>
      </c>
      <c r="G347" s="10">
        <f>COUNTIFS(Connections!$B$6:$B$589,A347,Connections!$D$6:$D$589,"TRUE")+COUNTIFS(Connections!$C$6:$C$589,A347,Connections!$D$6:$D$589,"TRUE")</f>
        <v>0</v>
      </c>
      <c r="H347" s="11" t="s">
        <v>69</v>
      </c>
      <c r="I347" s="11" t="s">
        <v>70</v>
      </c>
      <c r="J347" s="12"/>
      <c r="K347" s="11"/>
      <c r="L347" s="4"/>
      <c r="M347" s="1" t="s">
        <v>215</v>
      </c>
      <c r="N347" s="1">
        <v>270</v>
      </c>
    </row>
    <row r="348" spans="1:14" ht="23.1" customHeight="1">
      <c r="A348" s="1" t="s">
        <v>484</v>
      </c>
      <c r="B348" s="1" t="s">
        <v>484</v>
      </c>
      <c r="C348" s="1" t="s">
        <v>213</v>
      </c>
      <c r="D348" s="3">
        <v>42.731966324176902</v>
      </c>
      <c r="E348" s="3">
        <v>-73.678831738655703</v>
      </c>
      <c r="F348" s="10">
        <f>COUNTIFS(Connections!$B$6:$B$589,A348)+COUNTIFS(Connections!$C$6:$C$589,A348)</f>
        <v>2</v>
      </c>
      <c r="G348" s="10">
        <f>COUNTIFS(Connections!$B$6:$B$589,A348,Connections!$D$6:$D$589,"TRUE")+COUNTIFS(Connections!$C$6:$C$589,A348,Connections!$D$6:$D$589,"TRUE")</f>
        <v>0</v>
      </c>
      <c r="H348" s="11" t="s">
        <v>69</v>
      </c>
      <c r="I348" s="11" t="s">
        <v>70</v>
      </c>
      <c r="J348" s="12"/>
      <c r="K348" s="11"/>
      <c r="L348" s="4"/>
      <c r="M348" s="1" t="s">
        <v>215</v>
      </c>
      <c r="N348" s="1">
        <v>271</v>
      </c>
    </row>
    <row r="349" spans="1:14" ht="23.1" customHeight="1">
      <c r="A349" s="1" t="s">
        <v>485</v>
      </c>
      <c r="B349" s="1" t="s">
        <v>485</v>
      </c>
      <c r="C349" s="1" t="s">
        <v>213</v>
      </c>
      <c r="D349" s="3">
        <v>42.7318697650743</v>
      </c>
      <c r="E349" s="3">
        <v>-73.679844019619296</v>
      </c>
      <c r="F349" s="10">
        <f>COUNTIFS(Connections!$B$6:$B$589,A349)+COUNTIFS(Connections!$C$6:$C$589,A349)</f>
        <v>2</v>
      </c>
      <c r="G349" s="10">
        <f>COUNTIFS(Connections!$B$6:$B$589,A349,Connections!$D$6:$D$589,"TRUE")+COUNTIFS(Connections!$C$6:$C$589,A349,Connections!$D$6:$D$589,"TRUE")</f>
        <v>0</v>
      </c>
      <c r="H349" s="11" t="s">
        <v>69</v>
      </c>
      <c r="I349" s="11" t="s">
        <v>70</v>
      </c>
      <c r="J349" s="12"/>
      <c r="K349" s="11"/>
      <c r="L349" s="4"/>
      <c r="M349" s="1" t="s">
        <v>215</v>
      </c>
      <c r="N349" s="1">
        <v>272</v>
      </c>
    </row>
    <row r="350" spans="1:14" ht="23.1" customHeight="1">
      <c r="A350" s="1" t="s">
        <v>486</v>
      </c>
      <c r="B350" s="1" t="s">
        <v>486</v>
      </c>
      <c r="C350" s="1" t="s">
        <v>213</v>
      </c>
      <c r="D350" s="3">
        <v>42.7317938972081</v>
      </c>
      <c r="E350" s="3">
        <v>-73.680773535472696</v>
      </c>
      <c r="F350" s="10">
        <f>COUNTIFS(Connections!$B$6:$B$589,A350)+COUNTIFS(Connections!$C$6:$C$589,A350)</f>
        <v>2</v>
      </c>
      <c r="G350" s="10">
        <f>COUNTIFS(Connections!$B$6:$B$589,A350,Connections!$D$6:$D$589,"TRUE")+COUNTIFS(Connections!$C$6:$C$589,A350,Connections!$D$6:$D$589,"TRUE")</f>
        <v>0</v>
      </c>
      <c r="H350" s="11" t="s">
        <v>69</v>
      </c>
      <c r="I350" s="11" t="s">
        <v>70</v>
      </c>
      <c r="J350" s="12"/>
      <c r="K350" s="11"/>
      <c r="L350" s="4"/>
      <c r="M350" s="1" t="s">
        <v>215</v>
      </c>
      <c r="N350" s="1">
        <v>273</v>
      </c>
    </row>
    <row r="351" spans="1:14" ht="23.1" customHeight="1">
      <c r="A351" s="1" t="s">
        <v>487</v>
      </c>
      <c r="B351" s="1" t="s">
        <v>487</v>
      </c>
      <c r="C351" s="1" t="s">
        <v>213</v>
      </c>
      <c r="D351" s="3">
        <v>42.730644384082801</v>
      </c>
      <c r="E351" s="3">
        <v>-73.672083198898093</v>
      </c>
      <c r="F351" s="10">
        <f>COUNTIFS(Connections!$B$6:$B$589,A351)+COUNTIFS(Connections!$C$6:$C$589,A351)</f>
        <v>3</v>
      </c>
      <c r="G351" s="10">
        <f>COUNTIFS(Connections!$B$6:$B$589,A351,Connections!$D$6:$D$589,"TRUE")+COUNTIFS(Connections!$C$6:$C$589,A351,Connections!$D$6:$D$589,"TRUE")</f>
        <v>0</v>
      </c>
      <c r="H351" s="11" t="s">
        <v>69</v>
      </c>
      <c r="I351" s="11" t="s">
        <v>70</v>
      </c>
      <c r="J351" s="12"/>
      <c r="K351" s="11"/>
      <c r="L351" s="4"/>
      <c r="M351" s="1" t="s">
        <v>215</v>
      </c>
      <c r="N351" s="1">
        <v>274</v>
      </c>
    </row>
    <row r="352" spans="1:14" ht="23.1" customHeight="1">
      <c r="A352" s="1" t="s">
        <v>488</v>
      </c>
      <c r="B352" s="1" t="s">
        <v>488</v>
      </c>
      <c r="C352" s="1" t="s">
        <v>213</v>
      </c>
      <c r="D352" s="3">
        <v>42.730644384082801</v>
      </c>
      <c r="E352" s="3">
        <v>-73.671446544204002</v>
      </c>
      <c r="F352" s="10">
        <f>COUNTIFS(Connections!$B$6:$B$589,A352)+COUNTIFS(Connections!$C$6:$C$589,A352)</f>
        <v>3</v>
      </c>
      <c r="G352" s="10">
        <f>COUNTIFS(Connections!$B$6:$B$589,A352,Connections!$D$6:$D$589,"TRUE")+COUNTIFS(Connections!$C$6:$C$589,A352,Connections!$D$6:$D$589,"TRUE")</f>
        <v>0</v>
      </c>
      <c r="H352" s="11" t="s">
        <v>69</v>
      </c>
      <c r="I352" s="11" t="s">
        <v>70</v>
      </c>
      <c r="J352" s="12"/>
      <c r="K352" s="11"/>
      <c r="L352" s="4"/>
      <c r="M352" s="1" t="s">
        <v>215</v>
      </c>
      <c r="N352" s="1">
        <v>275</v>
      </c>
    </row>
    <row r="353" spans="1:14" ht="23.1" customHeight="1">
      <c r="A353" s="1" t="s">
        <v>489</v>
      </c>
      <c r="B353" s="1" t="s">
        <v>489</v>
      </c>
      <c r="C353" s="1" t="s">
        <v>213</v>
      </c>
      <c r="D353" s="3">
        <v>42.730675420937096</v>
      </c>
      <c r="E353" s="3">
        <v>-73.670738265856897</v>
      </c>
      <c r="F353" s="10">
        <f>COUNTIFS(Connections!$B$6:$B$589,A353)+COUNTIFS(Connections!$C$6:$C$589,A353)</f>
        <v>2</v>
      </c>
      <c r="G353" s="10">
        <f>COUNTIFS(Connections!$B$6:$B$589,A353,Connections!$D$6:$D$589,"TRUE")+COUNTIFS(Connections!$C$6:$C$589,A353,Connections!$D$6:$D$589,"TRUE")</f>
        <v>0</v>
      </c>
      <c r="H353" s="11" t="s">
        <v>69</v>
      </c>
      <c r="I353" s="11" t="s">
        <v>70</v>
      </c>
      <c r="J353" s="12"/>
      <c r="K353" s="11"/>
      <c r="L353" s="4"/>
      <c r="M353" s="1" t="s">
        <v>215</v>
      </c>
      <c r="N353" s="1">
        <v>276</v>
      </c>
    </row>
    <row r="354" spans="1:14" ht="23.1" customHeight="1">
      <c r="A354" s="1" t="s">
        <v>490</v>
      </c>
      <c r="B354" s="1" t="s">
        <v>490</v>
      </c>
      <c r="C354" s="1" t="s">
        <v>213</v>
      </c>
      <c r="D354" s="3">
        <v>42.730851296445302</v>
      </c>
      <c r="E354" s="3">
        <v>-73.670590243640504</v>
      </c>
      <c r="F354" s="10">
        <f>COUNTIFS(Connections!$B$6:$B$589,A354)+COUNTIFS(Connections!$C$6:$C$589,A354)</f>
        <v>3</v>
      </c>
      <c r="G354" s="10">
        <f>COUNTIFS(Connections!$B$6:$B$589,A354,Connections!$D$6:$D$589,"TRUE")+COUNTIFS(Connections!$C$6:$C$589,A354,Connections!$D$6:$D$589,"TRUE")</f>
        <v>0</v>
      </c>
      <c r="H354" s="11" t="s">
        <v>69</v>
      </c>
      <c r="I354" s="11" t="s">
        <v>70</v>
      </c>
      <c r="J354" s="12"/>
      <c r="K354" s="11"/>
      <c r="L354" s="4"/>
      <c r="M354" s="1" t="s">
        <v>215</v>
      </c>
      <c r="N354" s="1">
        <v>277</v>
      </c>
    </row>
    <row r="355" spans="1:14" ht="23.1" customHeight="1">
      <c r="A355" s="1" t="s">
        <v>491</v>
      </c>
      <c r="B355" s="1" t="s">
        <v>491</v>
      </c>
      <c r="C355" s="1" t="s">
        <v>213</v>
      </c>
      <c r="D355" s="3">
        <v>42.731000733151603</v>
      </c>
      <c r="E355" s="3">
        <v>-73.670602976734401</v>
      </c>
      <c r="F355" s="10">
        <f>COUNTIFS(Connections!$B$6:$B$589,A355)+COUNTIFS(Connections!$C$6:$C$589,A355)</f>
        <v>3</v>
      </c>
      <c r="G355" s="10">
        <f>COUNTIFS(Connections!$B$6:$B$589,A355,Connections!$D$6:$D$589,"TRUE")+COUNTIFS(Connections!$C$6:$C$589,A355,Connections!$D$6:$D$589,"TRUE")</f>
        <v>0</v>
      </c>
      <c r="H355" s="11" t="s">
        <v>69</v>
      </c>
      <c r="I355" s="11" t="s">
        <v>70</v>
      </c>
      <c r="J355" s="12"/>
      <c r="K355" s="11"/>
      <c r="L355" s="4"/>
      <c r="M355" s="1" t="s">
        <v>215</v>
      </c>
      <c r="N355" s="1">
        <v>278</v>
      </c>
    </row>
    <row r="356" spans="1:14" ht="23.1" customHeight="1">
      <c r="A356" s="1" t="s">
        <v>492</v>
      </c>
      <c r="B356" s="1" t="s">
        <v>492</v>
      </c>
      <c r="C356" s="1" t="s">
        <v>213</v>
      </c>
      <c r="D356" s="3">
        <v>42.7314030627455</v>
      </c>
      <c r="E356" s="3">
        <v>-73.670450179607798</v>
      </c>
      <c r="F356" s="10">
        <f>COUNTIFS(Connections!$B$6:$B$589,A356)+COUNTIFS(Connections!$C$6:$C$589,A356)</f>
        <v>2</v>
      </c>
      <c r="G356" s="10">
        <f>COUNTIFS(Connections!$B$6:$B$589,A356,Connections!$D$6:$D$589,"TRUE")+COUNTIFS(Connections!$C$6:$C$589,A356,Connections!$D$6:$D$589,"TRUE")</f>
        <v>0</v>
      </c>
      <c r="H356" s="11" t="s">
        <v>69</v>
      </c>
      <c r="I356" s="11" t="s">
        <v>70</v>
      </c>
      <c r="J356" s="12"/>
      <c r="K356" s="11"/>
      <c r="L356" s="4"/>
      <c r="M356" s="1" t="s">
        <v>215</v>
      </c>
      <c r="N356" s="1">
        <v>279</v>
      </c>
    </row>
    <row r="357" spans="1:14" ht="23.1" customHeight="1">
      <c r="A357" s="1" t="s">
        <v>493</v>
      </c>
      <c r="B357" s="1" t="s">
        <v>493</v>
      </c>
      <c r="C357" s="1" t="s">
        <v>213</v>
      </c>
      <c r="D357" s="3">
        <v>42.731469734506703</v>
      </c>
      <c r="E357" s="3">
        <v>-73.670821030967105</v>
      </c>
      <c r="F357" s="10">
        <f>COUNTIFS(Connections!$B$6:$B$589,A357)+COUNTIFS(Connections!$C$6:$C$589,A357)</f>
        <v>2</v>
      </c>
      <c r="G357" s="10">
        <f>COUNTIFS(Connections!$B$6:$B$589,A357,Connections!$D$6:$D$589,"TRUE")+COUNTIFS(Connections!$C$6:$C$589,A357,Connections!$D$6:$D$589,"TRUE")</f>
        <v>0</v>
      </c>
      <c r="H357" s="11" t="s">
        <v>69</v>
      </c>
      <c r="I357" s="11" t="s">
        <v>70</v>
      </c>
      <c r="J357" s="12"/>
      <c r="K357" s="11"/>
      <c r="L357" s="4"/>
      <c r="M357" s="1" t="s">
        <v>215</v>
      </c>
      <c r="N357" s="1">
        <v>280</v>
      </c>
    </row>
    <row r="358" spans="1:14" ht="23.1" customHeight="1">
      <c r="A358" s="1" t="s">
        <v>494</v>
      </c>
      <c r="B358" s="1" t="s">
        <v>494</v>
      </c>
      <c r="C358" s="1" t="s">
        <v>213</v>
      </c>
      <c r="D358" s="3">
        <v>42.731563994582999</v>
      </c>
      <c r="E358" s="3">
        <v>-73.670889471346698</v>
      </c>
      <c r="F358" s="10">
        <f>COUNTIFS(Connections!$B$6:$B$589,A358)+COUNTIFS(Connections!$C$6:$C$589,A358)</f>
        <v>3</v>
      </c>
      <c r="G358" s="10">
        <f>COUNTIFS(Connections!$B$6:$B$589,A358,Connections!$D$6:$D$589,"TRUE")+COUNTIFS(Connections!$C$6:$C$589,A358,Connections!$D$6:$D$589,"TRUE")</f>
        <v>0</v>
      </c>
      <c r="H358" s="11" t="s">
        <v>69</v>
      </c>
      <c r="I358" s="11" t="s">
        <v>70</v>
      </c>
      <c r="J358" s="12"/>
      <c r="K358" s="11"/>
      <c r="L358" s="4"/>
      <c r="M358" s="1" t="s">
        <v>215</v>
      </c>
      <c r="N358" s="1">
        <v>281</v>
      </c>
    </row>
    <row r="359" spans="1:14" ht="23.1" customHeight="1">
      <c r="A359" s="1" t="s">
        <v>495</v>
      </c>
      <c r="B359" s="1" t="s">
        <v>495</v>
      </c>
      <c r="C359" s="1" t="s">
        <v>213</v>
      </c>
      <c r="D359" s="3">
        <v>42.731605377055502</v>
      </c>
      <c r="E359" s="3">
        <v>-73.670459729428202</v>
      </c>
      <c r="F359" s="10">
        <f>COUNTIFS(Connections!$B$6:$B$589,A359)+COUNTIFS(Connections!$C$6:$C$589,A359)</f>
        <v>3</v>
      </c>
      <c r="G359" s="10">
        <f>COUNTIFS(Connections!$B$6:$B$589,A359,Connections!$D$6:$D$589,"TRUE")+COUNTIFS(Connections!$C$6:$C$589,A359,Connections!$D$6:$D$589,"TRUE")</f>
        <v>0</v>
      </c>
      <c r="H359" s="11" t="s">
        <v>69</v>
      </c>
      <c r="I359" s="11" t="s">
        <v>70</v>
      </c>
      <c r="J359" s="12"/>
      <c r="K359" s="11"/>
      <c r="L359" s="4"/>
      <c r="M359" s="1" t="s">
        <v>215</v>
      </c>
      <c r="N359" s="1">
        <v>282</v>
      </c>
    </row>
    <row r="360" spans="1:14" ht="23.1" customHeight="1">
      <c r="A360" s="1" t="s">
        <v>496</v>
      </c>
      <c r="B360" s="1" t="s">
        <v>496</v>
      </c>
      <c r="C360" s="1" t="s">
        <v>213</v>
      </c>
      <c r="D360" s="3">
        <v>42.731860568969303</v>
      </c>
      <c r="E360" s="3">
        <v>-73.670305340664896</v>
      </c>
      <c r="F360" s="10">
        <f>COUNTIFS(Connections!$B$6:$B$589,A360)+COUNTIFS(Connections!$C$6:$C$589,A360)</f>
        <v>4</v>
      </c>
      <c r="G360" s="10">
        <f>COUNTIFS(Connections!$B$6:$B$589,A360,Connections!$D$6:$D$589,"TRUE")+COUNTIFS(Connections!$C$6:$C$589,A360,Connections!$D$6:$D$589,"TRUE")</f>
        <v>0</v>
      </c>
      <c r="H360" s="11" t="s">
        <v>69</v>
      </c>
      <c r="I360" s="11" t="s">
        <v>70</v>
      </c>
      <c r="J360" s="12"/>
      <c r="K360" s="11"/>
      <c r="L360" s="4"/>
      <c r="M360" s="1" t="s">
        <v>215</v>
      </c>
      <c r="N360" s="1">
        <v>283</v>
      </c>
    </row>
    <row r="361" spans="1:14" ht="23.1" customHeight="1">
      <c r="A361" s="1" t="s">
        <v>497</v>
      </c>
      <c r="B361" s="1" t="s">
        <v>497</v>
      </c>
      <c r="C361" s="1" t="s">
        <v>213</v>
      </c>
      <c r="D361" s="3">
        <v>42.732069780358103</v>
      </c>
      <c r="E361" s="3">
        <v>-73.670609343281299</v>
      </c>
      <c r="F361" s="10">
        <f>COUNTIFS(Connections!$B$6:$B$589,A361)+COUNTIFS(Connections!$C$6:$C$589,A361)</f>
        <v>2</v>
      </c>
      <c r="G361" s="10">
        <f>COUNTIFS(Connections!$B$6:$B$589,A361,Connections!$D$6:$D$589,"TRUE")+COUNTIFS(Connections!$C$6:$C$589,A361,Connections!$D$6:$D$589,"TRUE")</f>
        <v>0</v>
      </c>
      <c r="H361" s="11" t="s">
        <v>69</v>
      </c>
      <c r="I361" s="11" t="s">
        <v>70</v>
      </c>
      <c r="J361" s="12"/>
      <c r="K361" s="11"/>
      <c r="L361" s="4"/>
      <c r="M361" s="1" t="s">
        <v>215</v>
      </c>
      <c r="N361" s="1">
        <v>284</v>
      </c>
    </row>
    <row r="362" spans="1:14" ht="23.1" customHeight="1">
      <c r="A362" s="1" t="s">
        <v>498</v>
      </c>
      <c r="B362" s="1" t="s">
        <v>498</v>
      </c>
      <c r="C362" s="1" t="s">
        <v>213</v>
      </c>
      <c r="D362" s="3">
        <v>42.732287038338796</v>
      </c>
      <c r="E362" s="3">
        <v>-73.670685741844594</v>
      </c>
      <c r="F362" s="10">
        <f>COUNTIFS(Connections!$B$6:$B$589,A362)+COUNTIFS(Connections!$C$6:$C$589,A362)</f>
        <v>3</v>
      </c>
      <c r="G362" s="10">
        <f>COUNTIFS(Connections!$B$6:$B$589,A362,Connections!$D$6:$D$589,"TRUE")+COUNTIFS(Connections!$C$6:$C$589,A362,Connections!$D$6:$D$589,"TRUE")</f>
        <v>0</v>
      </c>
      <c r="H362" s="11" t="s">
        <v>69</v>
      </c>
      <c r="I362" s="11" t="s">
        <v>70</v>
      </c>
      <c r="J362" s="12"/>
      <c r="K362" s="11"/>
      <c r="L362" s="4"/>
      <c r="M362" s="1" t="s">
        <v>215</v>
      </c>
      <c r="N362" s="1">
        <v>285</v>
      </c>
    </row>
    <row r="363" spans="1:14" ht="23.1" customHeight="1">
      <c r="A363" s="1" t="s">
        <v>499</v>
      </c>
      <c r="B363" s="1" t="s">
        <v>499</v>
      </c>
      <c r="C363" s="1" t="s">
        <v>213</v>
      </c>
      <c r="D363" s="3">
        <v>42.732108863804399</v>
      </c>
      <c r="E363" s="3">
        <v>-73.6712650976162</v>
      </c>
      <c r="F363" s="10">
        <f>COUNTIFS(Connections!$B$6:$B$589,A363)+COUNTIFS(Connections!$C$6:$C$589,A363)</f>
        <v>2</v>
      </c>
      <c r="G363" s="10">
        <f>COUNTIFS(Connections!$B$6:$B$589,A363,Connections!$D$6:$D$589,"TRUE")+COUNTIFS(Connections!$C$6:$C$589,A363,Connections!$D$6:$D$589,"TRUE")</f>
        <v>0</v>
      </c>
      <c r="H363" s="11" t="s">
        <v>69</v>
      </c>
      <c r="I363" s="11" t="s">
        <v>70</v>
      </c>
      <c r="J363" s="12"/>
      <c r="K363" s="11"/>
      <c r="L363" s="4"/>
      <c r="M363" s="1" t="s">
        <v>215</v>
      </c>
      <c r="N363" s="1">
        <v>286</v>
      </c>
    </row>
    <row r="364" spans="1:14" ht="23.1" customHeight="1">
      <c r="A364" s="1" t="s">
        <v>500</v>
      </c>
      <c r="B364" s="1" t="s">
        <v>500</v>
      </c>
      <c r="C364" s="1" t="s">
        <v>213</v>
      </c>
      <c r="D364" s="3">
        <v>42.732337616916297</v>
      </c>
      <c r="E364" s="3">
        <v>-73.671201432146802</v>
      </c>
      <c r="F364" s="10">
        <f>COUNTIFS(Connections!$B$6:$B$589,A364)+COUNTIFS(Connections!$C$6:$C$589,A364)</f>
        <v>3</v>
      </c>
      <c r="G364" s="10">
        <f>COUNTIFS(Connections!$B$6:$B$589,A364,Connections!$D$6:$D$589,"TRUE")+COUNTIFS(Connections!$C$6:$C$589,A364,Connections!$D$6:$D$589,"TRUE")</f>
        <v>0</v>
      </c>
      <c r="H364" s="11" t="s">
        <v>69</v>
      </c>
      <c r="I364" s="11" t="s">
        <v>70</v>
      </c>
      <c r="J364" s="12"/>
      <c r="K364" s="11"/>
      <c r="L364" s="4"/>
      <c r="M364" s="1" t="s">
        <v>215</v>
      </c>
      <c r="N364" s="1">
        <v>287</v>
      </c>
    </row>
    <row r="365" spans="1:14" ht="23.1" customHeight="1">
      <c r="A365" s="1" t="s">
        <v>501</v>
      </c>
      <c r="B365" s="1" t="s">
        <v>501</v>
      </c>
      <c r="C365" s="1" t="s">
        <v>213</v>
      </c>
      <c r="D365" s="3">
        <v>42.732145648224403</v>
      </c>
      <c r="E365" s="3">
        <v>-73.671664598436806</v>
      </c>
      <c r="F365" s="10">
        <f>COUNTIFS(Connections!$B$6:$B$589,A365)+COUNTIFS(Connections!$C$6:$C$589,A365)</f>
        <v>3</v>
      </c>
      <c r="G365" s="10">
        <f>COUNTIFS(Connections!$B$6:$B$589,A365,Connections!$D$6:$D$589,"TRUE")+COUNTIFS(Connections!$C$6:$C$589,A365,Connections!$D$6:$D$589,"TRUE")</f>
        <v>0</v>
      </c>
      <c r="H365" s="11" t="s">
        <v>69</v>
      </c>
      <c r="I365" s="11" t="s">
        <v>70</v>
      </c>
      <c r="J365" s="12"/>
      <c r="K365" s="11"/>
      <c r="L365" s="4"/>
      <c r="M365" s="1" t="s">
        <v>215</v>
      </c>
      <c r="N365" s="1">
        <v>288</v>
      </c>
    </row>
    <row r="366" spans="1:14" ht="23.1" customHeight="1">
      <c r="A366" s="1" t="s">
        <v>502</v>
      </c>
      <c r="B366" s="1" t="s">
        <v>502</v>
      </c>
      <c r="C366" s="1" t="s">
        <v>213</v>
      </c>
      <c r="D366" s="3">
        <v>42.731460538401699</v>
      </c>
      <c r="E366" s="3">
        <v>-73.671102750669206</v>
      </c>
      <c r="F366" s="10">
        <f>COUNTIFS(Connections!$B$6:$B$589,A366)+COUNTIFS(Connections!$C$6:$C$589,A366)</f>
        <v>3</v>
      </c>
      <c r="G366" s="10">
        <f>COUNTIFS(Connections!$B$6:$B$589,A366,Connections!$D$6:$D$589,"TRUE")+COUNTIFS(Connections!$C$6:$C$589,A366,Connections!$D$6:$D$589,"TRUE")</f>
        <v>0</v>
      </c>
      <c r="H366" s="11" t="s">
        <v>69</v>
      </c>
      <c r="I366" s="11" t="s">
        <v>70</v>
      </c>
      <c r="J366" s="12"/>
      <c r="K366" s="11"/>
      <c r="L366" s="4"/>
      <c r="M366" s="1" t="s">
        <v>215</v>
      </c>
      <c r="N366" s="1">
        <v>289</v>
      </c>
    </row>
    <row r="367" spans="1:14" ht="23.1" customHeight="1">
      <c r="A367" s="1" t="s">
        <v>503</v>
      </c>
      <c r="B367" s="1" t="s">
        <v>503</v>
      </c>
      <c r="C367" s="1" t="s">
        <v>213</v>
      </c>
      <c r="D367" s="3">
        <v>42.7315444528599</v>
      </c>
      <c r="E367" s="3">
        <v>-73.671838086840907</v>
      </c>
      <c r="F367" s="10">
        <f>COUNTIFS(Connections!$B$6:$B$589,A367)+COUNTIFS(Connections!$C$6:$C$589,A367)</f>
        <v>3</v>
      </c>
      <c r="G367" s="10">
        <f>COUNTIFS(Connections!$B$6:$B$589,A367,Connections!$D$6:$D$589,"TRUE")+COUNTIFS(Connections!$C$6:$C$589,A367,Connections!$D$6:$D$589,"TRUE")</f>
        <v>0</v>
      </c>
      <c r="H367" s="11" t="s">
        <v>69</v>
      </c>
      <c r="I367" s="11" t="s">
        <v>70</v>
      </c>
      <c r="J367" s="12"/>
      <c r="K367" s="11"/>
      <c r="L367" s="4"/>
      <c r="M367" s="1" t="s">
        <v>215</v>
      </c>
      <c r="N367" s="1">
        <v>290</v>
      </c>
    </row>
    <row r="368" spans="1:14" ht="23.1" customHeight="1">
      <c r="A368" s="1" t="s">
        <v>504</v>
      </c>
      <c r="B368" s="1" t="s">
        <v>504</v>
      </c>
      <c r="C368" s="1" t="s">
        <v>213</v>
      </c>
      <c r="D368" s="3">
        <v>42.732541080739502</v>
      </c>
      <c r="E368" s="3">
        <v>-73.670178009726001</v>
      </c>
      <c r="F368" s="10">
        <f>COUNTIFS(Connections!$B$6:$B$589,A368)+COUNTIFS(Connections!$C$6:$C$589,A368)</f>
        <v>3</v>
      </c>
      <c r="G368" s="10">
        <f>COUNTIFS(Connections!$B$6:$B$589,A368,Connections!$D$6:$D$589,"TRUE")+COUNTIFS(Connections!$C$6:$C$589,A368,Connections!$D$6:$D$589,"TRUE")</f>
        <v>0</v>
      </c>
      <c r="H368" s="11" t="s">
        <v>69</v>
      </c>
      <c r="I368" s="11" t="s">
        <v>70</v>
      </c>
      <c r="J368" s="12"/>
      <c r="K368" s="11"/>
      <c r="L368" s="4"/>
      <c r="M368" s="1" t="s">
        <v>215</v>
      </c>
      <c r="N368" s="1">
        <v>291</v>
      </c>
    </row>
    <row r="369" spans="1:14" ht="23.1" customHeight="1">
      <c r="A369" s="1" t="s">
        <v>505</v>
      </c>
      <c r="B369" s="1" t="s">
        <v>505</v>
      </c>
      <c r="C369" s="1" t="s">
        <v>213</v>
      </c>
      <c r="D369" s="3">
        <v>42.732476708004498</v>
      </c>
      <c r="E369" s="3">
        <v>-73.669606612138097</v>
      </c>
      <c r="F369" s="10">
        <f>COUNTIFS(Connections!$B$6:$B$589,A369)+COUNTIFS(Connections!$C$6:$C$589,A369)</f>
        <v>3</v>
      </c>
      <c r="G369" s="10">
        <f>COUNTIFS(Connections!$B$6:$B$589,A369,Connections!$D$6:$D$589,"TRUE")+COUNTIFS(Connections!$C$6:$C$589,A369,Connections!$D$6:$D$589,"TRUE")</f>
        <v>0</v>
      </c>
      <c r="H369" s="11" t="s">
        <v>69</v>
      </c>
      <c r="I369" s="11" t="s">
        <v>70</v>
      </c>
      <c r="J369" s="12"/>
      <c r="K369" s="11"/>
      <c r="L369" s="4"/>
      <c r="M369" s="1" t="s">
        <v>215</v>
      </c>
      <c r="N369" s="1">
        <v>292</v>
      </c>
    </row>
    <row r="370" spans="1:14" ht="23.1" customHeight="1">
      <c r="A370" s="1" t="s">
        <v>506</v>
      </c>
      <c r="B370" s="1" t="s">
        <v>506</v>
      </c>
      <c r="C370" s="1" t="s">
        <v>213</v>
      </c>
      <c r="D370" s="3">
        <v>42.732315776166999</v>
      </c>
      <c r="E370" s="3">
        <v>-73.668629347182602</v>
      </c>
      <c r="F370" s="10">
        <f>COUNTIFS(Connections!$B$6:$B$589,A370)+COUNTIFS(Connections!$C$6:$C$589,A370)</f>
        <v>3</v>
      </c>
      <c r="G370" s="10">
        <f>COUNTIFS(Connections!$B$6:$B$589,A370,Connections!$D$6:$D$589,"TRUE")+COUNTIFS(Connections!$C$6:$C$589,A370,Connections!$D$6:$D$589,"TRUE")</f>
        <v>0</v>
      </c>
      <c r="H370" s="11" t="s">
        <v>69</v>
      </c>
      <c r="I370" s="11" t="s">
        <v>70</v>
      </c>
      <c r="J370" s="12"/>
      <c r="K370" s="11"/>
      <c r="L370" s="4"/>
      <c r="M370" s="1" t="s">
        <v>215</v>
      </c>
      <c r="N370" s="1">
        <v>293</v>
      </c>
    </row>
    <row r="371" spans="1:14" ht="23.1" customHeight="1">
      <c r="A371" s="1" t="s">
        <v>507</v>
      </c>
      <c r="B371" s="1" t="s">
        <v>507</v>
      </c>
      <c r="C371" s="1" t="s">
        <v>213</v>
      </c>
      <c r="D371" s="3">
        <v>42.731716879828703</v>
      </c>
      <c r="E371" s="3">
        <v>-73.668820343590895</v>
      </c>
      <c r="F371" s="10">
        <f>COUNTIFS(Connections!$B$6:$B$589,A371)+COUNTIFS(Connections!$C$6:$C$589,A371)</f>
        <v>3</v>
      </c>
      <c r="G371" s="10">
        <f>COUNTIFS(Connections!$B$6:$B$589,A371,Connections!$D$6:$D$589,"TRUE")+COUNTIFS(Connections!$C$6:$C$589,A371,Connections!$D$6:$D$589,"TRUE")</f>
        <v>0</v>
      </c>
      <c r="H371" s="11" t="s">
        <v>69</v>
      </c>
      <c r="I371" s="11" t="s">
        <v>70</v>
      </c>
      <c r="J371" s="12"/>
      <c r="K371" s="11"/>
      <c r="L371" s="4"/>
      <c r="M371" s="1" t="s">
        <v>215</v>
      </c>
      <c r="N371" s="1">
        <v>294</v>
      </c>
    </row>
    <row r="372" spans="1:14" ht="23.1" customHeight="1">
      <c r="A372" s="1" t="s">
        <v>508</v>
      </c>
      <c r="B372" s="1" t="s">
        <v>508</v>
      </c>
      <c r="C372" s="1" t="s">
        <v>213</v>
      </c>
      <c r="D372" s="3">
        <v>42.731773205971798</v>
      </c>
      <c r="E372" s="3">
        <v>-73.669764184174895</v>
      </c>
      <c r="F372" s="10">
        <f>COUNTIFS(Connections!$B$6:$B$589,A372)+COUNTIFS(Connections!$C$6:$C$589,A372)</f>
        <v>3</v>
      </c>
      <c r="G372" s="10">
        <f>COUNTIFS(Connections!$B$6:$B$589,A372,Connections!$D$6:$D$589,"TRUE")+COUNTIFS(Connections!$C$6:$C$589,A372,Connections!$D$6:$D$589,"TRUE")</f>
        <v>0</v>
      </c>
      <c r="H372" s="11" t="s">
        <v>69</v>
      </c>
      <c r="I372" s="11" t="s">
        <v>70</v>
      </c>
      <c r="J372" s="12"/>
      <c r="K372" s="11"/>
      <c r="L372" s="4"/>
      <c r="M372" s="1" t="s">
        <v>215</v>
      </c>
      <c r="N372" s="1">
        <v>295</v>
      </c>
    </row>
    <row r="373" spans="1:14" ht="23.1" customHeight="1">
      <c r="A373" s="1" t="s">
        <v>509</v>
      </c>
      <c r="B373" s="1" t="s">
        <v>509</v>
      </c>
      <c r="C373" s="1" t="s">
        <v>213</v>
      </c>
      <c r="D373" s="3">
        <v>42.731361680272997</v>
      </c>
      <c r="E373" s="3">
        <v>-73.669059089101196</v>
      </c>
      <c r="F373" s="10">
        <f>COUNTIFS(Connections!$B$6:$B$589,A373)+COUNTIFS(Connections!$C$6:$C$589,A373)</f>
        <v>2</v>
      </c>
      <c r="G373" s="10">
        <f>COUNTIFS(Connections!$B$6:$B$589,A373,Connections!$D$6:$D$589,"TRUE")+COUNTIFS(Connections!$C$6:$C$589,A373,Connections!$D$6:$D$589,"TRUE")</f>
        <v>0</v>
      </c>
      <c r="H373" s="11" t="s">
        <v>69</v>
      </c>
      <c r="I373" s="11" t="s">
        <v>70</v>
      </c>
      <c r="J373" s="12"/>
      <c r="K373" s="11"/>
      <c r="L373" s="4"/>
      <c r="M373" s="1" t="s">
        <v>215</v>
      </c>
      <c r="N373" s="1">
        <v>296</v>
      </c>
    </row>
    <row r="374" spans="1:14" ht="23.1" customHeight="1">
      <c r="A374" s="1" t="s">
        <v>510</v>
      </c>
      <c r="B374" s="1" t="s">
        <v>510</v>
      </c>
      <c r="C374" s="1" t="s">
        <v>213</v>
      </c>
      <c r="D374" s="3">
        <v>42.731490425742997</v>
      </c>
      <c r="E374" s="3">
        <v>-73.668670729737798</v>
      </c>
      <c r="F374" s="10">
        <f>COUNTIFS(Connections!$B$6:$B$589,A374)+COUNTIFS(Connections!$C$6:$C$589,A374)</f>
        <v>4</v>
      </c>
      <c r="G374" s="10">
        <f>COUNTIFS(Connections!$B$6:$B$589,A374,Connections!$D$6:$D$589,"TRUE")+COUNTIFS(Connections!$C$6:$C$589,A374,Connections!$D$6:$D$589,"TRUE")</f>
        <v>0</v>
      </c>
      <c r="H374" s="11" t="s">
        <v>69</v>
      </c>
      <c r="I374" s="11" t="s">
        <v>70</v>
      </c>
      <c r="J374" s="12"/>
      <c r="K374" s="11"/>
      <c r="L374" s="4"/>
      <c r="M374" s="1" t="s">
        <v>215</v>
      </c>
      <c r="N374" s="1">
        <v>297</v>
      </c>
    </row>
    <row r="375" spans="1:14" ht="23.1" customHeight="1">
      <c r="A375" s="1" t="s">
        <v>511</v>
      </c>
      <c r="B375" s="1" t="s">
        <v>511</v>
      </c>
      <c r="C375" s="1" t="s">
        <v>213</v>
      </c>
      <c r="D375" s="3">
        <v>42.7315846858193</v>
      </c>
      <c r="E375" s="3">
        <v>-73.668896742154203</v>
      </c>
      <c r="F375" s="10">
        <f>COUNTIFS(Connections!$B$6:$B$589,A375)+COUNTIFS(Connections!$C$6:$C$589,A375)</f>
        <v>3</v>
      </c>
      <c r="G375" s="10">
        <f>COUNTIFS(Connections!$B$6:$B$589,A375,Connections!$D$6:$D$589,"TRUE")+COUNTIFS(Connections!$C$6:$C$589,A375,Connections!$D$6:$D$589,"TRUE")</f>
        <v>0</v>
      </c>
      <c r="H375" s="11" t="s">
        <v>69</v>
      </c>
      <c r="I375" s="11" t="s">
        <v>70</v>
      </c>
      <c r="J375" s="12"/>
      <c r="K375" s="11"/>
      <c r="L375" s="4"/>
      <c r="M375" s="1" t="s">
        <v>215</v>
      </c>
      <c r="N375" s="1">
        <v>298</v>
      </c>
    </row>
    <row r="376" spans="1:14" ht="23.1" customHeight="1">
      <c r="A376" s="1" t="s">
        <v>512</v>
      </c>
      <c r="B376" s="1" t="s">
        <v>512</v>
      </c>
      <c r="C376" s="1" t="s">
        <v>213</v>
      </c>
      <c r="D376" s="3">
        <v>42.731120282516599</v>
      </c>
      <c r="E376" s="3">
        <v>-73.669036806186895</v>
      </c>
      <c r="F376" s="10">
        <f>COUNTIFS(Connections!$B$6:$B$589,A376)+COUNTIFS(Connections!$C$6:$C$589,A376)</f>
        <v>3</v>
      </c>
      <c r="G376" s="10">
        <f>COUNTIFS(Connections!$B$6:$B$589,A376,Connections!$D$6:$D$589,"TRUE")+COUNTIFS(Connections!$C$6:$C$589,A376,Connections!$D$6:$D$589,"TRUE")</f>
        <v>0</v>
      </c>
      <c r="H376" s="11" t="s">
        <v>69</v>
      </c>
      <c r="I376" s="11" t="s">
        <v>70</v>
      </c>
      <c r="J376" s="12"/>
      <c r="K376" s="11"/>
      <c r="L376" s="4"/>
      <c r="M376" s="1" t="s">
        <v>215</v>
      </c>
      <c r="N376" s="1">
        <v>299</v>
      </c>
    </row>
    <row r="377" spans="1:14" ht="23.1" customHeight="1">
      <c r="A377" s="1" t="s">
        <v>513</v>
      </c>
      <c r="B377" s="1" t="s">
        <v>513</v>
      </c>
      <c r="C377" s="1" t="s">
        <v>213</v>
      </c>
      <c r="D377" s="3">
        <v>42.731242130907901</v>
      </c>
      <c r="E377" s="3">
        <v>-73.669536580121701</v>
      </c>
      <c r="F377" s="10">
        <f>COUNTIFS(Connections!$B$6:$B$589,A377)+COUNTIFS(Connections!$C$6:$C$589,A377)</f>
        <v>3</v>
      </c>
      <c r="G377" s="10">
        <f>COUNTIFS(Connections!$B$6:$B$589,A377,Connections!$D$6:$D$589,"TRUE")+COUNTIFS(Connections!$C$6:$C$589,A377,Connections!$D$6:$D$589,"TRUE")</f>
        <v>0</v>
      </c>
      <c r="H377" s="11" t="s">
        <v>69</v>
      </c>
      <c r="I377" s="11" t="s">
        <v>70</v>
      </c>
      <c r="J377" s="12"/>
      <c r="K377" s="11"/>
      <c r="L377" s="4"/>
      <c r="M377" s="1" t="s">
        <v>215</v>
      </c>
      <c r="N377" s="1">
        <v>300</v>
      </c>
    </row>
    <row r="378" spans="1:14" ht="23.1" customHeight="1">
      <c r="A378" s="1" t="s">
        <v>514</v>
      </c>
      <c r="B378" s="1" t="s">
        <v>514</v>
      </c>
      <c r="C378" s="1" t="s">
        <v>213</v>
      </c>
      <c r="D378" s="3">
        <v>42.731276616301699</v>
      </c>
      <c r="E378" s="3">
        <v>-73.670133443897498</v>
      </c>
      <c r="F378" s="10">
        <f>COUNTIFS(Connections!$B$6:$B$589,A378)+COUNTIFS(Connections!$C$6:$C$589,A378)</f>
        <v>2</v>
      </c>
      <c r="G378" s="10">
        <f>COUNTIFS(Connections!$B$6:$B$589,A378,Connections!$D$6:$D$589,"TRUE")+COUNTIFS(Connections!$C$6:$C$589,A378,Connections!$D$6:$D$589,"TRUE")</f>
        <v>0</v>
      </c>
      <c r="H378" s="11" t="s">
        <v>69</v>
      </c>
      <c r="I378" s="11" t="s">
        <v>70</v>
      </c>
      <c r="J378" s="12"/>
      <c r="K378" s="11"/>
      <c r="L378" s="4"/>
      <c r="M378" s="1" t="s">
        <v>215</v>
      </c>
      <c r="N378" s="1">
        <v>301</v>
      </c>
    </row>
    <row r="379" spans="1:14" ht="23.1" customHeight="1">
      <c r="A379" s="1" t="s">
        <v>515</v>
      </c>
      <c r="B379" s="1" t="s">
        <v>515</v>
      </c>
      <c r="C379" s="1" t="s">
        <v>213</v>
      </c>
      <c r="D379" s="3">
        <v>42.730848997419102</v>
      </c>
      <c r="E379" s="3">
        <v>-73.670184376272999</v>
      </c>
      <c r="F379" s="10">
        <f>COUNTIFS(Connections!$B$6:$B$589,A379)+COUNTIFS(Connections!$C$6:$C$589,A379)</f>
        <v>2</v>
      </c>
      <c r="G379" s="10">
        <f>COUNTIFS(Connections!$B$6:$B$589,A379,Connections!$D$6:$D$589,"TRUE")+COUNTIFS(Connections!$C$6:$C$589,A379,Connections!$D$6:$D$589,"TRUE")</f>
        <v>0</v>
      </c>
      <c r="H379" s="11" t="s">
        <v>69</v>
      </c>
      <c r="I379" s="11" t="s">
        <v>70</v>
      </c>
      <c r="J379" s="12"/>
      <c r="K379" s="11"/>
      <c r="L379" s="4"/>
      <c r="M379" s="1" t="s">
        <v>215</v>
      </c>
      <c r="N379" s="1">
        <v>302</v>
      </c>
    </row>
    <row r="380" spans="1:14" ht="23.1" customHeight="1">
      <c r="A380" s="1" t="s">
        <v>516</v>
      </c>
      <c r="B380" s="1" t="s">
        <v>516</v>
      </c>
      <c r="C380" s="1" t="s">
        <v>213</v>
      </c>
      <c r="D380" s="3">
        <v>42.7309087721016</v>
      </c>
      <c r="E380" s="3">
        <v>-73.669132304390999</v>
      </c>
      <c r="F380" s="10">
        <f>COUNTIFS(Connections!$B$6:$B$589,A380)+COUNTIFS(Connections!$C$6:$C$589,A380)</f>
        <v>2</v>
      </c>
      <c r="G380" s="10">
        <f>COUNTIFS(Connections!$B$6:$B$589,A380,Connections!$D$6:$D$589,"TRUE")+COUNTIFS(Connections!$C$6:$C$589,A380,Connections!$D$6:$D$589,"TRUE")</f>
        <v>0</v>
      </c>
      <c r="H380" s="11" t="s">
        <v>69</v>
      </c>
      <c r="I380" s="11" t="s">
        <v>70</v>
      </c>
      <c r="J380" s="12"/>
      <c r="K380" s="11"/>
      <c r="L380" s="4"/>
      <c r="M380" s="1" t="s">
        <v>215</v>
      </c>
      <c r="N380" s="1">
        <v>303</v>
      </c>
    </row>
    <row r="381" spans="1:14" ht="23.1" customHeight="1">
      <c r="A381" s="1" t="s">
        <v>517</v>
      </c>
      <c r="B381" s="1" t="s">
        <v>517</v>
      </c>
      <c r="C381" s="1" t="s">
        <v>213</v>
      </c>
      <c r="D381" s="3">
        <v>42.730529432770197</v>
      </c>
      <c r="E381" s="3">
        <v>-73.668581598080607</v>
      </c>
      <c r="F381" s="10">
        <f>COUNTIFS(Connections!$B$6:$B$589,A381)+COUNTIFS(Connections!$C$6:$C$589,A381)</f>
        <v>2</v>
      </c>
      <c r="G381" s="10">
        <f>COUNTIFS(Connections!$B$6:$B$589,A381,Connections!$D$6:$D$589,"TRUE")+COUNTIFS(Connections!$C$6:$C$589,A381,Connections!$D$6:$D$589,"TRUE")</f>
        <v>0</v>
      </c>
      <c r="H381" s="11" t="s">
        <v>69</v>
      </c>
      <c r="I381" s="11" t="s">
        <v>70</v>
      </c>
      <c r="J381" s="12"/>
      <c r="K381" s="11"/>
      <c r="L381" s="4"/>
      <c r="M381" s="1" t="s">
        <v>215</v>
      </c>
      <c r="N381" s="1">
        <v>304</v>
      </c>
    </row>
    <row r="382" spans="1:14" ht="23.1" customHeight="1">
      <c r="A382" s="1" t="s">
        <v>518</v>
      </c>
      <c r="B382" s="1" t="s">
        <v>518</v>
      </c>
      <c r="C382" s="1" t="s">
        <v>213</v>
      </c>
      <c r="D382" s="3">
        <v>42.730707607304701</v>
      </c>
      <c r="E382" s="3">
        <v>-73.668299878378406</v>
      </c>
      <c r="F382" s="10">
        <f>COUNTIFS(Connections!$B$6:$B$589,A382)+COUNTIFS(Connections!$C$6:$C$589,A382)</f>
        <v>2</v>
      </c>
      <c r="G382" s="10">
        <f>COUNTIFS(Connections!$B$6:$B$589,A382,Connections!$D$6:$D$589,"TRUE")+COUNTIFS(Connections!$C$6:$C$589,A382,Connections!$D$6:$D$589,"TRUE")</f>
        <v>0</v>
      </c>
      <c r="H382" s="11" t="s">
        <v>69</v>
      </c>
      <c r="I382" s="11" t="s">
        <v>70</v>
      </c>
      <c r="J382" s="12"/>
      <c r="K382" s="11"/>
      <c r="L382" s="4"/>
      <c r="M382" s="1" t="s">
        <v>215</v>
      </c>
      <c r="N382" s="1">
        <v>305</v>
      </c>
    </row>
    <row r="383" spans="1:14" ht="23.1" customHeight="1">
      <c r="A383" s="1" t="s">
        <v>519</v>
      </c>
      <c r="B383" s="1" t="s">
        <v>519</v>
      </c>
      <c r="C383" s="1" t="s">
        <v>213</v>
      </c>
      <c r="D383" s="3">
        <v>42.731253626039198</v>
      </c>
      <c r="E383" s="3">
        <v>-73.668083415782405</v>
      </c>
      <c r="F383" s="10">
        <f>COUNTIFS(Connections!$B$6:$B$589,A383)+COUNTIFS(Connections!$C$6:$C$589,A383)</f>
        <v>4</v>
      </c>
      <c r="G383" s="10">
        <f>COUNTIFS(Connections!$B$6:$B$589,A383,Connections!$D$6:$D$589,"TRUE")+COUNTIFS(Connections!$C$6:$C$589,A383,Connections!$D$6:$D$589,"TRUE")</f>
        <v>0</v>
      </c>
      <c r="H383" s="11" t="s">
        <v>69</v>
      </c>
      <c r="I383" s="11" t="s">
        <v>70</v>
      </c>
      <c r="J383" s="12"/>
      <c r="K383" s="11"/>
      <c r="L383" s="4"/>
      <c r="M383" s="1" t="s">
        <v>215</v>
      </c>
      <c r="N383" s="1">
        <v>306</v>
      </c>
    </row>
    <row r="384" spans="1:14" ht="23.1" customHeight="1">
      <c r="A384" s="1" t="s">
        <v>520</v>
      </c>
      <c r="B384" s="1" t="s">
        <v>520</v>
      </c>
      <c r="C384" s="1" t="s">
        <v>213</v>
      </c>
      <c r="D384" s="3">
        <v>42.732180133618201</v>
      </c>
      <c r="E384" s="3">
        <v>-73.668190055443702</v>
      </c>
      <c r="F384" s="10">
        <f>COUNTIFS(Connections!$B$6:$B$589,A384)+COUNTIFS(Connections!$C$6:$C$589,A384)</f>
        <v>2</v>
      </c>
      <c r="G384" s="10">
        <f>COUNTIFS(Connections!$B$6:$B$589,A384,Connections!$D$6:$D$589,"TRUE")+COUNTIFS(Connections!$C$6:$C$589,A384,Connections!$D$6:$D$589,"TRUE")</f>
        <v>0</v>
      </c>
      <c r="H384" s="11" t="s">
        <v>69</v>
      </c>
      <c r="I384" s="11" t="s">
        <v>70</v>
      </c>
      <c r="J384" s="12"/>
      <c r="K384" s="11"/>
      <c r="L384" s="4"/>
      <c r="M384" s="1" t="s">
        <v>215</v>
      </c>
      <c r="N384" s="1">
        <v>307</v>
      </c>
    </row>
    <row r="385" spans="1:14" ht="23.1" customHeight="1">
      <c r="A385" s="1" t="s">
        <v>521</v>
      </c>
      <c r="B385" s="1" t="s">
        <v>521</v>
      </c>
      <c r="C385" s="1" t="s">
        <v>213</v>
      </c>
      <c r="D385" s="3">
        <v>42.732377849875697</v>
      </c>
      <c r="E385" s="3">
        <v>-73.668135939794695</v>
      </c>
      <c r="F385" s="10">
        <f>COUNTIFS(Connections!$B$6:$B$589,A385)+COUNTIFS(Connections!$C$6:$C$589,A385)</f>
        <v>4</v>
      </c>
      <c r="G385" s="10">
        <f>COUNTIFS(Connections!$B$6:$B$589,A385,Connections!$D$6:$D$589,"TRUE")+COUNTIFS(Connections!$C$6:$C$589,A385,Connections!$D$6:$D$589,"TRUE")</f>
        <v>0</v>
      </c>
      <c r="H385" s="11" t="s">
        <v>69</v>
      </c>
      <c r="I385" s="11" t="s">
        <v>70</v>
      </c>
      <c r="J385" s="12"/>
      <c r="K385" s="11"/>
      <c r="L385" s="4"/>
      <c r="M385" s="1" t="s">
        <v>215</v>
      </c>
      <c r="N385" s="1">
        <v>308</v>
      </c>
    </row>
    <row r="386" spans="1:14" ht="23.1" customHeight="1">
      <c r="A386" s="1" t="s">
        <v>522</v>
      </c>
      <c r="B386" s="1" t="s">
        <v>522</v>
      </c>
      <c r="C386" s="1" t="s">
        <v>213</v>
      </c>
      <c r="D386" s="3">
        <v>42.732426129426997</v>
      </c>
      <c r="E386" s="3">
        <v>-73.668514749337703</v>
      </c>
      <c r="F386" s="10">
        <f>COUNTIFS(Connections!$B$6:$B$589,A386)+COUNTIFS(Connections!$C$6:$C$589,A386)</f>
        <v>3</v>
      </c>
      <c r="G386" s="10">
        <f>COUNTIFS(Connections!$B$6:$B$589,A386,Connections!$D$6:$D$589,"TRUE")+COUNTIFS(Connections!$C$6:$C$589,A386,Connections!$D$6:$D$589,"TRUE")</f>
        <v>0</v>
      </c>
      <c r="H386" s="11" t="s">
        <v>69</v>
      </c>
      <c r="I386" s="11" t="s">
        <v>70</v>
      </c>
      <c r="J386" s="12"/>
      <c r="K386" s="11"/>
      <c r="L386" s="4"/>
      <c r="M386" s="1" t="s">
        <v>215</v>
      </c>
      <c r="N386" s="1">
        <v>309</v>
      </c>
    </row>
    <row r="387" spans="1:14" ht="23.1" customHeight="1">
      <c r="A387" s="1" t="s">
        <v>523</v>
      </c>
      <c r="B387" s="1" t="s">
        <v>523</v>
      </c>
      <c r="C387" s="1" t="s">
        <v>213</v>
      </c>
      <c r="D387" s="3">
        <v>42.7308432498534</v>
      </c>
      <c r="E387" s="3">
        <v>-73.667042485357598</v>
      </c>
      <c r="F387" s="10">
        <f>COUNTIFS(Connections!$B$6:$B$589,A387)+COUNTIFS(Connections!$C$6:$C$589,A387)</f>
        <v>3</v>
      </c>
      <c r="G387" s="10">
        <f>COUNTIFS(Connections!$B$6:$B$589,A387,Connections!$D$6:$D$589,"TRUE")+COUNTIFS(Connections!$C$6:$C$589,A387,Connections!$D$6:$D$589,"TRUE")</f>
        <v>0</v>
      </c>
      <c r="H387" s="11" t="s">
        <v>69</v>
      </c>
      <c r="I387" s="11" t="s">
        <v>70</v>
      </c>
      <c r="J387" s="12"/>
      <c r="K387" s="11"/>
      <c r="L387" s="4"/>
      <c r="M387" s="1" t="s">
        <v>215</v>
      </c>
      <c r="N387" s="1">
        <v>310</v>
      </c>
    </row>
    <row r="388" spans="1:14" ht="23.1" customHeight="1">
      <c r="A388" s="1" t="s">
        <v>524</v>
      </c>
      <c r="B388" s="1" t="s">
        <v>524</v>
      </c>
      <c r="C388" s="1" t="s">
        <v>213</v>
      </c>
      <c r="D388" s="3">
        <v>42.729765006541903</v>
      </c>
      <c r="E388" s="3">
        <v>-73.667492918553606</v>
      </c>
      <c r="F388" s="10">
        <f>COUNTIFS(Connections!$B$6:$B$589,A388)+COUNTIFS(Connections!$C$6:$C$589,A388)</f>
        <v>2</v>
      </c>
      <c r="G388" s="10">
        <f>COUNTIFS(Connections!$B$6:$B$589,A388,Connections!$D$6:$D$589,"TRUE")+COUNTIFS(Connections!$C$6:$C$589,A388,Connections!$D$6:$D$589,"TRUE")</f>
        <v>0</v>
      </c>
      <c r="H388" s="11" t="s">
        <v>69</v>
      </c>
      <c r="I388" s="11" t="s">
        <v>70</v>
      </c>
      <c r="J388" s="12"/>
      <c r="K388" s="11"/>
      <c r="L388" s="4"/>
      <c r="M388" s="1" t="s">
        <v>215</v>
      </c>
      <c r="N388" s="1">
        <v>311</v>
      </c>
    </row>
    <row r="389" spans="1:14" ht="23.1" customHeight="1">
      <c r="A389" s="1" t="s">
        <v>525</v>
      </c>
      <c r="B389" s="1" t="s">
        <v>525</v>
      </c>
      <c r="C389" s="1" t="s">
        <v>213</v>
      </c>
      <c r="D389" s="3">
        <v>42.729018972523598</v>
      </c>
      <c r="E389" s="3">
        <v>-73.6680881906926</v>
      </c>
      <c r="F389" s="10">
        <f>COUNTIFS(Connections!$B$6:$B$589,A389)+COUNTIFS(Connections!$C$6:$C$589,A389)</f>
        <v>2</v>
      </c>
      <c r="G389" s="10">
        <f>COUNTIFS(Connections!$B$6:$B$589,A389,Connections!$D$6:$D$589,"TRUE")+COUNTIFS(Connections!$C$6:$C$589,A389,Connections!$D$6:$D$589,"TRUE")</f>
        <v>0</v>
      </c>
      <c r="H389" s="11" t="s">
        <v>69</v>
      </c>
      <c r="I389" s="11" t="s">
        <v>70</v>
      </c>
      <c r="J389" s="12"/>
      <c r="K389" s="11"/>
      <c r="L389" s="4"/>
      <c r="M389" s="1" t="s">
        <v>215</v>
      </c>
      <c r="N389" s="1">
        <v>312</v>
      </c>
    </row>
    <row r="390" spans="1:14" ht="23.1" customHeight="1">
      <c r="A390" s="1" t="s">
        <v>526</v>
      </c>
      <c r="B390" s="1" t="s">
        <v>526</v>
      </c>
      <c r="C390" s="1" t="s">
        <v>213</v>
      </c>
      <c r="D390" s="3">
        <v>42.728885629000999</v>
      </c>
      <c r="E390" s="3">
        <v>-73.6680881906926</v>
      </c>
      <c r="F390" s="10">
        <f>COUNTIFS(Connections!$B$6:$B$589,A390)+COUNTIFS(Connections!$C$6:$C$589,A390)</f>
        <v>2</v>
      </c>
      <c r="G390" s="10">
        <f>COUNTIFS(Connections!$B$6:$B$589,A390,Connections!$D$6:$D$589,"TRUE")+COUNTIFS(Connections!$C$6:$C$589,A390,Connections!$D$6:$D$589,"TRUE")</f>
        <v>0</v>
      </c>
      <c r="H390" s="11" t="s">
        <v>69</v>
      </c>
      <c r="I390" s="11" t="s">
        <v>70</v>
      </c>
      <c r="J390" s="12"/>
      <c r="K390" s="11"/>
      <c r="L390" s="4"/>
      <c r="M390" s="1" t="s">
        <v>215</v>
      </c>
      <c r="N390" s="1">
        <v>313</v>
      </c>
    </row>
    <row r="391" spans="1:14" ht="23.1" customHeight="1">
      <c r="A391" s="1" t="s">
        <v>527</v>
      </c>
      <c r="B391" s="1" t="s">
        <v>527</v>
      </c>
      <c r="C391" s="1" t="s">
        <v>213</v>
      </c>
      <c r="D391" s="3">
        <v>42.730927164311602</v>
      </c>
      <c r="E391" s="3">
        <v>-73.666819656214599</v>
      </c>
      <c r="F391" s="10">
        <f>COUNTIFS(Connections!$B$6:$B$589,A391)+COUNTIFS(Connections!$C$6:$C$589,A391)</f>
        <v>4</v>
      </c>
      <c r="G391" s="10">
        <f>COUNTIFS(Connections!$B$6:$B$589,A391,Connections!$D$6:$D$589,"TRUE")+COUNTIFS(Connections!$C$6:$C$589,A391,Connections!$D$6:$D$589,"TRUE")</f>
        <v>0</v>
      </c>
      <c r="H391" s="11" t="s">
        <v>69</v>
      </c>
      <c r="I391" s="11" t="s">
        <v>70</v>
      </c>
      <c r="J391" s="12"/>
      <c r="K391" s="11"/>
      <c r="L391" s="4"/>
      <c r="M391" s="1" t="s">
        <v>215</v>
      </c>
      <c r="N391" s="1">
        <v>314</v>
      </c>
    </row>
    <row r="392" spans="1:14" ht="23.1" customHeight="1">
      <c r="A392" s="1" t="s">
        <v>528</v>
      </c>
      <c r="B392" s="1" t="s">
        <v>528</v>
      </c>
      <c r="C392" s="1" t="s">
        <v>213</v>
      </c>
      <c r="D392" s="3">
        <v>42.730736345132797</v>
      </c>
      <c r="E392" s="3">
        <v>-73.6663803644757</v>
      </c>
      <c r="F392" s="10">
        <f>COUNTIFS(Connections!$B$6:$B$589,A392)+COUNTIFS(Connections!$C$6:$C$589,A392)</f>
        <v>2</v>
      </c>
      <c r="G392" s="10">
        <f>COUNTIFS(Connections!$B$6:$B$589,A392,Connections!$D$6:$D$589,"TRUE")+COUNTIFS(Connections!$C$6:$C$589,A392,Connections!$D$6:$D$589,"TRUE")</f>
        <v>0</v>
      </c>
      <c r="H392" s="11" t="s">
        <v>69</v>
      </c>
      <c r="I392" s="11" t="s">
        <v>70</v>
      </c>
      <c r="J392" s="12"/>
      <c r="K392" s="11"/>
      <c r="L392" s="4"/>
      <c r="M392" s="1" t="s">
        <v>215</v>
      </c>
      <c r="N392" s="1">
        <v>315</v>
      </c>
    </row>
    <row r="393" spans="1:14" ht="23.1" customHeight="1">
      <c r="A393" s="1" t="s">
        <v>529</v>
      </c>
      <c r="B393" s="1" t="s">
        <v>529</v>
      </c>
      <c r="C393" s="1" t="s">
        <v>213</v>
      </c>
      <c r="D393" s="3">
        <v>42.730523685204602</v>
      </c>
      <c r="E393" s="3">
        <v>-73.666413788847194</v>
      </c>
      <c r="F393" s="10">
        <f>COUNTIFS(Connections!$B$6:$B$589,A393)+COUNTIFS(Connections!$C$6:$C$589,A393)</f>
        <v>1</v>
      </c>
      <c r="G393" s="10">
        <f>COUNTIFS(Connections!$B$6:$B$589,A393,Connections!$D$6:$D$589,"TRUE")+COUNTIFS(Connections!$C$6:$C$589,A393,Connections!$D$6:$D$589,"TRUE")</f>
        <v>0</v>
      </c>
      <c r="H393" s="11" t="s">
        <v>69</v>
      </c>
      <c r="I393" s="11" t="s">
        <v>70</v>
      </c>
      <c r="J393" s="12"/>
      <c r="K393" s="11"/>
      <c r="L393" s="4"/>
      <c r="M393" s="1" t="s">
        <v>215</v>
      </c>
      <c r="N393" s="1">
        <v>316</v>
      </c>
    </row>
    <row r="394" spans="1:14" ht="23.1" customHeight="1">
      <c r="A394" s="1" t="s">
        <v>530</v>
      </c>
      <c r="B394" s="1" t="s">
        <v>530</v>
      </c>
      <c r="C394" s="1" t="s">
        <v>213</v>
      </c>
      <c r="D394" s="3">
        <v>42.731418006416099</v>
      </c>
      <c r="E394" s="3">
        <v>-73.666321473916497</v>
      </c>
      <c r="F394" s="10">
        <f>COUNTIFS(Connections!$B$6:$B$589,A394)+COUNTIFS(Connections!$C$6:$C$589,A394)</f>
        <v>3</v>
      </c>
      <c r="G394" s="10">
        <f>COUNTIFS(Connections!$B$6:$B$589,A394,Connections!$D$6:$D$589,"TRUE")+COUNTIFS(Connections!$C$6:$C$589,A394,Connections!$D$6:$D$589,"TRUE")</f>
        <v>0</v>
      </c>
      <c r="H394" s="11" t="s">
        <v>69</v>
      </c>
      <c r="I394" s="11" t="s">
        <v>70</v>
      </c>
      <c r="J394" s="12"/>
      <c r="K394" s="11"/>
      <c r="L394" s="4"/>
      <c r="M394" s="1" t="s">
        <v>215</v>
      </c>
      <c r="N394" s="1">
        <v>317</v>
      </c>
    </row>
    <row r="395" spans="1:14" ht="23.1" customHeight="1">
      <c r="A395" s="1" t="s">
        <v>531</v>
      </c>
      <c r="B395" s="1" t="s">
        <v>531</v>
      </c>
      <c r="C395" s="1" t="s">
        <v>213</v>
      </c>
      <c r="D395" s="3">
        <v>42.7320008095706</v>
      </c>
      <c r="E395" s="3">
        <v>-73.667738030610906</v>
      </c>
      <c r="F395" s="10">
        <f>COUNTIFS(Connections!$B$6:$B$589,A395)+COUNTIFS(Connections!$C$6:$C$589,A395)</f>
        <v>2</v>
      </c>
      <c r="G395" s="10">
        <f>COUNTIFS(Connections!$B$6:$B$589,A395,Connections!$D$6:$D$589,"TRUE")+COUNTIFS(Connections!$C$6:$C$589,A395,Connections!$D$6:$D$589,"TRUE")</f>
        <v>0</v>
      </c>
      <c r="H395" s="11" t="s">
        <v>69</v>
      </c>
      <c r="I395" s="11" t="s">
        <v>70</v>
      </c>
      <c r="J395" s="12"/>
      <c r="K395" s="11"/>
      <c r="L395" s="4"/>
      <c r="M395" s="1" t="s">
        <v>215</v>
      </c>
      <c r="N395" s="1">
        <v>318</v>
      </c>
    </row>
    <row r="396" spans="1:14" ht="23.1" customHeight="1">
      <c r="A396" s="1" t="s">
        <v>532</v>
      </c>
      <c r="B396" s="1" t="s">
        <v>532</v>
      </c>
      <c r="C396" s="1" t="s">
        <v>213</v>
      </c>
      <c r="D396" s="3">
        <v>42.731360530759801</v>
      </c>
      <c r="E396" s="3">
        <v>-73.668279187100893</v>
      </c>
      <c r="F396" s="10">
        <f>COUNTIFS(Connections!$B$6:$B$589,A396)+COUNTIFS(Connections!$C$6:$C$589,A396)</f>
        <v>3</v>
      </c>
      <c r="G396" s="10">
        <f>COUNTIFS(Connections!$B$6:$B$589,A396,Connections!$D$6:$D$589,"TRUE")+COUNTIFS(Connections!$C$6:$C$589,A396,Connections!$D$6:$D$589,"TRUE")</f>
        <v>0</v>
      </c>
      <c r="H396" s="11" t="s">
        <v>69</v>
      </c>
      <c r="I396" s="11" t="s">
        <v>70</v>
      </c>
      <c r="J396" s="12"/>
      <c r="K396" s="11"/>
      <c r="L396" s="4"/>
      <c r="M396" s="1" t="s">
        <v>215</v>
      </c>
      <c r="N396" s="1">
        <v>319</v>
      </c>
    </row>
    <row r="397" spans="1:14" ht="23.1" customHeight="1">
      <c r="A397" s="1" t="s">
        <v>533</v>
      </c>
      <c r="B397" s="1" t="s">
        <v>533</v>
      </c>
      <c r="C397" s="1" t="s">
        <v>213</v>
      </c>
      <c r="D397" s="3">
        <v>42.731303055103602</v>
      </c>
      <c r="E397" s="3">
        <v>-73.667816020810903</v>
      </c>
      <c r="F397" s="10">
        <f>COUNTIFS(Connections!$B$6:$B$589,A397)+COUNTIFS(Connections!$C$6:$C$589,A397)</f>
        <v>2</v>
      </c>
      <c r="G397" s="10">
        <f>COUNTIFS(Connections!$B$6:$B$589,A397,Connections!$D$6:$D$589,"TRUE")+COUNTIFS(Connections!$C$6:$C$589,A397,Connections!$D$6:$D$589,"TRUE")</f>
        <v>0</v>
      </c>
      <c r="H397" s="11" t="s">
        <v>69</v>
      </c>
      <c r="I397" s="11" t="s">
        <v>70</v>
      </c>
      <c r="J397" s="12"/>
      <c r="K397" s="11"/>
      <c r="L397" s="4"/>
      <c r="M397" s="1" t="s">
        <v>215</v>
      </c>
      <c r="N397" s="1">
        <v>320</v>
      </c>
    </row>
    <row r="398" spans="1:14" ht="23.1" customHeight="1">
      <c r="A398" s="1" t="s">
        <v>534</v>
      </c>
      <c r="B398" s="1" t="s">
        <v>534</v>
      </c>
      <c r="C398" s="1" t="s">
        <v>213</v>
      </c>
      <c r="D398" s="3">
        <v>42.731805392339297</v>
      </c>
      <c r="E398" s="3">
        <v>-73.667287597414798</v>
      </c>
      <c r="F398" s="10">
        <f>COUNTIFS(Connections!$B$6:$B$589,A398)+COUNTIFS(Connections!$C$6:$C$589,A398)</f>
        <v>3</v>
      </c>
      <c r="G398" s="10">
        <f>COUNTIFS(Connections!$B$6:$B$589,A398,Connections!$D$6:$D$589,"TRUE")+COUNTIFS(Connections!$C$6:$C$589,A398,Connections!$D$6:$D$589,"TRUE")</f>
        <v>0</v>
      </c>
      <c r="H398" s="11" t="s">
        <v>69</v>
      </c>
      <c r="I398" s="11" t="s">
        <v>70</v>
      </c>
      <c r="J398" s="12"/>
      <c r="K398" s="11"/>
      <c r="L398" s="4"/>
      <c r="M398" s="1" t="s">
        <v>215</v>
      </c>
      <c r="N398" s="1">
        <v>321</v>
      </c>
    </row>
    <row r="399" spans="1:14" ht="23.1" customHeight="1">
      <c r="A399" s="1" t="s">
        <v>535</v>
      </c>
      <c r="B399" s="1" t="s">
        <v>535</v>
      </c>
      <c r="C399" s="1" t="s">
        <v>213</v>
      </c>
      <c r="D399" s="3">
        <v>42.731316849261098</v>
      </c>
      <c r="E399" s="3">
        <v>-73.666915154418803</v>
      </c>
      <c r="F399" s="10">
        <f>COUNTIFS(Connections!$B$6:$B$589,A399)+COUNTIFS(Connections!$C$6:$C$589,A399)</f>
        <v>1</v>
      </c>
      <c r="G399" s="10">
        <f>COUNTIFS(Connections!$B$6:$B$589,A399,Connections!$D$6:$D$589,"TRUE")+COUNTIFS(Connections!$C$6:$C$589,A399,Connections!$D$6:$D$589,"TRUE")</f>
        <v>0</v>
      </c>
      <c r="H399" s="11" t="s">
        <v>69</v>
      </c>
      <c r="I399" s="11" t="s">
        <v>70</v>
      </c>
      <c r="J399" s="12"/>
      <c r="K399" s="11"/>
      <c r="L399" s="4"/>
      <c r="M399" s="1" t="s">
        <v>215</v>
      </c>
      <c r="N399" s="1">
        <v>322</v>
      </c>
    </row>
    <row r="400" spans="1:14" ht="23.1" customHeight="1">
      <c r="A400" s="1" t="s">
        <v>536</v>
      </c>
      <c r="B400" s="1" t="s">
        <v>536</v>
      </c>
      <c r="C400" s="1" t="s">
        <v>213</v>
      </c>
      <c r="D400" s="3">
        <v>42.7338342830055</v>
      </c>
      <c r="E400" s="3">
        <v>-73.667687098235405</v>
      </c>
      <c r="F400" s="10">
        <f>COUNTIFS(Connections!$B$6:$B$589,A400)+COUNTIFS(Connections!$C$6:$C$589,A400)</f>
        <v>3</v>
      </c>
      <c r="G400" s="10">
        <f>COUNTIFS(Connections!$B$6:$B$589,A400,Connections!$D$6:$D$589,"TRUE")+COUNTIFS(Connections!$C$6:$C$589,A400,Connections!$D$6:$D$589,"TRUE")</f>
        <v>0</v>
      </c>
      <c r="H400" s="11" t="s">
        <v>69</v>
      </c>
      <c r="I400" s="11" t="s">
        <v>70</v>
      </c>
      <c r="J400" s="12"/>
      <c r="K400" s="11"/>
      <c r="L400" s="4"/>
      <c r="M400" s="1" t="s">
        <v>215</v>
      </c>
      <c r="N400" s="1">
        <v>323</v>
      </c>
    </row>
    <row r="401" spans="1:14" ht="23.1" customHeight="1">
      <c r="A401" s="1" t="s">
        <v>537</v>
      </c>
      <c r="B401" s="1" t="s">
        <v>537</v>
      </c>
      <c r="C401" s="1" t="s">
        <v>213</v>
      </c>
      <c r="D401" s="3">
        <v>42.733751518060501</v>
      </c>
      <c r="E401" s="3">
        <v>-73.667196874120904</v>
      </c>
      <c r="F401" s="10">
        <f>COUNTIFS(Connections!$B$6:$B$589,A401)+COUNTIFS(Connections!$C$6:$C$589,A401)</f>
        <v>4</v>
      </c>
      <c r="G401" s="10">
        <f>COUNTIFS(Connections!$B$6:$B$589,A401,Connections!$D$6:$D$589,"TRUE")+COUNTIFS(Connections!$C$6:$C$589,A401,Connections!$D$6:$D$589,"TRUE")</f>
        <v>0</v>
      </c>
      <c r="H401" s="11" t="s">
        <v>69</v>
      </c>
      <c r="I401" s="11" t="s">
        <v>70</v>
      </c>
      <c r="J401" s="12"/>
      <c r="K401" s="11"/>
      <c r="L401" s="4"/>
      <c r="M401" s="1" t="s">
        <v>215</v>
      </c>
      <c r="N401" s="1">
        <v>324</v>
      </c>
    </row>
    <row r="402" spans="1:14" ht="23.1" customHeight="1">
      <c r="A402" s="1" t="s">
        <v>538</v>
      </c>
      <c r="B402" s="1" t="s">
        <v>538</v>
      </c>
      <c r="C402" s="1" t="s">
        <v>213</v>
      </c>
      <c r="D402" s="3">
        <v>42.732682470853902</v>
      </c>
      <c r="E402" s="3">
        <v>-73.667456310908705</v>
      </c>
      <c r="F402" s="10">
        <f>COUNTIFS(Connections!$B$6:$B$589,A402)+COUNTIFS(Connections!$C$6:$C$589,A402)</f>
        <v>3</v>
      </c>
      <c r="G402" s="10">
        <f>COUNTIFS(Connections!$B$6:$B$589,A402,Connections!$D$6:$D$589,"TRUE")+COUNTIFS(Connections!$C$6:$C$589,A402,Connections!$D$6:$D$589,"TRUE")</f>
        <v>0</v>
      </c>
      <c r="H402" s="11" t="s">
        <v>69</v>
      </c>
      <c r="I402" s="11" t="s">
        <v>70</v>
      </c>
      <c r="J402" s="12"/>
      <c r="K402" s="11"/>
      <c r="L402" s="4"/>
      <c r="M402" s="1" t="s">
        <v>215</v>
      </c>
      <c r="N402" s="1">
        <v>325</v>
      </c>
    </row>
    <row r="403" spans="1:14" ht="23.1" customHeight="1">
      <c r="A403" s="1" t="s">
        <v>539</v>
      </c>
      <c r="B403" s="1" t="s">
        <v>539</v>
      </c>
      <c r="C403" s="1" t="s">
        <v>213</v>
      </c>
      <c r="D403" s="3">
        <v>42.732524987555799</v>
      </c>
      <c r="E403" s="3">
        <v>-73.666512470324705</v>
      </c>
      <c r="F403" s="10">
        <f>COUNTIFS(Connections!$B$6:$B$589,A403)+COUNTIFS(Connections!$C$6:$C$589,A403)</f>
        <v>5</v>
      </c>
      <c r="G403" s="10">
        <f>COUNTIFS(Connections!$B$6:$B$589,A403,Connections!$D$6:$D$589,"TRUE")+COUNTIFS(Connections!$C$6:$C$589,A403,Connections!$D$6:$D$589,"TRUE")</f>
        <v>0</v>
      </c>
      <c r="H403" s="11" t="s">
        <v>69</v>
      </c>
      <c r="I403" s="11" t="s">
        <v>70</v>
      </c>
      <c r="J403" s="12"/>
      <c r="K403" s="11"/>
      <c r="L403" s="4"/>
      <c r="M403" s="1" t="s">
        <v>215</v>
      </c>
      <c r="N403" s="1">
        <v>326</v>
      </c>
    </row>
    <row r="404" spans="1:14" ht="23.1" customHeight="1">
      <c r="A404" s="1" t="s">
        <v>540</v>
      </c>
      <c r="B404" s="1" t="s">
        <v>540</v>
      </c>
      <c r="C404" s="1" t="s">
        <v>213</v>
      </c>
      <c r="D404" s="3">
        <v>42.733603230867303</v>
      </c>
      <c r="E404" s="3">
        <v>-73.6661575353328</v>
      </c>
      <c r="F404" s="10">
        <f>COUNTIFS(Connections!$B$6:$B$589,A404)+COUNTIFS(Connections!$C$6:$C$589,A404)</f>
        <v>4</v>
      </c>
      <c r="G404" s="10">
        <f>COUNTIFS(Connections!$B$6:$B$589,A404,Connections!$D$6:$D$589,"TRUE")+COUNTIFS(Connections!$C$6:$C$589,A404,Connections!$D$6:$D$589,"TRUE")</f>
        <v>0</v>
      </c>
      <c r="H404" s="11" t="s">
        <v>69</v>
      </c>
      <c r="I404" s="11" t="s">
        <v>70</v>
      </c>
      <c r="J404" s="12"/>
      <c r="K404" s="11"/>
      <c r="L404" s="4"/>
      <c r="M404" s="1" t="s">
        <v>215</v>
      </c>
      <c r="N404" s="1">
        <v>327</v>
      </c>
    </row>
    <row r="405" spans="1:14" ht="23.1" customHeight="1">
      <c r="A405" s="1" t="s">
        <v>541</v>
      </c>
      <c r="B405" s="1" t="s">
        <v>541</v>
      </c>
      <c r="C405" s="1" t="s">
        <v>213</v>
      </c>
      <c r="D405" s="3">
        <v>42.7316502080674</v>
      </c>
      <c r="E405" s="3">
        <v>-73.666792598390103</v>
      </c>
      <c r="F405" s="10">
        <f>COUNTIFS(Connections!$B$6:$B$589,A405)+COUNTIFS(Connections!$C$6:$C$589,A405)</f>
        <v>3</v>
      </c>
      <c r="G405" s="10">
        <f>COUNTIFS(Connections!$B$6:$B$589,A405,Connections!$D$6:$D$589,"TRUE")+COUNTIFS(Connections!$C$6:$C$589,A405,Connections!$D$6:$D$589,"TRUE")</f>
        <v>0</v>
      </c>
      <c r="H405" s="11" t="s">
        <v>69</v>
      </c>
      <c r="I405" s="11" t="s">
        <v>70</v>
      </c>
      <c r="J405" s="12"/>
      <c r="K405" s="11"/>
      <c r="L405" s="4"/>
      <c r="M405" s="1" t="s">
        <v>215</v>
      </c>
      <c r="N405" s="1">
        <v>328</v>
      </c>
    </row>
    <row r="406" spans="1:14" ht="23.1" customHeight="1">
      <c r="A406" s="1" t="s">
        <v>542</v>
      </c>
      <c r="B406" s="1" t="s">
        <v>542</v>
      </c>
      <c r="C406" s="1" t="s">
        <v>213</v>
      </c>
      <c r="D406" s="3">
        <v>42.732150246276902</v>
      </c>
      <c r="E406" s="3">
        <v>-73.665597279202004</v>
      </c>
      <c r="F406" s="10">
        <f>COUNTIFS(Connections!$B$6:$B$589,A406)+COUNTIFS(Connections!$C$6:$C$589,A406)</f>
        <v>2</v>
      </c>
      <c r="G406" s="10">
        <f>COUNTIFS(Connections!$B$6:$B$589,A406,Connections!$D$6:$D$589,"TRUE")+COUNTIFS(Connections!$C$6:$C$589,A406,Connections!$D$6:$D$589,"TRUE")</f>
        <v>0</v>
      </c>
      <c r="H406" s="11" t="s">
        <v>69</v>
      </c>
      <c r="I406" s="11" t="s">
        <v>70</v>
      </c>
      <c r="J406" s="12"/>
      <c r="K406" s="11"/>
      <c r="L406" s="4"/>
      <c r="M406" s="1" t="s">
        <v>215</v>
      </c>
      <c r="N406" s="1">
        <v>329</v>
      </c>
    </row>
    <row r="407" spans="1:14" ht="23.1" customHeight="1">
      <c r="A407" s="1" t="s">
        <v>543</v>
      </c>
      <c r="B407" s="1" t="s">
        <v>543</v>
      </c>
      <c r="C407" s="1" t="s">
        <v>213</v>
      </c>
      <c r="D407" s="3">
        <v>42.732828459020801</v>
      </c>
      <c r="E407" s="3">
        <v>-73.664761669915904</v>
      </c>
      <c r="F407" s="10">
        <f>COUNTIFS(Connections!$B$6:$B$589,A407)+COUNTIFS(Connections!$C$6:$C$589,A407)</f>
        <v>3</v>
      </c>
      <c r="G407" s="10">
        <f>COUNTIFS(Connections!$B$6:$B$589,A407,Connections!$D$6:$D$589,"TRUE")+COUNTIFS(Connections!$C$6:$C$589,A407,Connections!$D$6:$D$589,"TRUE")</f>
        <v>0</v>
      </c>
      <c r="H407" s="11" t="s">
        <v>69</v>
      </c>
      <c r="I407" s="11" t="s">
        <v>70</v>
      </c>
      <c r="J407" s="12"/>
      <c r="K407" s="11"/>
      <c r="L407" s="4"/>
      <c r="M407" s="1" t="s">
        <v>215</v>
      </c>
      <c r="N407" s="1">
        <v>330</v>
      </c>
    </row>
    <row r="408" spans="1:14" ht="23.1" customHeight="1">
      <c r="A408" s="1" t="s">
        <v>544</v>
      </c>
      <c r="B408" s="1" t="s">
        <v>544</v>
      </c>
      <c r="C408" s="1" t="s">
        <v>213</v>
      </c>
      <c r="D408" s="3">
        <v>42.732920420070897</v>
      </c>
      <c r="E408" s="3">
        <v>-73.665350575508</v>
      </c>
      <c r="F408" s="10">
        <f>COUNTIFS(Connections!$B$6:$B$589,A408)+COUNTIFS(Connections!$C$6:$C$589,A408)</f>
        <v>2</v>
      </c>
      <c r="G408" s="10">
        <f>COUNTIFS(Connections!$B$6:$B$589,A408,Connections!$D$6:$D$589,"TRUE")+COUNTIFS(Connections!$C$6:$C$589,A408,Connections!$D$6:$D$589,"TRUE")</f>
        <v>0</v>
      </c>
      <c r="H408" s="11" t="s">
        <v>69</v>
      </c>
      <c r="I408" s="11" t="s">
        <v>70</v>
      </c>
      <c r="J408" s="12"/>
      <c r="K408" s="11"/>
      <c r="L408" s="4"/>
      <c r="M408" s="1" t="s">
        <v>215</v>
      </c>
      <c r="N408" s="1">
        <v>331</v>
      </c>
    </row>
    <row r="409" spans="1:14" ht="23.1" customHeight="1">
      <c r="A409" s="1" t="s">
        <v>545</v>
      </c>
      <c r="B409" s="1" t="s">
        <v>545</v>
      </c>
      <c r="C409" s="1" t="s">
        <v>213</v>
      </c>
      <c r="D409" s="3">
        <v>42.733012381120901</v>
      </c>
      <c r="E409" s="3">
        <v>-73.665688002495898</v>
      </c>
      <c r="F409" s="10">
        <f>COUNTIFS(Connections!$B$6:$B$589,A409)+COUNTIFS(Connections!$C$6:$C$589,A409)</f>
        <v>3</v>
      </c>
      <c r="G409" s="10">
        <f>COUNTIFS(Connections!$B$6:$B$589,A409,Connections!$D$6:$D$589,"TRUE")+COUNTIFS(Connections!$C$6:$C$589,A409,Connections!$D$6:$D$589,"TRUE")</f>
        <v>0</v>
      </c>
      <c r="H409" s="11" t="s">
        <v>69</v>
      </c>
      <c r="I409" s="11" t="s">
        <v>70</v>
      </c>
      <c r="J409" s="12"/>
      <c r="K409" s="11"/>
      <c r="L409" s="4"/>
      <c r="M409" s="1" t="s">
        <v>215</v>
      </c>
      <c r="N409" s="1">
        <v>332</v>
      </c>
    </row>
    <row r="410" spans="1:14" ht="23.1" customHeight="1">
      <c r="A410" s="1" t="s">
        <v>546</v>
      </c>
      <c r="B410" s="1" t="s">
        <v>546</v>
      </c>
      <c r="C410" s="1" t="s">
        <v>213</v>
      </c>
      <c r="D410" s="3">
        <v>42.733049165540898</v>
      </c>
      <c r="E410" s="3">
        <v>-73.665961764014298</v>
      </c>
      <c r="F410" s="10">
        <f>COUNTIFS(Connections!$B$6:$B$589,A410)+COUNTIFS(Connections!$C$6:$C$589,A410)</f>
        <v>3</v>
      </c>
      <c r="G410" s="10">
        <f>COUNTIFS(Connections!$B$6:$B$589,A410,Connections!$D$6:$D$589,"TRUE")+COUNTIFS(Connections!$C$6:$C$589,A410,Connections!$D$6:$D$589,"TRUE")</f>
        <v>0</v>
      </c>
      <c r="H410" s="11" t="s">
        <v>69</v>
      </c>
      <c r="I410" s="11" t="s">
        <v>70</v>
      </c>
      <c r="J410" s="12"/>
      <c r="K410" s="11"/>
      <c r="L410" s="4"/>
      <c r="M410" s="1" t="s">
        <v>215</v>
      </c>
      <c r="N410" s="1">
        <v>333</v>
      </c>
    </row>
    <row r="411" spans="1:14" ht="23.1" customHeight="1">
      <c r="A411" s="1" t="s">
        <v>547</v>
      </c>
      <c r="B411" s="1" t="s">
        <v>547</v>
      </c>
      <c r="C411" s="1" t="s">
        <v>213</v>
      </c>
      <c r="D411" s="3">
        <v>42.733037670409601</v>
      </c>
      <c r="E411" s="3">
        <v>-73.666082728406195</v>
      </c>
      <c r="F411" s="10">
        <f>COUNTIFS(Connections!$B$6:$B$589,A411)+COUNTIFS(Connections!$C$6:$C$589,A411)</f>
        <v>2</v>
      </c>
      <c r="G411" s="10">
        <f>COUNTIFS(Connections!$B$6:$B$589,A411,Connections!$D$6:$D$589,"TRUE")+COUNTIFS(Connections!$C$6:$C$589,A411,Connections!$D$6:$D$589,"TRUE")</f>
        <v>0</v>
      </c>
      <c r="H411" s="11" t="s">
        <v>69</v>
      </c>
      <c r="I411" s="11" t="s">
        <v>70</v>
      </c>
      <c r="J411" s="12"/>
      <c r="K411" s="11"/>
      <c r="L411" s="4"/>
      <c r="M411" s="1" t="s">
        <v>215</v>
      </c>
      <c r="N411" s="1">
        <v>334</v>
      </c>
    </row>
    <row r="412" spans="1:14" ht="23.1" customHeight="1">
      <c r="A412" s="1" t="s">
        <v>548</v>
      </c>
      <c r="B412" s="1" t="s">
        <v>548</v>
      </c>
      <c r="C412" s="1" t="s">
        <v>213</v>
      </c>
      <c r="D412" s="3">
        <v>42.7324951002145</v>
      </c>
      <c r="E412" s="3">
        <v>-73.666245075353203</v>
      </c>
      <c r="F412" s="10">
        <f>COUNTIFS(Connections!$B$6:$B$589,A412)+COUNTIFS(Connections!$C$6:$C$589,A412)</f>
        <v>2</v>
      </c>
      <c r="G412" s="10">
        <f>COUNTIFS(Connections!$B$6:$B$589,A412,Connections!$D$6:$D$589,"TRUE")+COUNTIFS(Connections!$C$6:$C$589,A412,Connections!$D$6:$D$589,"TRUE")</f>
        <v>0</v>
      </c>
      <c r="H412" s="11" t="s">
        <v>69</v>
      </c>
      <c r="I412" s="11" t="s">
        <v>70</v>
      </c>
      <c r="J412" s="12"/>
      <c r="K412" s="11"/>
      <c r="L412" s="4"/>
      <c r="M412" s="1" t="s">
        <v>215</v>
      </c>
      <c r="N412" s="1">
        <v>335</v>
      </c>
    </row>
    <row r="413" spans="1:14" ht="23.1" customHeight="1">
      <c r="A413" s="1" t="s">
        <v>549</v>
      </c>
      <c r="B413" s="1" t="s">
        <v>549</v>
      </c>
      <c r="C413" s="1" t="s">
        <v>213</v>
      </c>
      <c r="D413" s="3">
        <v>42.7335997823279</v>
      </c>
      <c r="E413" s="3">
        <v>-73.665859899263296</v>
      </c>
      <c r="F413" s="10">
        <f>COUNTIFS(Connections!$B$6:$B$589,A413)+COUNTIFS(Connections!$C$6:$C$589,A413)</f>
        <v>3</v>
      </c>
      <c r="G413" s="10">
        <f>COUNTIFS(Connections!$B$6:$B$589,A413,Connections!$D$6:$D$589,"TRUE")+COUNTIFS(Connections!$C$6:$C$589,A413,Connections!$D$6:$D$589,"TRUE")</f>
        <v>0</v>
      </c>
      <c r="H413" s="11" t="s">
        <v>69</v>
      </c>
      <c r="I413" s="11" t="s">
        <v>70</v>
      </c>
      <c r="J413" s="12"/>
      <c r="K413" s="11"/>
      <c r="L413" s="4"/>
      <c r="M413" s="1" t="s">
        <v>215</v>
      </c>
      <c r="N413" s="1">
        <v>336</v>
      </c>
    </row>
    <row r="414" spans="1:14" ht="23.1" customHeight="1">
      <c r="A414" s="1" t="s">
        <v>550</v>
      </c>
      <c r="B414" s="1" t="s">
        <v>550</v>
      </c>
      <c r="C414" s="1" t="s">
        <v>213</v>
      </c>
      <c r="D414" s="3">
        <v>42.733927393568599</v>
      </c>
      <c r="E414" s="3">
        <v>-73.663404003780798</v>
      </c>
      <c r="F414" s="10">
        <f>COUNTIFS(Connections!$B$6:$B$589,A414)+COUNTIFS(Connections!$C$6:$C$589,A414)</f>
        <v>2</v>
      </c>
      <c r="G414" s="10">
        <f>COUNTIFS(Connections!$B$6:$B$589,A414,Connections!$D$6:$D$589,"TRUE")+COUNTIFS(Connections!$C$6:$C$589,A414,Connections!$D$6:$D$589,"TRUE")</f>
        <v>0</v>
      </c>
      <c r="H414" s="11" t="s">
        <v>69</v>
      </c>
      <c r="I414" s="11" t="s">
        <v>70</v>
      </c>
      <c r="J414" s="12"/>
      <c r="K414" s="11"/>
      <c r="L414" s="4"/>
      <c r="M414" s="1" t="s">
        <v>215</v>
      </c>
      <c r="N414" s="1">
        <v>337</v>
      </c>
    </row>
    <row r="415" spans="1:14" ht="23.1" customHeight="1">
      <c r="A415" s="1" t="s">
        <v>551</v>
      </c>
      <c r="B415" s="1" t="s">
        <v>551</v>
      </c>
      <c r="C415" s="1" t="s">
        <v>213</v>
      </c>
      <c r="D415" s="3">
        <v>42.7334032155835</v>
      </c>
      <c r="E415" s="3">
        <v>-73.665079997263007</v>
      </c>
      <c r="F415" s="10">
        <f>COUNTIFS(Connections!$B$6:$B$589,A415)+COUNTIFS(Connections!$C$6:$C$589,A415)</f>
        <v>2</v>
      </c>
      <c r="G415" s="10">
        <f>COUNTIFS(Connections!$B$6:$B$589,A415,Connections!$D$6:$D$589,"TRUE")+COUNTIFS(Connections!$C$6:$C$589,A415,Connections!$D$6:$D$589,"TRUE")</f>
        <v>0</v>
      </c>
      <c r="H415" s="11" t="s">
        <v>69</v>
      </c>
      <c r="I415" s="11" t="s">
        <v>70</v>
      </c>
      <c r="J415" s="12"/>
      <c r="K415" s="11"/>
      <c r="L415" s="4"/>
      <c r="M415" s="1" t="s">
        <v>215</v>
      </c>
      <c r="N415" s="1">
        <v>338</v>
      </c>
    </row>
    <row r="416" spans="1:14" ht="23.1" customHeight="1">
      <c r="A416" s="1" t="s">
        <v>552</v>
      </c>
      <c r="B416" s="1" t="s">
        <v>552</v>
      </c>
      <c r="C416" s="1" t="s">
        <v>213</v>
      </c>
      <c r="D416" s="3">
        <v>42.733931991621098</v>
      </c>
      <c r="E416" s="3">
        <v>-73.664955849597604</v>
      </c>
      <c r="F416" s="10">
        <f>COUNTIFS(Connections!$B$6:$B$589,A416)+COUNTIFS(Connections!$C$6:$C$589,A416)</f>
        <v>2</v>
      </c>
      <c r="G416" s="10">
        <f>COUNTIFS(Connections!$B$6:$B$589,A416,Connections!$D$6:$D$589,"TRUE")+COUNTIFS(Connections!$C$6:$C$589,A416,Connections!$D$6:$D$589,"TRUE")</f>
        <v>0</v>
      </c>
      <c r="H416" s="11" t="s">
        <v>69</v>
      </c>
      <c r="I416" s="11" t="s">
        <v>70</v>
      </c>
      <c r="J416" s="12"/>
      <c r="K416" s="11"/>
      <c r="L416" s="4"/>
      <c r="M416" s="1" t="s">
        <v>215</v>
      </c>
      <c r="N416" s="1">
        <v>339</v>
      </c>
    </row>
    <row r="417" spans="1:14" ht="23.1" customHeight="1">
      <c r="A417" s="1" t="s">
        <v>553</v>
      </c>
      <c r="B417" s="1" t="s">
        <v>553</v>
      </c>
      <c r="C417" s="1" t="s">
        <v>213</v>
      </c>
      <c r="D417" s="3">
        <v>42.734260752375</v>
      </c>
      <c r="E417" s="3">
        <v>-73.664486316760701</v>
      </c>
      <c r="F417" s="10">
        <f>COUNTIFS(Connections!$B$6:$B$589,A417)+COUNTIFS(Connections!$C$6:$C$589,A417)</f>
        <v>2</v>
      </c>
      <c r="G417" s="10">
        <f>COUNTIFS(Connections!$B$6:$B$589,A417,Connections!$D$6:$D$589,"TRUE")+COUNTIFS(Connections!$C$6:$C$589,A417,Connections!$D$6:$D$589,"TRUE")</f>
        <v>0</v>
      </c>
      <c r="H417" s="11" t="s">
        <v>69</v>
      </c>
      <c r="I417" s="11" t="s">
        <v>70</v>
      </c>
      <c r="J417" s="12"/>
      <c r="K417" s="11"/>
      <c r="L417" s="4"/>
      <c r="M417" s="1" t="s">
        <v>215</v>
      </c>
      <c r="N417" s="1">
        <v>340</v>
      </c>
    </row>
    <row r="418" spans="1:14" ht="23.1" customHeight="1">
      <c r="A418" s="1" t="s">
        <v>554</v>
      </c>
      <c r="B418" s="1" t="s">
        <v>554</v>
      </c>
      <c r="C418" s="1" t="s">
        <v>213</v>
      </c>
      <c r="D418" s="3">
        <v>42.734652736350697</v>
      </c>
      <c r="E418" s="3">
        <v>-73.664395593466807</v>
      </c>
      <c r="F418" s="10">
        <f>COUNTIFS(Connections!$B$6:$B$589,A418)+COUNTIFS(Connections!$C$6:$C$589,A418)</f>
        <v>4</v>
      </c>
      <c r="G418" s="10">
        <f>COUNTIFS(Connections!$B$6:$B$589,A418,Connections!$D$6:$D$589,"TRUE")+COUNTIFS(Connections!$C$6:$C$589,A418,Connections!$D$6:$D$589,"TRUE")</f>
        <v>0</v>
      </c>
      <c r="H418" s="11" t="s">
        <v>69</v>
      </c>
      <c r="I418" s="11" t="s">
        <v>70</v>
      </c>
      <c r="J418" s="12"/>
      <c r="K418" s="11"/>
      <c r="L418" s="4"/>
      <c r="M418" s="1" t="s">
        <v>215</v>
      </c>
      <c r="N418" s="1">
        <v>341</v>
      </c>
    </row>
    <row r="419" spans="1:14" ht="23.1" customHeight="1">
      <c r="A419" s="1" t="s">
        <v>555</v>
      </c>
      <c r="B419" s="1" t="s">
        <v>555</v>
      </c>
      <c r="C419" s="1" t="s">
        <v>213</v>
      </c>
      <c r="D419" s="3">
        <v>42.734481458894997</v>
      </c>
      <c r="E419" s="3">
        <v>-73.663187541184797</v>
      </c>
      <c r="F419" s="10">
        <f>COUNTIFS(Connections!$B$6:$B$589,A419)+COUNTIFS(Connections!$C$6:$C$589,A419)</f>
        <v>3</v>
      </c>
      <c r="G419" s="10">
        <f>COUNTIFS(Connections!$B$6:$B$589,A419,Connections!$D$6:$D$589,"TRUE")+COUNTIFS(Connections!$C$6:$C$589,A419,Connections!$D$6:$D$589,"TRUE")</f>
        <v>0</v>
      </c>
      <c r="H419" s="11" t="s">
        <v>69</v>
      </c>
      <c r="I419" s="11" t="s">
        <v>70</v>
      </c>
      <c r="J419" s="12"/>
      <c r="K419" s="11"/>
      <c r="L419" s="4"/>
      <c r="M419" s="1" t="s">
        <v>215</v>
      </c>
      <c r="N419" s="1">
        <v>342</v>
      </c>
    </row>
    <row r="420" spans="1:14" ht="23.1" customHeight="1">
      <c r="A420" s="1" t="s">
        <v>556</v>
      </c>
      <c r="B420" s="1" t="s">
        <v>556</v>
      </c>
      <c r="C420" s="1" t="s">
        <v>213</v>
      </c>
      <c r="D420" s="3">
        <v>42.7355872905216</v>
      </c>
      <c r="E420" s="3">
        <v>-73.6642841788954</v>
      </c>
      <c r="F420" s="10">
        <f>COUNTIFS(Connections!$B$6:$B$589,A420)+COUNTIFS(Connections!$C$6:$C$589,A420)</f>
        <v>3</v>
      </c>
      <c r="G420" s="10">
        <f>COUNTIFS(Connections!$B$6:$B$589,A420,Connections!$D$6:$D$589,"TRUE")+COUNTIFS(Connections!$C$6:$C$589,A420,Connections!$D$6:$D$589,"TRUE")</f>
        <v>0</v>
      </c>
      <c r="H420" s="11" t="s">
        <v>69</v>
      </c>
      <c r="I420" s="11" t="s">
        <v>70</v>
      </c>
      <c r="J420" s="12"/>
      <c r="K420" s="11"/>
      <c r="L420" s="4"/>
      <c r="M420" s="1" t="s">
        <v>215</v>
      </c>
      <c r="N420" s="1">
        <v>343</v>
      </c>
    </row>
    <row r="421" spans="1:14" ht="23.1" customHeight="1">
      <c r="A421" s="1" t="s">
        <v>557</v>
      </c>
      <c r="B421" s="1" t="s">
        <v>557</v>
      </c>
      <c r="C421" s="1" t="s">
        <v>213</v>
      </c>
      <c r="D421" s="3">
        <v>42.735514871194702</v>
      </c>
      <c r="E421" s="3">
        <v>-73.6635201932624</v>
      </c>
      <c r="F421" s="10">
        <f>COUNTIFS(Connections!$B$6:$B$589,A421)+COUNTIFS(Connections!$C$6:$C$589,A421)</f>
        <v>3</v>
      </c>
      <c r="G421" s="10">
        <f>COUNTIFS(Connections!$B$6:$B$589,A421,Connections!$D$6:$D$589,"TRUE")+COUNTIFS(Connections!$C$6:$C$589,A421,Connections!$D$6:$D$589,"TRUE")</f>
        <v>0</v>
      </c>
      <c r="H421" s="11" t="s">
        <v>69</v>
      </c>
      <c r="I421" s="11" t="s">
        <v>70</v>
      </c>
      <c r="J421" s="12"/>
      <c r="K421" s="11"/>
      <c r="L421" s="4"/>
      <c r="M421" s="1" t="s">
        <v>215</v>
      </c>
      <c r="N421" s="1">
        <v>344</v>
      </c>
    </row>
    <row r="422" spans="1:14" ht="23.1" customHeight="1">
      <c r="A422" s="1" t="s">
        <v>558</v>
      </c>
      <c r="B422" s="1" t="s">
        <v>558</v>
      </c>
      <c r="C422" s="1" t="s">
        <v>213</v>
      </c>
      <c r="D422" s="3">
        <v>42.735529814865302</v>
      </c>
      <c r="E422" s="3">
        <v>-73.663830562425801</v>
      </c>
      <c r="F422" s="10">
        <f>COUNTIFS(Connections!$B$6:$B$589,A422)+COUNTIFS(Connections!$C$6:$C$589,A422)</f>
        <v>3</v>
      </c>
      <c r="G422" s="10">
        <f>COUNTIFS(Connections!$B$6:$B$589,A422,Connections!$D$6:$D$589,"TRUE")+COUNTIFS(Connections!$C$6:$C$589,A422,Connections!$D$6:$D$589,"TRUE")</f>
        <v>0</v>
      </c>
      <c r="H422" s="11" t="s">
        <v>69</v>
      </c>
      <c r="I422" s="11" t="s">
        <v>70</v>
      </c>
      <c r="J422" s="12"/>
      <c r="K422" s="11"/>
      <c r="L422" s="4"/>
      <c r="M422" s="1" t="s">
        <v>215</v>
      </c>
      <c r="N422" s="1">
        <v>345</v>
      </c>
    </row>
    <row r="423" spans="1:14" ht="23.1" customHeight="1">
      <c r="A423" s="1" t="s">
        <v>559</v>
      </c>
      <c r="B423" s="1" t="s">
        <v>559</v>
      </c>
      <c r="C423" s="1" t="s">
        <v>213</v>
      </c>
      <c r="D423" s="3">
        <v>42.735378079132801</v>
      </c>
      <c r="E423" s="3">
        <v>-73.663854436976806</v>
      </c>
      <c r="F423" s="10">
        <f>COUNTIFS(Connections!$B$6:$B$589,A423)+COUNTIFS(Connections!$C$6:$C$589,A423)</f>
        <v>2</v>
      </c>
      <c r="G423" s="10">
        <f>COUNTIFS(Connections!$B$6:$B$589,A423,Connections!$D$6:$D$589,"TRUE")+COUNTIFS(Connections!$C$6:$C$589,A423,Connections!$D$6:$D$589,"TRUE")</f>
        <v>0</v>
      </c>
      <c r="H423" s="11" t="s">
        <v>69</v>
      </c>
      <c r="I423" s="11" t="s">
        <v>70</v>
      </c>
      <c r="J423" s="12"/>
      <c r="K423" s="11"/>
      <c r="L423" s="4"/>
      <c r="M423" s="1" t="s">
        <v>215</v>
      </c>
      <c r="N423" s="1">
        <v>346</v>
      </c>
    </row>
    <row r="424" spans="1:14" ht="23.1" customHeight="1">
      <c r="A424" s="1" t="s">
        <v>560</v>
      </c>
      <c r="B424" s="1" t="s">
        <v>560</v>
      </c>
      <c r="C424" s="1" t="s">
        <v>213</v>
      </c>
      <c r="D424" s="3">
        <v>42.735437853815299</v>
      </c>
      <c r="E424" s="3">
        <v>-73.6632177822827</v>
      </c>
      <c r="F424" s="10">
        <f>COUNTIFS(Connections!$B$6:$B$589,A424)+COUNTIFS(Connections!$C$6:$C$589,A424)</f>
        <v>3</v>
      </c>
      <c r="G424" s="10">
        <f>COUNTIFS(Connections!$B$6:$B$589,A424,Connections!$D$6:$D$589,"TRUE")+COUNTIFS(Connections!$C$6:$C$589,A424,Connections!$D$6:$D$589,"TRUE")</f>
        <v>0</v>
      </c>
      <c r="H424" s="11" t="s">
        <v>69</v>
      </c>
      <c r="I424" s="11" t="s">
        <v>70</v>
      </c>
      <c r="J424" s="12"/>
      <c r="K424" s="11"/>
      <c r="L424" s="4"/>
      <c r="M424" s="1" t="s">
        <v>215</v>
      </c>
      <c r="N424" s="1">
        <v>347</v>
      </c>
    </row>
    <row r="425" spans="1:14" ht="23.1" customHeight="1">
      <c r="A425" s="1" t="s">
        <v>561</v>
      </c>
      <c r="B425" s="1" t="s">
        <v>561</v>
      </c>
      <c r="C425" s="1" t="s">
        <v>213</v>
      </c>
      <c r="D425" s="3">
        <v>42.735291865648399</v>
      </c>
      <c r="E425" s="3">
        <v>-73.663238473560298</v>
      </c>
      <c r="F425" s="10">
        <f>COUNTIFS(Connections!$B$6:$B$589,A425)+COUNTIFS(Connections!$C$6:$C$589,A425)</f>
        <v>2</v>
      </c>
      <c r="G425" s="10">
        <f>COUNTIFS(Connections!$B$6:$B$589,A425,Connections!$D$6:$D$589,"TRUE")+COUNTIFS(Connections!$C$6:$C$589,A425,Connections!$D$6:$D$589,"TRUE")</f>
        <v>0</v>
      </c>
      <c r="H425" s="11" t="s">
        <v>69</v>
      </c>
      <c r="I425" s="11" t="s">
        <v>70</v>
      </c>
      <c r="J425" s="12"/>
      <c r="K425" s="11"/>
      <c r="L425" s="4"/>
      <c r="M425" s="1" t="s">
        <v>215</v>
      </c>
      <c r="N425" s="1">
        <v>348</v>
      </c>
    </row>
    <row r="426" spans="1:14" ht="23.1" customHeight="1">
      <c r="A426" s="1" t="s">
        <v>562</v>
      </c>
      <c r="B426" s="1" t="s">
        <v>562</v>
      </c>
      <c r="C426" s="1" t="s">
        <v>213</v>
      </c>
      <c r="D426" s="3">
        <v>42.735338995686497</v>
      </c>
      <c r="E426" s="3">
        <v>-73.663561575817596</v>
      </c>
      <c r="F426" s="10">
        <f>COUNTIFS(Connections!$B$6:$B$589,A426)+COUNTIFS(Connections!$C$6:$C$589,A426)</f>
        <v>1</v>
      </c>
      <c r="G426" s="10">
        <f>COUNTIFS(Connections!$B$6:$B$589,A426,Connections!$D$6:$D$589,"TRUE")+COUNTIFS(Connections!$C$6:$C$589,A426,Connections!$D$6:$D$589,"TRUE")</f>
        <v>0</v>
      </c>
      <c r="H426" s="11" t="s">
        <v>69</v>
      </c>
      <c r="I426" s="11" t="s">
        <v>70</v>
      </c>
      <c r="J426" s="12"/>
      <c r="K426" s="11"/>
      <c r="L426" s="4"/>
      <c r="M426" s="1" t="s">
        <v>215</v>
      </c>
      <c r="N426" s="1">
        <v>349</v>
      </c>
    </row>
    <row r="427" spans="1:14" ht="23.1" customHeight="1">
      <c r="A427" s="1" t="s">
        <v>563</v>
      </c>
      <c r="B427" s="1" t="s">
        <v>563</v>
      </c>
      <c r="C427" s="1" t="s">
        <v>213</v>
      </c>
      <c r="D427" s="3">
        <v>42.7349665534339</v>
      </c>
      <c r="E427" s="3">
        <v>-73.663364212862405</v>
      </c>
      <c r="F427" s="10">
        <f>COUNTIFS(Connections!$B$6:$B$589,A427)+COUNTIFS(Connections!$C$6:$C$589,A427)</f>
        <v>2</v>
      </c>
      <c r="G427" s="10">
        <f>COUNTIFS(Connections!$B$6:$B$589,A427,Connections!$D$6:$D$589,"TRUE")+COUNTIFS(Connections!$C$6:$C$589,A427,Connections!$D$6:$D$589,"TRUE")</f>
        <v>0</v>
      </c>
      <c r="H427" s="11" t="s">
        <v>69</v>
      </c>
      <c r="I427" s="11" t="s">
        <v>70</v>
      </c>
      <c r="J427" s="12"/>
      <c r="K427" s="11"/>
      <c r="L427" s="4"/>
      <c r="M427" s="1" t="s">
        <v>215</v>
      </c>
      <c r="N427" s="1">
        <v>350</v>
      </c>
    </row>
    <row r="428" spans="1:14" ht="23.1" customHeight="1">
      <c r="A428" s="1" t="s">
        <v>564</v>
      </c>
      <c r="B428" s="1" t="s">
        <v>564</v>
      </c>
      <c r="C428" s="1" t="s">
        <v>213</v>
      </c>
      <c r="D428" s="3">
        <v>42.735101046469602</v>
      </c>
      <c r="E428" s="3">
        <v>-73.663897411168705</v>
      </c>
      <c r="F428" s="10">
        <f>COUNTIFS(Connections!$B$6:$B$589,A428)+COUNTIFS(Connections!$C$6:$C$589,A428)</f>
        <v>3</v>
      </c>
      <c r="G428" s="10">
        <f>COUNTIFS(Connections!$B$6:$B$589,A428,Connections!$D$6:$D$589,"TRUE")+COUNTIFS(Connections!$C$6:$C$589,A428,Connections!$D$6:$D$589,"TRUE")</f>
        <v>0</v>
      </c>
      <c r="H428" s="11" t="s">
        <v>69</v>
      </c>
      <c r="I428" s="11" t="s">
        <v>70</v>
      </c>
      <c r="J428" s="12"/>
      <c r="K428" s="11"/>
      <c r="L428" s="4"/>
      <c r="M428" s="1" t="s">
        <v>215</v>
      </c>
      <c r="N428" s="1">
        <v>351</v>
      </c>
    </row>
    <row r="429" spans="1:14" ht="23.1" customHeight="1">
      <c r="A429" s="1" t="s">
        <v>565</v>
      </c>
      <c r="B429" s="1" t="s">
        <v>565</v>
      </c>
      <c r="C429" s="1" t="s">
        <v>213</v>
      </c>
      <c r="D429" s="3">
        <v>42.735403368421501</v>
      </c>
      <c r="E429" s="3">
        <v>-73.662924921123405</v>
      </c>
      <c r="F429" s="10">
        <f>COUNTIFS(Connections!$B$6:$B$589,A429)+COUNTIFS(Connections!$C$6:$C$589,A429)</f>
        <v>2</v>
      </c>
      <c r="G429" s="10">
        <f>COUNTIFS(Connections!$B$6:$B$589,A429,Connections!$D$6:$D$589,"TRUE")+COUNTIFS(Connections!$C$6:$C$589,A429,Connections!$D$6:$D$589,"TRUE")</f>
        <v>0</v>
      </c>
      <c r="H429" s="11" t="s">
        <v>69</v>
      </c>
      <c r="I429" s="11" t="s">
        <v>70</v>
      </c>
      <c r="J429" s="12"/>
      <c r="K429" s="11"/>
      <c r="L429" s="4"/>
      <c r="M429" s="1" t="s">
        <v>215</v>
      </c>
      <c r="N429" s="1">
        <v>352</v>
      </c>
    </row>
    <row r="430" spans="1:14" ht="23.1" customHeight="1">
      <c r="A430" s="1" t="s">
        <v>566</v>
      </c>
      <c r="B430" s="1" t="s">
        <v>566</v>
      </c>
      <c r="C430" s="1" t="s">
        <v>213</v>
      </c>
      <c r="D430" s="3">
        <v>42.732743395049603</v>
      </c>
      <c r="E430" s="3">
        <v>-73.668326936202902</v>
      </c>
      <c r="F430" s="10">
        <f>COUNTIFS(Connections!$B$6:$B$589,A430)+COUNTIFS(Connections!$C$6:$C$589,A430)</f>
        <v>2</v>
      </c>
      <c r="G430" s="10">
        <f>COUNTIFS(Connections!$B$6:$B$589,A430,Connections!$D$6:$D$589,"TRUE")+COUNTIFS(Connections!$C$6:$C$589,A430,Connections!$D$6:$D$589,"TRUE")</f>
        <v>0</v>
      </c>
      <c r="H430" s="11" t="s">
        <v>69</v>
      </c>
      <c r="I430" s="11" t="s">
        <v>70</v>
      </c>
      <c r="J430" s="12"/>
      <c r="K430" s="11"/>
      <c r="L430" s="4"/>
      <c r="M430" s="1" t="s">
        <v>215</v>
      </c>
      <c r="N430" s="1">
        <v>353</v>
      </c>
    </row>
    <row r="431" spans="1:14" ht="23.1" customHeight="1">
      <c r="A431" s="1" t="s">
        <v>567</v>
      </c>
      <c r="B431" s="1" t="s">
        <v>567</v>
      </c>
      <c r="C431" s="1" t="s">
        <v>213</v>
      </c>
      <c r="D431" s="3">
        <v>42.733931991621098</v>
      </c>
      <c r="E431" s="3">
        <v>-73.665732568324501</v>
      </c>
      <c r="F431" s="10">
        <f>COUNTIFS(Connections!$B$6:$B$589,A431)+COUNTIFS(Connections!$C$6:$C$589,A431)</f>
        <v>3</v>
      </c>
      <c r="G431" s="10">
        <f>COUNTIFS(Connections!$B$6:$B$589,A431,Connections!$D$6:$D$589,"TRUE")+COUNTIFS(Connections!$C$6:$C$589,A431,Connections!$D$6:$D$589,"TRUE")</f>
        <v>0</v>
      </c>
      <c r="H431" s="11" t="s">
        <v>69</v>
      </c>
      <c r="I431" s="11" t="s">
        <v>70</v>
      </c>
      <c r="J431" s="12"/>
      <c r="K431" s="11"/>
      <c r="L431" s="4"/>
      <c r="M431" s="1" t="s">
        <v>215</v>
      </c>
      <c r="N431" s="1">
        <v>354</v>
      </c>
    </row>
    <row r="432" spans="1:14" ht="23.1" customHeight="1">
      <c r="A432" s="1" t="s">
        <v>568</v>
      </c>
      <c r="B432" s="1" t="s">
        <v>568</v>
      </c>
      <c r="C432" s="1" t="s">
        <v>213</v>
      </c>
      <c r="D432" s="3">
        <v>42.733998663382401</v>
      </c>
      <c r="E432" s="3">
        <v>-73.6661718600634</v>
      </c>
      <c r="F432" s="10">
        <f>COUNTIFS(Connections!$B$6:$B$589,A432)+COUNTIFS(Connections!$C$6:$C$589,A432)</f>
        <v>2</v>
      </c>
      <c r="G432" s="10">
        <f>COUNTIFS(Connections!$B$6:$B$589,A432,Connections!$D$6:$D$589,"TRUE")+COUNTIFS(Connections!$C$6:$C$589,A432,Connections!$D$6:$D$589,"TRUE")</f>
        <v>0</v>
      </c>
      <c r="H432" s="11" t="s">
        <v>69</v>
      </c>
      <c r="I432" s="11" t="s">
        <v>70</v>
      </c>
      <c r="J432" s="12"/>
      <c r="K432" s="11"/>
      <c r="L432" s="4"/>
      <c r="M432" s="1" t="s">
        <v>215</v>
      </c>
      <c r="N432" s="1">
        <v>355</v>
      </c>
    </row>
    <row r="433" spans="1:14" ht="23.1" customHeight="1">
      <c r="A433" s="1" t="s">
        <v>569</v>
      </c>
      <c r="B433" s="1" t="s">
        <v>569</v>
      </c>
      <c r="C433" s="1" t="s">
        <v>213</v>
      </c>
      <c r="D433" s="3">
        <v>42.7348860875151</v>
      </c>
      <c r="E433" s="3">
        <v>-73.6659553974674</v>
      </c>
      <c r="F433" s="10">
        <f>COUNTIFS(Connections!$B$6:$B$589,A433)+COUNTIFS(Connections!$C$6:$C$589,A433)</f>
        <v>4</v>
      </c>
      <c r="G433" s="10">
        <f>COUNTIFS(Connections!$B$6:$B$589,A433,Connections!$D$6:$D$589,"TRUE")+COUNTIFS(Connections!$C$6:$C$589,A433,Connections!$D$6:$D$589,"TRUE")</f>
        <v>0</v>
      </c>
      <c r="H433" s="11" t="s">
        <v>69</v>
      </c>
      <c r="I433" s="11" t="s">
        <v>70</v>
      </c>
      <c r="J433" s="12"/>
      <c r="K433" s="11"/>
      <c r="L433" s="4"/>
      <c r="M433" s="1" t="s">
        <v>215</v>
      </c>
      <c r="N433" s="1">
        <v>356</v>
      </c>
    </row>
    <row r="434" spans="1:14" ht="23.1" customHeight="1">
      <c r="A434" s="1" t="s">
        <v>570</v>
      </c>
      <c r="B434" s="1" t="s">
        <v>570</v>
      </c>
      <c r="C434" s="1" t="s">
        <v>213</v>
      </c>
      <c r="D434" s="3">
        <v>42.735788455318499</v>
      </c>
      <c r="E434" s="3">
        <v>-73.665700735589795</v>
      </c>
      <c r="F434" s="10">
        <f>COUNTIFS(Connections!$B$6:$B$589,A434)+COUNTIFS(Connections!$C$6:$C$589,A434)</f>
        <v>3</v>
      </c>
      <c r="G434" s="10">
        <f>COUNTIFS(Connections!$B$6:$B$589,A434,Connections!$D$6:$D$589,"TRUE")+COUNTIFS(Connections!$C$6:$C$589,A434,Connections!$D$6:$D$589,"TRUE")</f>
        <v>0</v>
      </c>
      <c r="H434" s="11" t="s">
        <v>69</v>
      </c>
      <c r="I434" s="11" t="s">
        <v>70</v>
      </c>
      <c r="J434" s="12"/>
      <c r="K434" s="11"/>
      <c r="L434" s="4"/>
      <c r="M434" s="1" t="s">
        <v>215</v>
      </c>
      <c r="N434" s="1">
        <v>357</v>
      </c>
    </row>
    <row r="435" spans="1:14" ht="23.1" customHeight="1">
      <c r="A435" s="1" t="s">
        <v>571</v>
      </c>
      <c r="B435" s="1" t="s">
        <v>571</v>
      </c>
      <c r="C435" s="1" t="s">
        <v>213</v>
      </c>
      <c r="D435" s="3">
        <v>42.735958583261002</v>
      </c>
      <c r="E435" s="3">
        <v>-73.666942212243299</v>
      </c>
      <c r="F435" s="10">
        <f>COUNTIFS(Connections!$B$6:$B$589,A435)+COUNTIFS(Connections!$C$6:$C$589,A435)</f>
        <v>4</v>
      </c>
      <c r="G435" s="10">
        <f>COUNTIFS(Connections!$B$6:$B$589,A435,Connections!$D$6:$D$589,"TRUE")+COUNTIFS(Connections!$C$6:$C$589,A435,Connections!$D$6:$D$589,"TRUE")</f>
        <v>0</v>
      </c>
      <c r="H435" s="11" t="s">
        <v>69</v>
      </c>
      <c r="I435" s="11" t="s">
        <v>70</v>
      </c>
      <c r="J435" s="12"/>
      <c r="K435" s="11"/>
      <c r="L435" s="4"/>
      <c r="M435" s="1" t="s">
        <v>215</v>
      </c>
      <c r="N435" s="1">
        <v>358</v>
      </c>
    </row>
    <row r="436" spans="1:14" ht="23.1" customHeight="1">
      <c r="A436" s="1" t="s">
        <v>572</v>
      </c>
      <c r="B436" s="1" t="s">
        <v>572</v>
      </c>
      <c r="C436" s="1" t="s">
        <v>213</v>
      </c>
      <c r="D436" s="3">
        <v>42.735074607667698</v>
      </c>
      <c r="E436" s="3">
        <v>-73.667204832304606</v>
      </c>
      <c r="F436" s="10">
        <f>COUNTIFS(Connections!$B$6:$B$589,A436)+COUNTIFS(Connections!$C$6:$C$589,A436)</f>
        <v>3</v>
      </c>
      <c r="G436" s="10">
        <f>COUNTIFS(Connections!$B$6:$B$589,A436,Connections!$D$6:$D$589,"TRUE")+COUNTIFS(Connections!$C$6:$C$589,A436,Connections!$D$6:$D$589,"TRUE")</f>
        <v>0</v>
      </c>
      <c r="H436" s="11" t="s">
        <v>69</v>
      </c>
      <c r="I436" s="11" t="s">
        <v>70</v>
      </c>
      <c r="J436" s="12"/>
      <c r="K436" s="11"/>
      <c r="L436" s="4"/>
      <c r="M436" s="1" t="s">
        <v>215</v>
      </c>
      <c r="N436" s="1">
        <v>359</v>
      </c>
    </row>
    <row r="437" spans="1:14" ht="23.1" customHeight="1">
      <c r="A437" s="1" t="s">
        <v>573</v>
      </c>
      <c r="B437" s="1" t="s">
        <v>573</v>
      </c>
      <c r="C437" s="1" t="s">
        <v>213</v>
      </c>
      <c r="D437" s="3">
        <v>42.734817116727598</v>
      </c>
      <c r="E437" s="3">
        <v>-73.665484272993794</v>
      </c>
      <c r="F437" s="10">
        <f>COUNTIFS(Connections!$B$6:$B$589,A437)+COUNTIFS(Connections!$C$6:$C$589,A437)</f>
        <v>2</v>
      </c>
      <c r="G437" s="10">
        <f>COUNTIFS(Connections!$B$6:$B$589,A437,Connections!$D$6:$D$589,"TRUE")+COUNTIFS(Connections!$C$6:$C$589,A437,Connections!$D$6:$D$589,"TRUE")</f>
        <v>0</v>
      </c>
      <c r="H437" s="11" t="s">
        <v>69</v>
      </c>
      <c r="I437" s="11" t="s">
        <v>70</v>
      </c>
      <c r="J437" s="12"/>
      <c r="K437" s="11"/>
      <c r="L437" s="4"/>
      <c r="M437" s="1" t="s">
        <v>215</v>
      </c>
      <c r="N437" s="1">
        <v>360</v>
      </c>
    </row>
    <row r="438" spans="1:14" ht="23.1" customHeight="1">
      <c r="A438" s="1" t="s">
        <v>574</v>
      </c>
      <c r="B438" s="1" t="s">
        <v>574</v>
      </c>
      <c r="C438" s="1" t="s">
        <v>213</v>
      </c>
      <c r="D438" s="3">
        <v>42.7338975062274</v>
      </c>
      <c r="E438" s="3">
        <v>-73.665318742773295</v>
      </c>
      <c r="F438" s="10">
        <f>COUNTIFS(Connections!$B$6:$B$589,A438)+COUNTIFS(Connections!$C$6:$C$589,A438)</f>
        <v>3</v>
      </c>
      <c r="G438" s="10">
        <f>COUNTIFS(Connections!$B$6:$B$589,A438,Connections!$D$6:$D$589,"TRUE")+COUNTIFS(Connections!$C$6:$C$589,A438,Connections!$D$6:$D$589,"TRUE")</f>
        <v>0</v>
      </c>
      <c r="H438" s="11" t="s">
        <v>69</v>
      </c>
      <c r="I438" s="11" t="s">
        <v>70</v>
      </c>
      <c r="J438" s="12"/>
      <c r="K438" s="11"/>
      <c r="L438" s="4"/>
      <c r="M438" s="1" t="s">
        <v>215</v>
      </c>
      <c r="N438" s="1">
        <v>361</v>
      </c>
    </row>
    <row r="439" spans="1:14" ht="23.1" customHeight="1">
      <c r="A439" s="1" t="s">
        <v>575</v>
      </c>
      <c r="B439" s="1" t="s">
        <v>575</v>
      </c>
      <c r="C439" s="1" t="s">
        <v>213</v>
      </c>
      <c r="D439" s="3">
        <v>42.734615951930699</v>
      </c>
      <c r="E439" s="3">
        <v>-73.664949483050705</v>
      </c>
      <c r="F439" s="10">
        <f>COUNTIFS(Connections!$B$6:$B$589,A439)+COUNTIFS(Connections!$C$6:$C$589,A439)</f>
        <v>2</v>
      </c>
      <c r="G439" s="10">
        <f>COUNTIFS(Connections!$B$6:$B$589,A439,Connections!$D$6:$D$589,"TRUE")+COUNTIFS(Connections!$C$6:$C$589,A439,Connections!$D$6:$D$589,"TRUE")</f>
        <v>0</v>
      </c>
      <c r="H439" s="11" t="s">
        <v>69</v>
      </c>
      <c r="I439" s="11" t="s">
        <v>70</v>
      </c>
      <c r="J439" s="12"/>
      <c r="K439" s="11"/>
      <c r="L439" s="4"/>
      <c r="M439" s="1" t="s">
        <v>215</v>
      </c>
      <c r="N439" s="1">
        <v>362</v>
      </c>
    </row>
    <row r="440" spans="1:14" ht="23.1" customHeight="1">
      <c r="A440" s="1" t="s">
        <v>576</v>
      </c>
      <c r="B440" s="1" t="s">
        <v>576</v>
      </c>
      <c r="C440" s="1" t="s">
        <v>213</v>
      </c>
      <c r="D440" s="3">
        <v>42.735662008874698</v>
      </c>
      <c r="E440" s="3">
        <v>-73.664936749956794</v>
      </c>
      <c r="F440" s="10">
        <f>COUNTIFS(Connections!$B$6:$B$589,A440)+COUNTIFS(Connections!$C$6:$C$589,A440)</f>
        <v>4</v>
      </c>
      <c r="G440" s="10">
        <f>COUNTIFS(Connections!$B$6:$B$589,A440,Connections!$D$6:$D$589,"TRUE")+COUNTIFS(Connections!$C$6:$C$589,A440,Connections!$D$6:$D$589,"TRUE")</f>
        <v>0</v>
      </c>
      <c r="H440" s="11" t="s">
        <v>69</v>
      </c>
      <c r="I440" s="11" t="s">
        <v>70</v>
      </c>
      <c r="J440" s="12"/>
      <c r="K440" s="11"/>
      <c r="L440" s="4"/>
      <c r="M440" s="1" t="s">
        <v>215</v>
      </c>
      <c r="N440" s="1">
        <v>363</v>
      </c>
    </row>
    <row r="441" spans="1:14" ht="23.1" customHeight="1">
      <c r="A441" s="1" t="s">
        <v>577</v>
      </c>
      <c r="B441" s="1" t="s">
        <v>577</v>
      </c>
      <c r="C441" s="1" t="s">
        <v>213</v>
      </c>
      <c r="D441" s="3">
        <v>42.736224120792997</v>
      </c>
      <c r="E441" s="3">
        <v>-73.663814646058498</v>
      </c>
      <c r="F441" s="10">
        <f>COUNTIFS(Connections!$B$6:$B$589,A441)+COUNTIFS(Connections!$C$6:$C$589,A441)</f>
        <v>2</v>
      </c>
      <c r="G441" s="10">
        <f>COUNTIFS(Connections!$B$6:$B$589,A441,Connections!$D$6:$D$589,"TRUE")+COUNTIFS(Connections!$C$6:$C$589,A441,Connections!$D$6:$D$589,"TRUE")</f>
        <v>0</v>
      </c>
      <c r="H441" s="11" t="s">
        <v>69</v>
      </c>
      <c r="I441" s="11" t="s">
        <v>70</v>
      </c>
      <c r="J441" s="12"/>
      <c r="K441" s="11"/>
      <c r="L441" s="4"/>
      <c r="M441" s="1" t="s">
        <v>215</v>
      </c>
      <c r="N441" s="1">
        <v>364</v>
      </c>
    </row>
    <row r="442" spans="1:14" ht="23.1" customHeight="1">
      <c r="A442" s="1" t="s">
        <v>578</v>
      </c>
      <c r="B442" s="1" t="s">
        <v>578</v>
      </c>
      <c r="C442" s="1" t="s">
        <v>213</v>
      </c>
      <c r="D442" s="3">
        <v>42.736667832859403</v>
      </c>
      <c r="E442" s="3">
        <v>-73.663392862323605</v>
      </c>
      <c r="F442" s="10">
        <f>COUNTIFS(Connections!$B$6:$B$589,A442)+COUNTIFS(Connections!$C$6:$C$589,A442)</f>
        <v>1</v>
      </c>
      <c r="G442" s="10">
        <f>COUNTIFS(Connections!$B$6:$B$589,A442,Connections!$D$6:$D$589,"TRUE")+COUNTIFS(Connections!$C$6:$C$589,A442,Connections!$D$6:$D$589,"TRUE")</f>
        <v>0</v>
      </c>
      <c r="H442" s="11" t="s">
        <v>69</v>
      </c>
      <c r="I442" s="11" t="s">
        <v>70</v>
      </c>
      <c r="J442" s="12"/>
      <c r="K442" s="11"/>
      <c r="L442" s="4"/>
      <c r="M442" s="1" t="s">
        <v>215</v>
      </c>
      <c r="N442" s="1">
        <v>365</v>
      </c>
    </row>
    <row r="443" spans="1:14" ht="23.1" customHeight="1">
      <c r="A443" s="1" t="s">
        <v>579</v>
      </c>
      <c r="B443" s="1" t="s">
        <v>579</v>
      </c>
      <c r="C443" s="1" t="s">
        <v>213</v>
      </c>
      <c r="D443" s="3">
        <v>42.737736880065903</v>
      </c>
      <c r="E443" s="3">
        <v>-73.666456763038994</v>
      </c>
      <c r="F443" s="10">
        <f>COUNTIFS(Connections!$B$6:$B$589,A443)+COUNTIFS(Connections!$C$6:$C$589,A443)</f>
        <v>2</v>
      </c>
      <c r="G443" s="10">
        <f>COUNTIFS(Connections!$B$6:$B$589,A443,Connections!$D$6:$D$589,"TRUE")+COUNTIFS(Connections!$C$6:$C$589,A443,Connections!$D$6:$D$589,"TRUE")</f>
        <v>0</v>
      </c>
      <c r="H443" s="11" t="s">
        <v>69</v>
      </c>
      <c r="I443" s="11" t="s">
        <v>70</v>
      </c>
      <c r="J443" s="12"/>
      <c r="K443" s="11"/>
      <c r="L443" s="4"/>
      <c r="M443" s="1" t="s">
        <v>215</v>
      </c>
      <c r="N443" s="1">
        <v>366</v>
      </c>
    </row>
    <row r="444" spans="1:14" ht="23.1" customHeight="1">
      <c r="A444" s="1" t="s">
        <v>580</v>
      </c>
      <c r="B444" s="1" t="s">
        <v>580</v>
      </c>
      <c r="C444" s="1" t="s">
        <v>213</v>
      </c>
      <c r="D444" s="3">
        <v>42.738231170709803</v>
      </c>
      <c r="E444" s="3">
        <v>-73.670029987509693</v>
      </c>
      <c r="F444" s="10">
        <f>COUNTIFS(Connections!$B$6:$B$589,A444)+COUNTIFS(Connections!$C$6:$C$589,A444)</f>
        <v>3</v>
      </c>
      <c r="G444" s="10">
        <f>COUNTIFS(Connections!$B$6:$B$589,A444,Connections!$D$6:$D$589,"TRUE")+COUNTIFS(Connections!$C$6:$C$589,A444,Connections!$D$6:$D$589,"TRUE")</f>
        <v>0</v>
      </c>
      <c r="H444" s="11" t="s">
        <v>69</v>
      </c>
      <c r="I444" s="11" t="s">
        <v>70</v>
      </c>
      <c r="J444" s="12"/>
      <c r="K444" s="11"/>
      <c r="L444" s="4"/>
      <c r="M444" s="1" t="s">
        <v>215</v>
      </c>
      <c r="N444" s="1">
        <v>367</v>
      </c>
    </row>
    <row r="445" spans="1:14" ht="23.1" customHeight="1">
      <c r="A445" s="1" t="s">
        <v>581</v>
      </c>
      <c r="B445" s="1" t="s">
        <v>581</v>
      </c>
      <c r="C445" s="1" t="s">
        <v>213</v>
      </c>
      <c r="D445" s="3">
        <v>42.736805774434401</v>
      </c>
      <c r="E445" s="3">
        <v>-73.670396063958805</v>
      </c>
      <c r="F445" s="10">
        <f>COUNTIFS(Connections!$B$6:$B$589,A445)+COUNTIFS(Connections!$C$6:$C$589,A445)</f>
        <v>3</v>
      </c>
      <c r="G445" s="10">
        <f>COUNTIFS(Connections!$B$6:$B$589,A445,Connections!$D$6:$D$589,"TRUE")+COUNTIFS(Connections!$C$6:$C$589,A445,Connections!$D$6:$D$589,"TRUE")</f>
        <v>0</v>
      </c>
      <c r="H445" s="11" t="s">
        <v>69</v>
      </c>
      <c r="I445" s="11" t="s">
        <v>70</v>
      </c>
      <c r="J445" s="12"/>
      <c r="K445" s="11"/>
      <c r="L445" s="4"/>
      <c r="M445" s="1" t="s">
        <v>215</v>
      </c>
      <c r="N445" s="1">
        <v>368</v>
      </c>
    </row>
    <row r="446" spans="1:14" ht="23.1" customHeight="1">
      <c r="A446" s="1" t="s">
        <v>582</v>
      </c>
      <c r="B446" s="1" t="s">
        <v>582</v>
      </c>
      <c r="C446" s="1" t="s">
        <v>213</v>
      </c>
      <c r="D446" s="3">
        <v>42.736418388511197</v>
      </c>
      <c r="E446" s="3">
        <v>-73.670548861085393</v>
      </c>
      <c r="F446" s="10">
        <f>COUNTIFS(Connections!$B$6:$B$589,A446)+COUNTIFS(Connections!$C$6:$C$589,A446)</f>
        <v>3</v>
      </c>
      <c r="G446" s="10">
        <f>COUNTIFS(Connections!$B$6:$B$589,A446,Connections!$D$6:$D$589,"TRUE")+COUNTIFS(Connections!$C$6:$C$589,A446,Connections!$D$6:$D$589,"TRUE")</f>
        <v>0</v>
      </c>
      <c r="H446" s="11" t="s">
        <v>69</v>
      </c>
      <c r="I446" s="11" t="s">
        <v>70</v>
      </c>
      <c r="J446" s="12"/>
      <c r="K446" s="11"/>
      <c r="L446" s="4"/>
      <c r="M446" s="1" t="s">
        <v>215</v>
      </c>
      <c r="N446" s="1">
        <v>369</v>
      </c>
    </row>
    <row r="447" spans="1:14" ht="23.1" customHeight="1">
      <c r="A447" s="1" t="s">
        <v>583</v>
      </c>
      <c r="B447" s="1" t="s">
        <v>583</v>
      </c>
      <c r="C447" s="1" t="s">
        <v>213</v>
      </c>
      <c r="D447" s="3">
        <v>42.7345757189713</v>
      </c>
      <c r="E447" s="3">
        <v>-73.6710422684733</v>
      </c>
      <c r="F447" s="10">
        <f>COUNTIFS(Connections!$B$6:$B$589,A447)+COUNTIFS(Connections!$C$6:$C$589,A447)</f>
        <v>3</v>
      </c>
      <c r="G447" s="10">
        <f>COUNTIFS(Connections!$B$6:$B$589,A447,Connections!$D$6:$D$589,"TRUE")+COUNTIFS(Connections!$C$6:$C$589,A447,Connections!$D$6:$D$589,"TRUE")</f>
        <v>0</v>
      </c>
      <c r="H447" s="11" t="s">
        <v>69</v>
      </c>
      <c r="I447" s="11" t="s">
        <v>70</v>
      </c>
      <c r="J447" s="12"/>
      <c r="K447" s="11"/>
      <c r="L447" s="4"/>
      <c r="M447" s="1" t="s">
        <v>215</v>
      </c>
      <c r="N447" s="1">
        <v>370</v>
      </c>
    </row>
    <row r="448" spans="1:14" ht="23.1" customHeight="1">
      <c r="A448" s="1" t="s">
        <v>584</v>
      </c>
      <c r="B448" s="1" t="s">
        <v>584</v>
      </c>
      <c r="C448" s="1" t="s">
        <v>213</v>
      </c>
      <c r="D448" s="3">
        <v>42.735012533958901</v>
      </c>
      <c r="E448" s="3">
        <v>-73.673993162980494</v>
      </c>
      <c r="F448" s="10">
        <f>COUNTIFS(Connections!$B$6:$B$589,A448)+COUNTIFS(Connections!$C$6:$C$589,A448)</f>
        <v>4</v>
      </c>
      <c r="G448" s="10">
        <f>COUNTIFS(Connections!$B$6:$B$589,A448,Connections!$D$6:$D$589,"TRUE")+COUNTIFS(Connections!$C$6:$C$589,A448,Connections!$D$6:$D$589,"TRUE")</f>
        <v>0</v>
      </c>
      <c r="H448" s="11" t="s">
        <v>69</v>
      </c>
      <c r="I448" s="11" t="s">
        <v>70</v>
      </c>
      <c r="J448" s="12"/>
      <c r="K448" s="11"/>
      <c r="L448" s="4"/>
      <c r="M448" s="1" t="s">
        <v>215</v>
      </c>
      <c r="N448" s="1">
        <v>371</v>
      </c>
    </row>
    <row r="449" spans="1:14" ht="23.1" customHeight="1">
      <c r="A449" s="1" t="s">
        <v>585</v>
      </c>
      <c r="B449" s="1" t="s">
        <v>585</v>
      </c>
      <c r="C449" s="1" t="s">
        <v>213</v>
      </c>
      <c r="D449" s="3">
        <v>42.734230865033702</v>
      </c>
      <c r="E449" s="3">
        <v>-73.674247824858099</v>
      </c>
      <c r="F449" s="10">
        <f>COUNTIFS(Connections!$B$6:$B$589,A449)+COUNTIFS(Connections!$C$6:$C$589,A449)</f>
        <v>1</v>
      </c>
      <c r="G449" s="10">
        <f>COUNTIFS(Connections!$B$6:$B$589,A449,Connections!$D$6:$D$589,"TRUE")+COUNTIFS(Connections!$C$6:$C$589,A449,Connections!$D$6:$D$589,"TRUE")</f>
        <v>0</v>
      </c>
      <c r="H449" s="11" t="s">
        <v>69</v>
      </c>
      <c r="I449" s="11" t="s">
        <v>70</v>
      </c>
      <c r="J449" s="12"/>
      <c r="K449" s="11"/>
      <c r="L449" s="4"/>
      <c r="M449" s="1" t="s">
        <v>215</v>
      </c>
      <c r="N449" s="1">
        <v>372</v>
      </c>
    </row>
    <row r="450" spans="1:14" ht="23.1" customHeight="1">
      <c r="A450" s="1" t="s">
        <v>586</v>
      </c>
      <c r="B450" s="1" t="s">
        <v>586</v>
      </c>
      <c r="C450" s="1" t="s">
        <v>213</v>
      </c>
      <c r="D450" s="3">
        <v>42.737219599159502</v>
      </c>
      <c r="E450" s="3">
        <v>-73.6733978908415</v>
      </c>
      <c r="F450" s="10">
        <f>COUNTIFS(Connections!$B$6:$B$589,A450)+COUNTIFS(Connections!$C$6:$C$589,A450)</f>
        <v>1</v>
      </c>
      <c r="G450" s="10">
        <f>COUNTIFS(Connections!$B$6:$B$589,A450,Connections!$D$6:$D$589,"TRUE")+COUNTIFS(Connections!$C$6:$C$589,A450,Connections!$D$6:$D$589,"TRUE")</f>
        <v>0</v>
      </c>
      <c r="H450" s="11" t="s">
        <v>69</v>
      </c>
      <c r="I450" s="11" t="s">
        <v>70</v>
      </c>
      <c r="J450" s="12"/>
      <c r="K450" s="11"/>
      <c r="L450" s="4"/>
      <c r="M450" s="1" t="s">
        <v>215</v>
      </c>
      <c r="N450" s="1">
        <v>373</v>
      </c>
    </row>
    <row r="451" spans="1:14" ht="23.1" customHeight="1">
      <c r="A451" s="1" t="s">
        <v>587</v>
      </c>
      <c r="B451" s="1" t="s">
        <v>587</v>
      </c>
      <c r="C451" s="1" t="s">
        <v>213</v>
      </c>
      <c r="D451" s="3">
        <v>42.735268875385898</v>
      </c>
      <c r="E451" s="3">
        <v>-73.675950876164805</v>
      </c>
      <c r="F451" s="10">
        <f>COUNTIFS(Connections!$B$6:$B$589,A451)+COUNTIFS(Connections!$C$6:$C$589,A451)</f>
        <v>3</v>
      </c>
      <c r="G451" s="10">
        <f>COUNTIFS(Connections!$B$6:$B$589,A451,Connections!$D$6:$D$589,"TRUE")+COUNTIFS(Connections!$C$6:$C$589,A451,Connections!$D$6:$D$589,"TRUE")</f>
        <v>0</v>
      </c>
      <c r="H451" s="11" t="s">
        <v>69</v>
      </c>
      <c r="I451" s="11" t="s">
        <v>70</v>
      </c>
      <c r="J451" s="12"/>
      <c r="K451" s="11"/>
      <c r="L451" s="4"/>
      <c r="M451" s="1" t="s">
        <v>215</v>
      </c>
      <c r="N451" s="1">
        <v>374</v>
      </c>
    </row>
    <row r="452" spans="1:14" ht="23.1" customHeight="1">
      <c r="A452" s="1" t="s">
        <v>588</v>
      </c>
      <c r="B452" s="1" t="s">
        <v>588</v>
      </c>
      <c r="C452" s="1" t="s">
        <v>213</v>
      </c>
      <c r="D452" s="3">
        <v>42.738920878584999</v>
      </c>
      <c r="E452" s="3">
        <v>-73.674932228654299</v>
      </c>
      <c r="F452" s="10">
        <f>COUNTIFS(Connections!$B$6:$B$589,A452)+COUNTIFS(Connections!$C$6:$C$589,A452)</f>
        <v>2</v>
      </c>
      <c r="G452" s="10">
        <f>COUNTIFS(Connections!$B$6:$B$589,A452,Connections!$D$6:$D$589,"TRUE")+COUNTIFS(Connections!$C$6:$C$589,A452,Connections!$D$6:$D$589,"TRUE")</f>
        <v>0</v>
      </c>
      <c r="H452" s="11" t="s">
        <v>69</v>
      </c>
      <c r="I452" s="11" t="s">
        <v>70</v>
      </c>
      <c r="J452" s="12"/>
      <c r="K452" s="11"/>
      <c r="L452" s="4"/>
      <c r="M452" s="1" t="s">
        <v>215</v>
      </c>
      <c r="N452" s="1">
        <v>375</v>
      </c>
    </row>
    <row r="453" spans="1:14" ht="23.1" customHeight="1">
      <c r="A453" s="1" t="s">
        <v>589</v>
      </c>
      <c r="B453" s="1" t="s">
        <v>589</v>
      </c>
      <c r="C453" s="1" t="s">
        <v>213</v>
      </c>
      <c r="D453" s="3">
        <v>42.736754046343798</v>
      </c>
      <c r="E453" s="3">
        <v>-73.669961547130001</v>
      </c>
      <c r="F453" s="10">
        <f>COUNTIFS(Connections!$B$6:$B$589,A453)+COUNTIFS(Connections!$C$6:$C$589,A453)</f>
        <v>2</v>
      </c>
      <c r="G453" s="10">
        <f>COUNTIFS(Connections!$B$6:$B$589,A453,Connections!$D$6:$D$589,"TRUE")+COUNTIFS(Connections!$C$6:$C$589,A453,Connections!$D$6:$D$589,"TRUE")</f>
        <v>0</v>
      </c>
      <c r="H453" s="11" t="s">
        <v>69</v>
      </c>
      <c r="I453" s="11" t="s">
        <v>70</v>
      </c>
      <c r="J453" s="12"/>
      <c r="K453" s="11"/>
      <c r="L453" s="4"/>
      <c r="M453" s="1" t="s">
        <v>215</v>
      </c>
      <c r="N453" s="1">
        <v>376</v>
      </c>
    </row>
    <row r="454" spans="1:14" ht="23.1" customHeight="1">
      <c r="A454" s="1" t="s">
        <v>590</v>
      </c>
      <c r="B454" s="1" t="s">
        <v>590</v>
      </c>
      <c r="C454" s="1" t="s">
        <v>213</v>
      </c>
      <c r="D454" s="3">
        <v>42.729561542718699</v>
      </c>
      <c r="E454" s="3">
        <v>-73.679627557023295</v>
      </c>
      <c r="F454" s="10">
        <f>COUNTIFS(Connections!$B$6:$B$589,A454)+COUNTIFS(Connections!$C$6:$C$589,A454)</f>
        <v>3</v>
      </c>
      <c r="G454" s="10">
        <f>COUNTIFS(Connections!$B$6:$B$589,A454,Connections!$D$6:$D$589,"TRUE")+COUNTIFS(Connections!$C$6:$C$589,A454,Connections!$D$6:$D$589,"TRUE")</f>
        <v>0</v>
      </c>
      <c r="H454" s="11" t="s">
        <v>69</v>
      </c>
      <c r="I454" s="11" t="s">
        <v>70</v>
      </c>
      <c r="J454" s="12"/>
      <c r="K454" s="11"/>
      <c r="L454" s="4"/>
      <c r="M454" s="1" t="s">
        <v>215</v>
      </c>
      <c r="N454" s="1">
        <v>377</v>
      </c>
    </row>
    <row r="455" spans="1:14" ht="23.1" customHeight="1">
      <c r="A455" s="1" t="s">
        <v>591</v>
      </c>
      <c r="B455" s="1" t="s">
        <v>591</v>
      </c>
      <c r="C455" s="1" t="s">
        <v>213</v>
      </c>
      <c r="D455" s="3">
        <v>42.730489199810798</v>
      </c>
      <c r="E455" s="3">
        <v>-73.677717592940994</v>
      </c>
      <c r="F455" s="10">
        <f>COUNTIFS(Connections!$B$6:$B$589,A455)+COUNTIFS(Connections!$C$6:$C$589,A455)</f>
        <v>2</v>
      </c>
      <c r="G455" s="10">
        <f>COUNTIFS(Connections!$B$6:$B$589,A455,Connections!$D$6:$D$589,"TRUE")+COUNTIFS(Connections!$C$6:$C$589,A455,Connections!$D$6:$D$589,"TRUE")</f>
        <v>0</v>
      </c>
      <c r="H455" s="11" t="s">
        <v>69</v>
      </c>
      <c r="I455" s="11" t="s">
        <v>70</v>
      </c>
      <c r="J455" s="12"/>
      <c r="K455" s="11"/>
      <c r="L455" s="4"/>
      <c r="M455" s="1" t="s">
        <v>215</v>
      </c>
      <c r="N455" s="1">
        <v>378</v>
      </c>
    </row>
  </sheetData>
  <conditionalFormatting sqref="F6:F455">
    <cfRule type="cellIs" dxfId="3" priority="1" operator="equal">
      <formula>0</formula>
    </cfRule>
  </conditionalFormatting>
  <conditionalFormatting sqref="G6:G455">
    <cfRule type="cellIs" dxfId="2" priority="2" operator="equal">
      <formula>0</formula>
    </cfRule>
  </conditionalFormatting>
  <dataValidations count="2">
    <dataValidation type="list" sqref="H6:H455" xr:uid="{00000000-0002-0000-0100-000000000000}">
      <formula1>"unknown,yes,no"</formula1>
    </dataValidation>
    <dataValidation type="list" sqref="I6:I455" xr:uid="{00000000-0002-0000-0100-000001000000}">
      <formula1>"unverified,needs_review,checked"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8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6" sqref="D6"/>
    </sheetView>
  </sheetViews>
  <sheetFormatPr defaultRowHeight="14.25"/>
  <cols>
    <col min="1" max="3" width="14" customWidth="1"/>
    <col min="4" max="4" width="20" customWidth="1"/>
    <col min="5" max="5" width="19" customWidth="1"/>
    <col min="6" max="6" width="18" customWidth="1"/>
    <col min="7" max="7" width="24" customWidth="1"/>
    <col min="8" max="9" width="15" customWidth="1"/>
    <col min="10" max="10" width="20" customWidth="1"/>
    <col min="11" max="12" width="15" customWidth="1"/>
    <col min="13" max="13" width="55" customWidth="1"/>
    <col min="14" max="14" width="17" customWidth="1"/>
    <col min="15" max="15" width="22" customWidth="1"/>
    <col min="16" max="16" width="58" customWidth="1"/>
    <col min="17" max="17" width="15" customWidth="1"/>
    <col min="18" max="18" width="78" customWidth="1"/>
    <col min="19" max="22" width="20" customWidth="1"/>
  </cols>
  <sheetData>
    <row r="1" spans="1:22" ht="23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3.1" customHeight="1">
      <c r="A2" s="7" t="s">
        <v>10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23.1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spans="1:22" ht="23.1" customHeight="1">
      <c r="A4" s="9" t="s">
        <v>592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36" customHeight="1">
      <c r="A5" s="2" t="s">
        <v>593</v>
      </c>
      <c r="B5" s="2" t="s">
        <v>594</v>
      </c>
      <c r="C5" s="2" t="s">
        <v>595</v>
      </c>
      <c r="D5" s="2" t="s">
        <v>596</v>
      </c>
      <c r="E5" s="2" t="s">
        <v>597</v>
      </c>
      <c r="F5" s="2" t="s">
        <v>60</v>
      </c>
      <c r="G5" s="2" t="s">
        <v>598</v>
      </c>
      <c r="H5" s="2" t="s">
        <v>599</v>
      </c>
      <c r="I5" s="2" t="s">
        <v>600</v>
      </c>
      <c r="J5" s="2" t="s">
        <v>601</v>
      </c>
      <c r="K5" s="2" t="s">
        <v>602</v>
      </c>
      <c r="L5" s="2" t="s">
        <v>603</v>
      </c>
      <c r="M5" s="2" t="s">
        <v>604</v>
      </c>
      <c r="N5" s="2" t="s">
        <v>61</v>
      </c>
      <c r="O5" s="2" t="s">
        <v>62</v>
      </c>
      <c r="P5" s="2" t="s">
        <v>605</v>
      </c>
      <c r="Q5" s="2" t="s">
        <v>65</v>
      </c>
      <c r="R5" s="2" t="s">
        <v>606</v>
      </c>
      <c r="S5" s="2" t="s">
        <v>607</v>
      </c>
      <c r="T5" s="2" t="s">
        <v>608</v>
      </c>
      <c r="U5" s="2" t="s">
        <v>609</v>
      </c>
      <c r="V5" s="2" t="s">
        <v>610</v>
      </c>
    </row>
    <row r="6" spans="1:22" ht="23.1" customHeight="1">
      <c r="A6" s="1" t="s">
        <v>611</v>
      </c>
      <c r="B6" s="1" t="s">
        <v>221</v>
      </c>
      <c r="C6" s="1" t="s">
        <v>222</v>
      </c>
      <c r="D6" s="1" t="s">
        <v>612</v>
      </c>
      <c r="E6" s="13">
        <f t="shared" ref="E6:E69" si="0">2*6371000*ASIN(SQRT(MIN(1,SIN(RADIANS(U6-S6)/2)^2+COS(RADIANS(S6))*COS(RADIANS(U6))*SIN(RADIANS(V6-T6)/2)^2)))</f>
        <v>93.175043214300089</v>
      </c>
      <c r="F6" s="11" t="s">
        <v>70</v>
      </c>
      <c r="G6" s="11" t="s">
        <v>69</v>
      </c>
      <c r="H6" s="11" t="s">
        <v>69</v>
      </c>
      <c r="I6" s="11" t="s">
        <v>69</v>
      </c>
      <c r="J6" s="11" t="s">
        <v>69</v>
      </c>
      <c r="K6" s="14"/>
      <c r="L6" s="14"/>
      <c r="M6" s="11"/>
      <c r="N6" s="12"/>
      <c r="O6" s="11"/>
      <c r="P6" s="11"/>
      <c r="Q6" s="1">
        <v>2</v>
      </c>
      <c r="R6" s="1"/>
      <c r="S6" s="3">
        <f>INDEX(Locations!$D$6:$D$455,MATCH(B6,Locations!$A$6:$A$455,0))</f>
        <v>42.731908848520597</v>
      </c>
      <c r="T6" s="3">
        <f>INDEX(Locations!$E$6:$E$455,MATCH(B6,Locations!$A$6:$A$455,0))</f>
        <v>-73.6746298176746</v>
      </c>
      <c r="U6" s="3">
        <f>INDEX(Locations!$D$6:$D$455,MATCH(C6,Locations!$A$6:$A$455,0))</f>
        <v>42.732713507708297</v>
      </c>
      <c r="V6" s="3">
        <f>INDEX(Locations!$E$6:$E$455,MATCH(C6,Locations!$A$6:$A$455,0))</f>
        <v>-73.674311490327497</v>
      </c>
    </row>
    <row r="7" spans="1:22" ht="23.1" customHeight="1">
      <c r="A7" s="1" t="s">
        <v>613</v>
      </c>
      <c r="B7" s="1" t="s">
        <v>217</v>
      </c>
      <c r="C7" s="1" t="s">
        <v>222</v>
      </c>
      <c r="D7" s="1" t="s">
        <v>612</v>
      </c>
      <c r="E7" s="13">
        <f t="shared" si="0"/>
        <v>185.99258277127291</v>
      </c>
      <c r="F7" s="11" t="s">
        <v>70</v>
      </c>
      <c r="G7" s="11" t="s">
        <v>69</v>
      </c>
      <c r="H7" s="11" t="s">
        <v>69</v>
      </c>
      <c r="I7" s="11" t="s">
        <v>69</v>
      </c>
      <c r="J7" s="11" t="s">
        <v>69</v>
      </c>
      <c r="K7" s="14"/>
      <c r="L7" s="14"/>
      <c r="M7" s="11"/>
      <c r="N7" s="12"/>
      <c r="O7" s="11"/>
      <c r="P7" s="11"/>
      <c r="Q7" s="1">
        <v>3</v>
      </c>
      <c r="R7" s="1"/>
      <c r="S7" s="3">
        <f>INDEX(Locations!$D$6:$D$455,MATCH(B7,Locations!$A$6:$A$455,0))</f>
        <v>42.733058361645902</v>
      </c>
      <c r="T7" s="3">
        <f>INDEX(Locations!$E$6:$E$455,MATCH(B7,Locations!$A$6:$A$455,0))</f>
        <v>-73.676539781756901</v>
      </c>
      <c r="U7" s="3">
        <f>INDEX(Locations!$D$6:$D$455,MATCH(C7,Locations!$A$6:$A$455,0))</f>
        <v>42.732713507708297</v>
      </c>
      <c r="V7" s="3">
        <f>INDEX(Locations!$E$6:$E$455,MATCH(C7,Locations!$A$6:$A$455,0))</f>
        <v>-73.674311490327497</v>
      </c>
    </row>
    <row r="8" spans="1:22" ht="23.1" customHeight="1">
      <c r="A8" s="1" t="s">
        <v>614</v>
      </c>
      <c r="B8" s="1" t="s">
        <v>218</v>
      </c>
      <c r="C8" s="1" t="s">
        <v>217</v>
      </c>
      <c r="D8" s="1" t="s">
        <v>612</v>
      </c>
      <c r="E8" s="13">
        <f t="shared" si="0"/>
        <v>260.43185341120261</v>
      </c>
      <c r="F8" s="11" t="s">
        <v>70</v>
      </c>
      <c r="G8" s="11" t="s">
        <v>69</v>
      </c>
      <c r="H8" s="11" t="s">
        <v>69</v>
      </c>
      <c r="I8" s="11" t="s">
        <v>69</v>
      </c>
      <c r="J8" s="11" t="s">
        <v>69</v>
      </c>
      <c r="K8" s="14"/>
      <c r="L8" s="14"/>
      <c r="M8" s="11"/>
      <c r="N8" s="12"/>
      <c r="O8" s="11"/>
      <c r="P8" s="11"/>
      <c r="Q8" s="1">
        <v>4</v>
      </c>
      <c r="R8" s="1"/>
      <c r="S8" s="3">
        <f>INDEX(Locations!$D$6:$D$455,MATCH(B8,Locations!$A$6:$A$455,0))</f>
        <v>42.730770830526502</v>
      </c>
      <c r="T8" s="3">
        <f>INDEX(Locations!$E$6:$E$455,MATCH(B8,Locations!$A$6:$A$455,0))</f>
        <v>-73.677224185553101</v>
      </c>
      <c r="U8" s="3">
        <f>INDEX(Locations!$D$6:$D$455,MATCH(C8,Locations!$A$6:$A$455,0))</f>
        <v>42.733058361645902</v>
      </c>
      <c r="V8" s="3">
        <f>INDEX(Locations!$E$6:$E$455,MATCH(C8,Locations!$A$6:$A$455,0))</f>
        <v>-73.676539781756901</v>
      </c>
    </row>
    <row r="9" spans="1:22" ht="23.1" customHeight="1">
      <c r="A9" s="1" t="s">
        <v>615</v>
      </c>
      <c r="B9" s="1" t="s">
        <v>218</v>
      </c>
      <c r="C9" s="1" t="s">
        <v>219</v>
      </c>
      <c r="D9" s="1" t="s">
        <v>612</v>
      </c>
      <c r="E9" s="13">
        <f t="shared" si="0"/>
        <v>83.099533330258723</v>
      </c>
      <c r="F9" s="11" t="s">
        <v>70</v>
      </c>
      <c r="G9" s="11" t="s">
        <v>69</v>
      </c>
      <c r="H9" s="11" t="s">
        <v>69</v>
      </c>
      <c r="I9" s="11" t="s">
        <v>69</v>
      </c>
      <c r="J9" s="11" t="s">
        <v>69</v>
      </c>
      <c r="K9" s="14"/>
      <c r="L9" s="14"/>
      <c r="M9" s="11"/>
      <c r="N9" s="12"/>
      <c r="O9" s="11"/>
      <c r="P9" s="11"/>
      <c r="Q9" s="1">
        <v>5</v>
      </c>
      <c r="R9" s="1"/>
      <c r="S9" s="3">
        <f>INDEX(Locations!$D$6:$D$455,MATCH(B9,Locations!$A$6:$A$455,0))</f>
        <v>42.730770830526502</v>
      </c>
      <c r="T9" s="3">
        <f>INDEX(Locations!$E$6:$E$455,MATCH(B9,Locations!$A$6:$A$455,0))</f>
        <v>-73.677224185553101</v>
      </c>
      <c r="U9" s="3">
        <f>INDEX(Locations!$D$6:$D$455,MATCH(C9,Locations!$A$6:$A$455,0))</f>
        <v>42.730644384082801</v>
      </c>
      <c r="V9" s="3">
        <f>INDEX(Locations!$E$6:$E$455,MATCH(C9,Locations!$A$6:$A$455,0))</f>
        <v>-73.676221454409799</v>
      </c>
    </row>
    <row r="10" spans="1:22" ht="23.1" customHeight="1">
      <c r="A10" s="1" t="s">
        <v>616</v>
      </c>
      <c r="B10" s="1" t="s">
        <v>220</v>
      </c>
      <c r="C10" s="1" t="s">
        <v>219</v>
      </c>
      <c r="D10" s="1" t="s">
        <v>612</v>
      </c>
      <c r="E10" s="13">
        <f t="shared" si="0"/>
        <v>57.399965976720885</v>
      </c>
      <c r="F10" s="11" t="s">
        <v>70</v>
      </c>
      <c r="G10" s="11" t="s">
        <v>69</v>
      </c>
      <c r="H10" s="11" t="s">
        <v>69</v>
      </c>
      <c r="I10" s="11" t="s">
        <v>69</v>
      </c>
      <c r="J10" s="11" t="s">
        <v>69</v>
      </c>
      <c r="K10" s="14"/>
      <c r="L10" s="14"/>
      <c r="M10" s="11"/>
      <c r="N10" s="12"/>
      <c r="O10" s="11"/>
      <c r="P10" s="11"/>
      <c r="Q10" s="1">
        <v>6</v>
      </c>
      <c r="R10" s="1"/>
      <c r="S10" s="3">
        <f>INDEX(Locations!$D$6:$D$455,MATCH(B10,Locations!$A$6:$A$455,0))</f>
        <v>42.730943257495298</v>
      </c>
      <c r="T10" s="3">
        <f>INDEX(Locations!$E$6:$E$455,MATCH(B10,Locations!$A$6:$A$455,0))</f>
        <v>-73.675648465185105</v>
      </c>
      <c r="U10" s="3">
        <f>INDEX(Locations!$D$6:$D$455,MATCH(C10,Locations!$A$6:$A$455,0))</f>
        <v>42.730644384082801</v>
      </c>
      <c r="V10" s="3">
        <f>INDEX(Locations!$E$6:$E$455,MATCH(C10,Locations!$A$6:$A$455,0))</f>
        <v>-73.676221454409799</v>
      </c>
    </row>
    <row r="11" spans="1:22" ht="23.1" customHeight="1">
      <c r="A11" s="1" t="s">
        <v>617</v>
      </c>
      <c r="B11" s="1" t="s">
        <v>221</v>
      </c>
      <c r="C11" s="1" t="s">
        <v>224</v>
      </c>
      <c r="D11" s="1" t="s">
        <v>612</v>
      </c>
      <c r="E11" s="13">
        <f t="shared" si="0"/>
        <v>68.323040551063954</v>
      </c>
      <c r="F11" s="11" t="s">
        <v>70</v>
      </c>
      <c r="G11" s="11" t="s">
        <v>69</v>
      </c>
      <c r="H11" s="11" t="s">
        <v>69</v>
      </c>
      <c r="I11" s="11" t="s">
        <v>69</v>
      </c>
      <c r="J11" s="11" t="s">
        <v>69</v>
      </c>
      <c r="K11" s="14"/>
      <c r="L11" s="14"/>
      <c r="M11" s="11"/>
      <c r="N11" s="12"/>
      <c r="O11" s="11"/>
      <c r="P11" s="11"/>
      <c r="Q11" s="1">
        <v>7</v>
      </c>
      <c r="R11" s="1"/>
      <c r="S11" s="3">
        <f>INDEX(Locations!$D$6:$D$455,MATCH(B11,Locations!$A$6:$A$455,0))</f>
        <v>42.731908848520597</v>
      </c>
      <c r="T11" s="3">
        <f>INDEX(Locations!$E$6:$E$455,MATCH(B11,Locations!$A$6:$A$455,0))</f>
        <v>-73.6746298176746</v>
      </c>
      <c r="U11" s="3">
        <f>INDEX(Locations!$D$6:$D$455,MATCH(C11,Locations!$A$6:$A$455,0))</f>
        <v>42.731345587089201</v>
      </c>
      <c r="V11" s="3">
        <f>INDEX(Locations!$E$6:$E$455,MATCH(C11,Locations!$A$6:$A$455,0))</f>
        <v>-73.674295573960194</v>
      </c>
    </row>
    <row r="12" spans="1:22" ht="23.1" customHeight="1">
      <c r="A12" s="1" t="s">
        <v>618</v>
      </c>
      <c r="B12" s="1" t="s">
        <v>223</v>
      </c>
      <c r="C12" s="1" t="s">
        <v>224</v>
      </c>
      <c r="D12" s="1" t="s">
        <v>612</v>
      </c>
      <c r="E12" s="13">
        <f t="shared" si="0"/>
        <v>63.127867179636958</v>
      </c>
      <c r="F12" s="11" t="s">
        <v>70</v>
      </c>
      <c r="G12" s="11" t="s">
        <v>69</v>
      </c>
      <c r="H12" s="11" t="s">
        <v>69</v>
      </c>
      <c r="I12" s="11" t="s">
        <v>69</v>
      </c>
      <c r="J12" s="11" t="s">
        <v>69</v>
      </c>
      <c r="K12" s="14"/>
      <c r="L12" s="14"/>
      <c r="M12" s="11"/>
      <c r="N12" s="12"/>
      <c r="O12" s="11"/>
      <c r="P12" s="11"/>
      <c r="Q12" s="1">
        <v>8</v>
      </c>
      <c r="R12" s="1"/>
      <c r="S12" s="3">
        <f>INDEX(Locations!$D$6:$D$455,MATCH(B12,Locations!$A$6:$A$455,0))</f>
        <v>42.730914519667202</v>
      </c>
      <c r="T12" s="3">
        <f>INDEX(Locations!$E$6:$E$455,MATCH(B12,Locations!$A$6:$A$455,0))</f>
        <v>-73.673792616751797</v>
      </c>
      <c r="U12" s="3">
        <f>INDEX(Locations!$D$6:$D$455,MATCH(C12,Locations!$A$6:$A$455,0))</f>
        <v>42.731345587089201</v>
      </c>
      <c r="V12" s="3">
        <f>INDEX(Locations!$E$6:$E$455,MATCH(C12,Locations!$A$6:$A$455,0))</f>
        <v>-73.674295573960194</v>
      </c>
    </row>
    <row r="13" spans="1:22" ht="23.1" customHeight="1">
      <c r="A13" s="1" t="s">
        <v>619</v>
      </c>
      <c r="B13" s="1" t="s">
        <v>226</v>
      </c>
      <c r="C13" s="1" t="s">
        <v>223</v>
      </c>
      <c r="D13" s="1" t="s">
        <v>612</v>
      </c>
      <c r="E13" s="13">
        <f t="shared" si="0"/>
        <v>66.002156616102226</v>
      </c>
      <c r="F13" s="11" t="s">
        <v>70</v>
      </c>
      <c r="G13" s="11" t="s">
        <v>69</v>
      </c>
      <c r="H13" s="11" t="s">
        <v>69</v>
      </c>
      <c r="I13" s="11" t="s">
        <v>69</v>
      </c>
      <c r="J13" s="11" t="s">
        <v>69</v>
      </c>
      <c r="K13" s="14"/>
      <c r="L13" s="14"/>
      <c r="M13" s="11"/>
      <c r="N13" s="12"/>
      <c r="O13" s="11"/>
      <c r="P13" s="11"/>
      <c r="Q13" s="1">
        <v>9</v>
      </c>
      <c r="R13" s="1"/>
      <c r="S13" s="3">
        <f>INDEX(Locations!$D$6:$D$455,MATCH(B13,Locations!$A$6:$A$455,0))</f>
        <v>42.731127179595397</v>
      </c>
      <c r="T13" s="3">
        <f>INDEX(Locations!$E$6:$E$455,MATCH(B13,Locations!$A$6:$A$455,0))</f>
        <v>-73.673038180939301</v>
      </c>
      <c r="U13" s="3">
        <f>INDEX(Locations!$D$6:$D$455,MATCH(C13,Locations!$A$6:$A$455,0))</f>
        <v>42.730914519667202</v>
      </c>
      <c r="V13" s="3">
        <f>INDEX(Locations!$E$6:$E$455,MATCH(C13,Locations!$A$6:$A$455,0))</f>
        <v>-73.673792616751797</v>
      </c>
    </row>
    <row r="14" spans="1:22" ht="23.1" customHeight="1">
      <c r="A14" s="1" t="s">
        <v>620</v>
      </c>
      <c r="B14" s="1" t="s">
        <v>226</v>
      </c>
      <c r="C14" s="1" t="s">
        <v>225</v>
      </c>
      <c r="D14" s="1" t="s">
        <v>612</v>
      </c>
      <c r="E14" s="13">
        <f t="shared" si="0"/>
        <v>93.566652711148521</v>
      </c>
      <c r="F14" s="11" t="s">
        <v>70</v>
      </c>
      <c r="G14" s="11" t="s">
        <v>69</v>
      </c>
      <c r="H14" s="11" t="s">
        <v>69</v>
      </c>
      <c r="I14" s="11" t="s">
        <v>69</v>
      </c>
      <c r="J14" s="11" t="s">
        <v>69</v>
      </c>
      <c r="K14" s="14"/>
      <c r="L14" s="14"/>
      <c r="M14" s="11"/>
      <c r="N14" s="12"/>
      <c r="O14" s="11"/>
      <c r="P14" s="11"/>
      <c r="Q14" s="1">
        <v>10</v>
      </c>
      <c r="R14" s="1"/>
      <c r="S14" s="3">
        <f>INDEX(Locations!$D$6:$D$455,MATCH(B14,Locations!$A$6:$A$455,0))</f>
        <v>42.731127179595397</v>
      </c>
      <c r="T14" s="3">
        <f>INDEX(Locations!$E$6:$E$455,MATCH(B14,Locations!$A$6:$A$455,0))</f>
        <v>-73.673038180939301</v>
      </c>
      <c r="U14" s="3">
        <f>INDEX(Locations!$D$6:$D$455,MATCH(C14,Locations!$A$6:$A$455,0))</f>
        <v>42.731265121170402</v>
      </c>
      <c r="V14" s="3">
        <f>INDEX(Locations!$E$6:$E$455,MATCH(C14,Locations!$A$6:$A$455,0))</f>
        <v>-73.671908118857303</v>
      </c>
    </row>
    <row r="15" spans="1:22" ht="23.1" customHeight="1">
      <c r="A15" s="1" t="s">
        <v>621</v>
      </c>
      <c r="B15" s="1" t="s">
        <v>216</v>
      </c>
      <c r="C15" s="1" t="s">
        <v>227</v>
      </c>
      <c r="D15" s="1" t="s">
        <v>612</v>
      </c>
      <c r="E15" s="13">
        <f t="shared" si="0"/>
        <v>87.557406411446777</v>
      </c>
      <c r="F15" s="11" t="s">
        <v>70</v>
      </c>
      <c r="G15" s="11" t="s">
        <v>69</v>
      </c>
      <c r="H15" s="11" t="s">
        <v>69</v>
      </c>
      <c r="I15" s="11" t="s">
        <v>69</v>
      </c>
      <c r="J15" s="11" t="s">
        <v>69</v>
      </c>
      <c r="K15" s="14"/>
      <c r="L15" s="14"/>
      <c r="M15" s="11"/>
      <c r="N15" s="12"/>
      <c r="O15" s="11"/>
      <c r="P15" s="11"/>
      <c r="Q15" s="1">
        <v>11</v>
      </c>
      <c r="R15" s="1"/>
      <c r="S15" s="3">
        <f>INDEX(Locations!$D$6:$D$455,MATCH(B15,Locations!$A$6:$A$455,0))</f>
        <v>42.732426129426997</v>
      </c>
      <c r="T15" s="3">
        <f>INDEX(Locations!$E$6:$E$455,MATCH(B15,Locations!$A$6:$A$455,0))</f>
        <v>-73.671605707877603</v>
      </c>
      <c r="U15" s="3">
        <f>INDEX(Locations!$D$6:$D$455,MATCH(C15,Locations!$A$6:$A$455,0))</f>
        <v>42.732506595345797</v>
      </c>
      <c r="V15" s="3">
        <f>INDEX(Locations!$E$6:$E$455,MATCH(C15,Locations!$A$6:$A$455,0))</f>
        <v>-73.672672104490204</v>
      </c>
    </row>
    <row r="16" spans="1:22" ht="23.1" customHeight="1">
      <c r="A16" s="1" t="s">
        <v>622</v>
      </c>
      <c r="B16" s="1" t="s">
        <v>222</v>
      </c>
      <c r="C16" s="1" t="s">
        <v>227</v>
      </c>
      <c r="D16" s="1" t="s">
        <v>612</v>
      </c>
      <c r="E16" s="13">
        <f t="shared" si="0"/>
        <v>135.86052818164546</v>
      </c>
      <c r="F16" s="11" t="s">
        <v>70</v>
      </c>
      <c r="G16" s="11" t="s">
        <v>69</v>
      </c>
      <c r="H16" s="11" t="s">
        <v>69</v>
      </c>
      <c r="I16" s="11" t="s">
        <v>69</v>
      </c>
      <c r="J16" s="11" t="s">
        <v>69</v>
      </c>
      <c r="K16" s="14"/>
      <c r="L16" s="14"/>
      <c r="M16" s="11"/>
      <c r="N16" s="12"/>
      <c r="O16" s="11"/>
      <c r="P16" s="11"/>
      <c r="Q16" s="1">
        <v>12</v>
      </c>
      <c r="R16" s="1"/>
      <c r="S16" s="3">
        <f>INDEX(Locations!$D$6:$D$455,MATCH(B16,Locations!$A$6:$A$455,0))</f>
        <v>42.732713507708297</v>
      </c>
      <c r="T16" s="3">
        <f>INDEX(Locations!$E$6:$E$455,MATCH(B16,Locations!$A$6:$A$455,0))</f>
        <v>-73.674311490327497</v>
      </c>
      <c r="U16" s="3">
        <f>INDEX(Locations!$D$6:$D$455,MATCH(C16,Locations!$A$6:$A$455,0))</f>
        <v>42.732506595345797</v>
      </c>
      <c r="V16" s="3">
        <f>INDEX(Locations!$E$6:$E$455,MATCH(C16,Locations!$A$6:$A$455,0))</f>
        <v>-73.672672104490204</v>
      </c>
    </row>
    <row r="17" spans="1:22" ht="23.1" customHeight="1">
      <c r="A17" s="1" t="s">
        <v>623</v>
      </c>
      <c r="B17" s="1" t="s">
        <v>221</v>
      </c>
      <c r="C17" s="1" t="s">
        <v>228</v>
      </c>
      <c r="D17" s="1" t="s">
        <v>612</v>
      </c>
      <c r="E17" s="13">
        <f t="shared" si="0"/>
        <v>71.624454214104674</v>
      </c>
      <c r="F17" s="11" t="s">
        <v>70</v>
      </c>
      <c r="G17" s="11" t="s">
        <v>69</v>
      </c>
      <c r="H17" s="11" t="s">
        <v>69</v>
      </c>
      <c r="I17" s="11" t="s">
        <v>69</v>
      </c>
      <c r="J17" s="11" t="s">
        <v>69</v>
      </c>
      <c r="K17" s="14"/>
      <c r="L17" s="14"/>
      <c r="M17" s="11"/>
      <c r="N17" s="12"/>
      <c r="O17" s="11"/>
      <c r="P17" s="11"/>
      <c r="Q17" s="1">
        <v>13</v>
      </c>
      <c r="R17" s="1"/>
      <c r="S17" s="3">
        <f>INDEX(Locations!$D$6:$D$455,MATCH(B17,Locations!$A$6:$A$455,0))</f>
        <v>42.731908848520597</v>
      </c>
      <c r="T17" s="3">
        <f>INDEX(Locations!$E$6:$E$455,MATCH(B17,Locations!$A$6:$A$455,0))</f>
        <v>-73.6746298176746</v>
      </c>
      <c r="U17" s="3">
        <f>INDEX(Locations!$D$6:$D$455,MATCH(C17,Locations!$A$6:$A$455,0))</f>
        <v>42.731368577351702</v>
      </c>
      <c r="V17" s="3">
        <f>INDEX(Locations!$E$6:$E$455,MATCH(C17,Locations!$A$6:$A$455,0))</f>
        <v>-73.675107308695104</v>
      </c>
    </row>
    <row r="18" spans="1:22" ht="23.1" customHeight="1">
      <c r="A18" s="1" t="s">
        <v>624</v>
      </c>
      <c r="B18" s="1" t="s">
        <v>220</v>
      </c>
      <c r="C18" s="1" t="s">
        <v>228</v>
      </c>
      <c r="D18" s="1" t="s">
        <v>612</v>
      </c>
      <c r="E18" s="13">
        <f t="shared" si="0"/>
        <v>64.732884296544484</v>
      </c>
      <c r="F18" s="11" t="s">
        <v>70</v>
      </c>
      <c r="G18" s="11" t="s">
        <v>69</v>
      </c>
      <c r="H18" s="11" t="s">
        <v>69</v>
      </c>
      <c r="I18" s="11" t="s">
        <v>69</v>
      </c>
      <c r="J18" s="11" t="s">
        <v>69</v>
      </c>
      <c r="K18" s="14"/>
      <c r="L18" s="14"/>
      <c r="M18" s="11"/>
      <c r="N18" s="12"/>
      <c r="O18" s="11"/>
      <c r="P18" s="11"/>
      <c r="Q18" s="1">
        <v>14</v>
      </c>
      <c r="R18" s="1"/>
      <c r="S18" s="3">
        <f>INDEX(Locations!$D$6:$D$455,MATCH(B18,Locations!$A$6:$A$455,0))</f>
        <v>42.730943257495298</v>
      </c>
      <c r="T18" s="3">
        <f>INDEX(Locations!$E$6:$E$455,MATCH(B18,Locations!$A$6:$A$455,0))</f>
        <v>-73.675648465185105</v>
      </c>
      <c r="U18" s="3">
        <f>INDEX(Locations!$D$6:$D$455,MATCH(C18,Locations!$A$6:$A$455,0))</f>
        <v>42.731368577351702</v>
      </c>
      <c r="V18" s="3">
        <f>INDEX(Locations!$E$6:$E$455,MATCH(C18,Locations!$A$6:$A$455,0))</f>
        <v>-73.675107308695104</v>
      </c>
    </row>
    <row r="19" spans="1:22" ht="23.1" customHeight="1">
      <c r="A19" s="1" t="s">
        <v>625</v>
      </c>
      <c r="B19" s="1" t="s">
        <v>223</v>
      </c>
      <c r="C19" s="1" t="s">
        <v>229</v>
      </c>
      <c r="D19" s="1" t="s">
        <v>612</v>
      </c>
      <c r="E19" s="13">
        <f t="shared" si="0"/>
        <v>40.388885028394903</v>
      </c>
      <c r="F19" s="11" t="s">
        <v>70</v>
      </c>
      <c r="G19" s="11" t="s">
        <v>69</v>
      </c>
      <c r="H19" s="11" t="s">
        <v>69</v>
      </c>
      <c r="I19" s="11" t="s">
        <v>69</v>
      </c>
      <c r="J19" s="11" t="s">
        <v>69</v>
      </c>
      <c r="K19" s="14"/>
      <c r="L19" s="14"/>
      <c r="M19" s="11"/>
      <c r="N19" s="12"/>
      <c r="O19" s="11"/>
      <c r="P19" s="11"/>
      <c r="Q19" s="1">
        <v>15</v>
      </c>
      <c r="R19" s="1"/>
      <c r="S19" s="3">
        <f>INDEX(Locations!$D$6:$D$455,MATCH(B19,Locations!$A$6:$A$455,0))</f>
        <v>42.730914519667202</v>
      </c>
      <c r="T19" s="3">
        <f>INDEX(Locations!$E$6:$E$455,MATCH(B19,Locations!$A$6:$A$455,0))</f>
        <v>-73.673792616751797</v>
      </c>
      <c r="U19" s="3">
        <f>INDEX(Locations!$D$6:$D$455,MATCH(C19,Locations!$A$6:$A$455,0))</f>
        <v>42.730605300636498</v>
      </c>
      <c r="V19" s="3">
        <f>INDEX(Locations!$E$6:$E$455,MATCH(C19,Locations!$A$6:$A$455,0))</f>
        <v>-73.674052053539697</v>
      </c>
    </row>
    <row r="20" spans="1:22" ht="23.1" customHeight="1">
      <c r="A20" s="1" t="s">
        <v>626</v>
      </c>
      <c r="B20" s="1" t="s">
        <v>230</v>
      </c>
      <c r="C20" s="1" t="s">
        <v>229</v>
      </c>
      <c r="D20" s="1" t="s">
        <v>612</v>
      </c>
      <c r="E20" s="13">
        <f t="shared" si="0"/>
        <v>47.858914634928688</v>
      </c>
      <c r="F20" s="11" t="s">
        <v>70</v>
      </c>
      <c r="G20" s="11" t="s">
        <v>69</v>
      </c>
      <c r="H20" s="11" t="s">
        <v>69</v>
      </c>
      <c r="I20" s="11" t="s">
        <v>69</v>
      </c>
      <c r="J20" s="11" t="s">
        <v>69</v>
      </c>
      <c r="K20" s="14"/>
      <c r="L20" s="14"/>
      <c r="M20" s="11"/>
      <c r="N20" s="12"/>
      <c r="O20" s="11"/>
      <c r="P20" s="11"/>
      <c r="Q20" s="1">
        <v>16</v>
      </c>
      <c r="R20" s="1"/>
      <c r="S20" s="3">
        <f>INDEX(Locations!$D$6:$D$455,MATCH(B20,Locations!$A$6:$A$455,0))</f>
        <v>42.7304294251283</v>
      </c>
      <c r="T20" s="3">
        <f>INDEX(Locations!$E$6:$E$455,MATCH(B20,Locations!$A$6:$A$455,0))</f>
        <v>-73.6745868434827</v>
      </c>
      <c r="U20" s="3">
        <f>INDEX(Locations!$D$6:$D$455,MATCH(C20,Locations!$A$6:$A$455,0))</f>
        <v>42.730605300636498</v>
      </c>
      <c r="V20" s="3">
        <f>INDEX(Locations!$E$6:$E$455,MATCH(C20,Locations!$A$6:$A$455,0))</f>
        <v>-73.674052053539697</v>
      </c>
    </row>
    <row r="21" spans="1:22" ht="23.1" customHeight="1">
      <c r="A21" s="1" t="s">
        <v>627</v>
      </c>
      <c r="B21" s="1" t="s">
        <v>231</v>
      </c>
      <c r="C21" s="1" t="s">
        <v>230</v>
      </c>
      <c r="D21" s="1" t="s">
        <v>612</v>
      </c>
      <c r="E21" s="13">
        <f t="shared" si="0"/>
        <v>14.23433803703263</v>
      </c>
      <c r="F21" s="11" t="s">
        <v>70</v>
      </c>
      <c r="G21" s="11" t="s">
        <v>69</v>
      </c>
      <c r="H21" s="11" t="s">
        <v>69</v>
      </c>
      <c r="I21" s="11" t="s">
        <v>69</v>
      </c>
      <c r="J21" s="11" t="s">
        <v>69</v>
      </c>
      <c r="K21" s="14"/>
      <c r="L21" s="14"/>
      <c r="M21" s="11"/>
      <c r="N21" s="12"/>
      <c r="O21" s="11"/>
      <c r="P21" s="11"/>
      <c r="Q21" s="1">
        <v>17</v>
      </c>
      <c r="R21" s="1"/>
      <c r="S21" s="3">
        <f>INDEX(Locations!$D$6:$D$455,MATCH(B21,Locations!$A$6:$A$455,0))</f>
        <v>42.730334015538901</v>
      </c>
      <c r="T21" s="3">
        <f>INDEX(Locations!$E$6:$E$455,MATCH(B21,Locations!$A$6:$A$455,0))</f>
        <v>-73.674703032964402</v>
      </c>
      <c r="U21" s="3">
        <f>INDEX(Locations!$D$6:$D$455,MATCH(C21,Locations!$A$6:$A$455,0))</f>
        <v>42.7304294251283</v>
      </c>
      <c r="V21" s="3">
        <f>INDEX(Locations!$E$6:$E$455,MATCH(C21,Locations!$A$6:$A$455,0))</f>
        <v>-73.6745868434827</v>
      </c>
    </row>
    <row r="22" spans="1:22" ht="23.1" customHeight="1">
      <c r="A22" s="1" t="s">
        <v>628</v>
      </c>
      <c r="B22" s="1" t="s">
        <v>219</v>
      </c>
      <c r="C22" s="1" t="s">
        <v>233</v>
      </c>
      <c r="D22" s="1" t="s">
        <v>612</v>
      </c>
      <c r="E22" s="13">
        <f t="shared" si="0"/>
        <v>47.600612705590002</v>
      </c>
      <c r="F22" s="11" t="s">
        <v>70</v>
      </c>
      <c r="G22" s="11" t="s">
        <v>69</v>
      </c>
      <c r="H22" s="11" t="s">
        <v>69</v>
      </c>
      <c r="I22" s="11" t="s">
        <v>69</v>
      </c>
      <c r="J22" s="11" t="s">
        <v>69</v>
      </c>
      <c r="K22" s="14"/>
      <c r="L22" s="14"/>
      <c r="M22" s="11"/>
      <c r="N22" s="12"/>
      <c r="O22" s="11"/>
      <c r="P22" s="11"/>
      <c r="Q22" s="1">
        <v>18</v>
      </c>
      <c r="R22" s="1"/>
      <c r="S22" s="3">
        <f>INDEX(Locations!$D$6:$D$455,MATCH(B22,Locations!$A$6:$A$455,0))</f>
        <v>42.730644384082801</v>
      </c>
      <c r="T22" s="3">
        <f>INDEX(Locations!$E$6:$E$455,MATCH(B22,Locations!$A$6:$A$455,0))</f>
        <v>-73.676221454409799</v>
      </c>
      <c r="U22" s="3">
        <f>INDEX(Locations!$D$6:$D$455,MATCH(C22,Locations!$A$6:$A$455,0))</f>
        <v>42.730307576737097</v>
      </c>
      <c r="V22" s="3">
        <f>INDEX(Locations!$E$6:$E$455,MATCH(C22,Locations!$A$6:$A$455,0))</f>
        <v>-73.675861744507699</v>
      </c>
    </row>
    <row r="23" spans="1:22" ht="23.1" customHeight="1">
      <c r="A23" s="1" t="s">
        <v>629</v>
      </c>
      <c r="B23" s="1" t="s">
        <v>232</v>
      </c>
      <c r="C23" s="1" t="s">
        <v>233</v>
      </c>
      <c r="D23" s="1" t="s">
        <v>612</v>
      </c>
      <c r="E23" s="13">
        <f t="shared" si="0"/>
        <v>71.840147364890356</v>
      </c>
      <c r="F23" s="11" t="s">
        <v>70</v>
      </c>
      <c r="G23" s="11" t="s">
        <v>69</v>
      </c>
      <c r="H23" s="11" t="s">
        <v>69</v>
      </c>
      <c r="I23" s="11" t="s">
        <v>69</v>
      </c>
      <c r="J23" s="11" t="s">
        <v>69</v>
      </c>
      <c r="K23" s="14"/>
      <c r="L23" s="14"/>
      <c r="M23" s="11"/>
      <c r="N23" s="12"/>
      <c r="O23" s="11"/>
      <c r="P23" s="11"/>
      <c r="Q23" s="1">
        <v>19</v>
      </c>
      <c r="R23" s="1"/>
      <c r="S23" s="3">
        <f>INDEX(Locations!$D$6:$D$455,MATCH(B23,Locations!$A$6:$A$455,0))</f>
        <v>42.730085720703897</v>
      </c>
      <c r="T23" s="3">
        <f>INDEX(Locations!$E$6:$E$455,MATCH(B23,Locations!$A$6:$A$455,0))</f>
        <v>-73.675035685042104</v>
      </c>
      <c r="U23" s="3">
        <f>INDEX(Locations!$D$6:$D$455,MATCH(C23,Locations!$A$6:$A$455,0))</f>
        <v>42.730307576737097</v>
      </c>
      <c r="V23" s="3">
        <f>INDEX(Locations!$E$6:$E$455,MATCH(C23,Locations!$A$6:$A$455,0))</f>
        <v>-73.675861744507699</v>
      </c>
    </row>
    <row r="24" spans="1:22" ht="23.1" customHeight="1">
      <c r="A24" s="1" t="s">
        <v>630</v>
      </c>
      <c r="B24" s="1" t="s">
        <v>231</v>
      </c>
      <c r="C24" s="1" t="s">
        <v>232</v>
      </c>
      <c r="D24" s="1" t="s">
        <v>612</v>
      </c>
      <c r="E24" s="13">
        <f t="shared" si="0"/>
        <v>38.736420102570946</v>
      </c>
      <c r="F24" s="11" t="s">
        <v>70</v>
      </c>
      <c r="G24" s="11" t="s">
        <v>69</v>
      </c>
      <c r="H24" s="11" t="s">
        <v>69</v>
      </c>
      <c r="I24" s="11" t="s">
        <v>69</v>
      </c>
      <c r="J24" s="11" t="s">
        <v>69</v>
      </c>
      <c r="K24" s="14"/>
      <c r="L24" s="14"/>
      <c r="M24" s="11"/>
      <c r="N24" s="12"/>
      <c r="O24" s="11"/>
      <c r="P24" s="11"/>
      <c r="Q24" s="1">
        <v>20</v>
      </c>
      <c r="R24" s="1"/>
      <c r="S24" s="3">
        <f>INDEX(Locations!$D$6:$D$455,MATCH(B24,Locations!$A$6:$A$455,0))</f>
        <v>42.730334015538901</v>
      </c>
      <c r="T24" s="3">
        <f>INDEX(Locations!$E$6:$E$455,MATCH(B24,Locations!$A$6:$A$455,0))</f>
        <v>-73.674703032964402</v>
      </c>
      <c r="U24" s="3">
        <f>INDEX(Locations!$D$6:$D$455,MATCH(C24,Locations!$A$6:$A$455,0))</f>
        <v>42.730085720703897</v>
      </c>
      <c r="V24" s="3">
        <f>INDEX(Locations!$E$6:$E$455,MATCH(C24,Locations!$A$6:$A$455,0))</f>
        <v>-73.675035685042104</v>
      </c>
    </row>
    <row r="25" spans="1:22" ht="23.1" customHeight="1">
      <c r="A25" s="1" t="s">
        <v>631</v>
      </c>
      <c r="B25" s="1" t="s">
        <v>220</v>
      </c>
      <c r="C25" s="1" t="s">
        <v>234</v>
      </c>
      <c r="D25" s="1" t="s">
        <v>612</v>
      </c>
      <c r="E25" s="13">
        <f t="shared" si="0"/>
        <v>40.335944541508709</v>
      </c>
      <c r="F25" s="11" t="s">
        <v>70</v>
      </c>
      <c r="G25" s="11" t="s">
        <v>69</v>
      </c>
      <c r="H25" s="11" t="s">
        <v>69</v>
      </c>
      <c r="I25" s="11" t="s">
        <v>69</v>
      </c>
      <c r="J25" s="11" t="s">
        <v>69</v>
      </c>
      <c r="K25" s="14"/>
      <c r="L25" s="14"/>
      <c r="M25" s="11"/>
      <c r="N25" s="12"/>
      <c r="O25" s="11"/>
      <c r="P25" s="11"/>
      <c r="Q25" s="1">
        <v>21</v>
      </c>
      <c r="R25" s="1"/>
      <c r="S25" s="3">
        <f>INDEX(Locations!$D$6:$D$455,MATCH(B25,Locations!$A$6:$A$455,0))</f>
        <v>42.730943257495298</v>
      </c>
      <c r="T25" s="3">
        <f>INDEX(Locations!$E$6:$E$455,MATCH(B25,Locations!$A$6:$A$455,0))</f>
        <v>-73.675648465185105</v>
      </c>
      <c r="U25" s="3">
        <f>INDEX(Locations!$D$6:$D$455,MATCH(C25,Locations!$A$6:$A$455,0))</f>
        <v>42.730713354870304</v>
      </c>
      <c r="V25" s="3">
        <f>INDEX(Locations!$E$6:$E$455,MATCH(C25,Locations!$A$6:$A$455,0))</f>
        <v>-73.675266472368705</v>
      </c>
    </row>
    <row r="26" spans="1:22" ht="23.1" customHeight="1">
      <c r="A26" s="1" t="s">
        <v>632</v>
      </c>
      <c r="B26" s="1" t="s">
        <v>75</v>
      </c>
      <c r="C26" s="1" t="s">
        <v>234</v>
      </c>
      <c r="D26" s="1" t="s">
        <v>612</v>
      </c>
      <c r="E26" s="13">
        <f t="shared" si="0"/>
        <v>23.086671122013552</v>
      </c>
      <c r="F26" s="11" t="s">
        <v>70</v>
      </c>
      <c r="G26" s="11" t="s">
        <v>69</v>
      </c>
      <c r="H26" s="11" t="s">
        <v>69</v>
      </c>
      <c r="I26" s="11" t="s">
        <v>69</v>
      </c>
      <c r="J26" s="11" t="s">
        <v>69</v>
      </c>
      <c r="K26" s="14"/>
      <c r="L26" s="14"/>
      <c r="M26" s="11"/>
      <c r="N26" s="12"/>
      <c r="O26" s="11"/>
      <c r="P26" s="11"/>
      <c r="Q26" s="1">
        <v>22</v>
      </c>
      <c r="R26" s="1"/>
      <c r="S26" s="3">
        <f>INDEX(Locations!$D$6:$D$455,MATCH(B26,Locations!$A$6:$A$455,0))</f>
        <v>42.730656292660498</v>
      </c>
      <c r="T26" s="3">
        <f>INDEX(Locations!$E$6:$E$455,MATCH(B26,Locations!$A$6:$A$455,0))</f>
        <v>-73.675538241171694</v>
      </c>
      <c r="U26" s="3">
        <f>INDEX(Locations!$D$6:$D$455,MATCH(C26,Locations!$A$6:$A$455,0))</f>
        <v>42.730713354870304</v>
      </c>
      <c r="V26" s="3">
        <f>INDEX(Locations!$E$6:$E$455,MATCH(C26,Locations!$A$6:$A$455,0))</f>
        <v>-73.675266472368705</v>
      </c>
    </row>
    <row r="27" spans="1:22" ht="23.1" customHeight="1">
      <c r="A27" s="1" t="s">
        <v>633</v>
      </c>
      <c r="B27" s="1" t="s">
        <v>231</v>
      </c>
      <c r="C27" s="1" t="s">
        <v>234</v>
      </c>
      <c r="D27" s="1" t="s">
        <v>612</v>
      </c>
      <c r="E27" s="13">
        <f t="shared" si="0"/>
        <v>62.42700020637853</v>
      </c>
      <c r="F27" s="11" t="s">
        <v>70</v>
      </c>
      <c r="G27" s="11" t="s">
        <v>69</v>
      </c>
      <c r="H27" s="11" t="s">
        <v>69</v>
      </c>
      <c r="I27" s="11" t="s">
        <v>69</v>
      </c>
      <c r="J27" s="11" t="s">
        <v>69</v>
      </c>
      <c r="K27" s="14"/>
      <c r="L27" s="14"/>
      <c r="M27" s="11"/>
      <c r="N27" s="12"/>
      <c r="O27" s="11"/>
      <c r="P27" s="11"/>
      <c r="Q27" s="1">
        <v>23</v>
      </c>
      <c r="R27" s="1"/>
      <c r="S27" s="3">
        <f>INDEX(Locations!$D$6:$D$455,MATCH(B27,Locations!$A$6:$A$455,0))</f>
        <v>42.730334015538901</v>
      </c>
      <c r="T27" s="3">
        <f>INDEX(Locations!$E$6:$E$455,MATCH(B27,Locations!$A$6:$A$455,0))</f>
        <v>-73.674703032964402</v>
      </c>
      <c r="U27" s="3">
        <f>INDEX(Locations!$D$6:$D$455,MATCH(C27,Locations!$A$6:$A$455,0))</f>
        <v>42.730713354870304</v>
      </c>
      <c r="V27" s="3">
        <f>INDEX(Locations!$E$6:$E$455,MATCH(C27,Locations!$A$6:$A$455,0))</f>
        <v>-73.675266472368705</v>
      </c>
    </row>
    <row r="28" spans="1:22" ht="23.1" customHeight="1">
      <c r="A28" s="1" t="s">
        <v>634</v>
      </c>
      <c r="B28" s="1" t="s">
        <v>105</v>
      </c>
      <c r="C28" s="1" t="s">
        <v>235</v>
      </c>
      <c r="D28" s="1" t="s">
        <v>612</v>
      </c>
      <c r="E28" s="13">
        <f t="shared" si="0"/>
        <v>14.706760274597057</v>
      </c>
      <c r="F28" s="11" t="s">
        <v>70</v>
      </c>
      <c r="G28" s="11" t="s">
        <v>69</v>
      </c>
      <c r="H28" s="11" t="s">
        <v>69</v>
      </c>
      <c r="I28" s="11" t="s">
        <v>69</v>
      </c>
      <c r="J28" s="11" t="s">
        <v>69</v>
      </c>
      <c r="K28" s="14"/>
      <c r="L28" s="14"/>
      <c r="M28" s="11"/>
      <c r="N28" s="12"/>
      <c r="O28" s="11"/>
      <c r="P28" s="11"/>
      <c r="Q28" s="1">
        <v>24</v>
      </c>
      <c r="R28" s="1"/>
      <c r="S28" s="3">
        <f>INDEX(Locations!$D$6:$D$455,MATCH(B28,Locations!$A$6:$A$455,0))</f>
        <v>42.731796359670199</v>
      </c>
      <c r="T28" s="3">
        <f>INDEX(Locations!$E$6:$E$455,MATCH(B28,Locations!$A$6:$A$455,0))</f>
        <v>-73.672253994981503</v>
      </c>
      <c r="U28" s="3">
        <f>INDEX(Locations!$D$6:$D$455,MATCH(C28,Locations!$A$6:$A$455,0))</f>
        <v>42.731667450764299</v>
      </c>
      <c r="V28" s="3">
        <f>INDEX(Locations!$E$6:$E$455,MATCH(C28,Locations!$A$6:$A$455,0))</f>
        <v>-73.672213713110395</v>
      </c>
    </row>
    <row r="29" spans="1:22" ht="23.1" customHeight="1">
      <c r="A29" s="1" t="s">
        <v>635</v>
      </c>
      <c r="B29" s="1" t="s">
        <v>236</v>
      </c>
      <c r="C29" s="1" t="s">
        <v>235</v>
      </c>
      <c r="D29" s="1" t="s">
        <v>612</v>
      </c>
      <c r="E29" s="13">
        <f t="shared" si="0"/>
        <v>34.071817143485653</v>
      </c>
      <c r="F29" s="11" t="s">
        <v>70</v>
      </c>
      <c r="G29" s="11" t="s">
        <v>69</v>
      </c>
      <c r="H29" s="11" t="s">
        <v>69</v>
      </c>
      <c r="I29" s="11" t="s">
        <v>69</v>
      </c>
      <c r="J29" s="11" t="s">
        <v>69</v>
      </c>
      <c r="K29" s="14"/>
      <c r="L29" s="14"/>
      <c r="M29" s="11"/>
      <c r="N29" s="12"/>
      <c r="O29" s="11"/>
      <c r="P29" s="11"/>
      <c r="Q29" s="1">
        <v>25</v>
      </c>
      <c r="R29" s="1"/>
      <c r="S29" s="3">
        <f>INDEX(Locations!$D$6:$D$455,MATCH(B29,Locations!$A$6:$A$455,0))</f>
        <v>42.731659404172397</v>
      </c>
      <c r="T29" s="3">
        <f>INDEX(Locations!$E$6:$E$455,MATCH(B29,Locations!$A$6:$A$455,0))</f>
        <v>-73.671796704285796</v>
      </c>
      <c r="U29" s="3">
        <f>INDEX(Locations!$D$6:$D$455,MATCH(C29,Locations!$A$6:$A$455,0))</f>
        <v>42.731667450764299</v>
      </c>
      <c r="V29" s="3">
        <f>INDEX(Locations!$E$6:$E$455,MATCH(C29,Locations!$A$6:$A$455,0))</f>
        <v>-73.672213713110395</v>
      </c>
    </row>
    <row r="30" spans="1:22" ht="23.1" customHeight="1">
      <c r="A30" s="1" t="s">
        <v>636</v>
      </c>
      <c r="B30" s="1" t="s">
        <v>226</v>
      </c>
      <c r="C30" s="1" t="s">
        <v>238</v>
      </c>
      <c r="D30" s="1" t="s">
        <v>612</v>
      </c>
      <c r="E30" s="13">
        <f t="shared" si="0"/>
        <v>59.021774863970641</v>
      </c>
      <c r="F30" s="11" t="s">
        <v>70</v>
      </c>
      <c r="G30" s="11" t="s">
        <v>69</v>
      </c>
      <c r="H30" s="11" t="s">
        <v>69</v>
      </c>
      <c r="I30" s="11" t="s">
        <v>69</v>
      </c>
      <c r="J30" s="11" t="s">
        <v>69</v>
      </c>
      <c r="K30" s="14"/>
      <c r="L30" s="14"/>
      <c r="M30" s="11"/>
      <c r="N30" s="12"/>
      <c r="O30" s="11"/>
      <c r="P30" s="11"/>
      <c r="Q30" s="1">
        <v>26</v>
      </c>
      <c r="R30" s="1"/>
      <c r="S30" s="3">
        <f>INDEX(Locations!$D$6:$D$455,MATCH(B30,Locations!$A$6:$A$455,0))</f>
        <v>42.731127179595397</v>
      </c>
      <c r="T30" s="3">
        <f>INDEX(Locations!$E$6:$E$455,MATCH(B30,Locations!$A$6:$A$455,0))</f>
        <v>-73.673038180939301</v>
      </c>
      <c r="U30" s="3">
        <f>INDEX(Locations!$D$6:$D$455,MATCH(C30,Locations!$A$6:$A$455,0))</f>
        <v>42.731652507093699</v>
      </c>
      <c r="V30" s="3">
        <f>INDEX(Locations!$E$6:$E$455,MATCH(C30,Locations!$A$6:$A$455,0))</f>
        <v>-73.672934724551496</v>
      </c>
    </row>
    <row r="31" spans="1:22" ht="23.1" customHeight="1">
      <c r="A31" s="1" t="s">
        <v>637</v>
      </c>
      <c r="B31" s="1" t="s">
        <v>237</v>
      </c>
      <c r="C31" s="1" t="s">
        <v>238</v>
      </c>
      <c r="D31" s="1" t="s">
        <v>612</v>
      </c>
      <c r="E31" s="13">
        <f t="shared" si="0"/>
        <v>16.788552889110658</v>
      </c>
      <c r="F31" s="11" t="s">
        <v>70</v>
      </c>
      <c r="G31" s="11" t="s">
        <v>69</v>
      </c>
      <c r="H31" s="11" t="s">
        <v>69</v>
      </c>
      <c r="I31" s="11" t="s">
        <v>69</v>
      </c>
      <c r="J31" s="11" t="s">
        <v>69</v>
      </c>
      <c r="K31" s="14"/>
      <c r="L31" s="14"/>
      <c r="M31" s="11"/>
      <c r="N31" s="12"/>
      <c r="O31" s="11"/>
      <c r="P31" s="11"/>
      <c r="Q31" s="1">
        <v>27</v>
      </c>
      <c r="R31" s="1"/>
      <c r="S31" s="3">
        <f>INDEX(Locations!$D$6:$D$455,MATCH(B31,Locations!$A$6:$A$455,0))</f>
        <v>42.731690441026799</v>
      </c>
      <c r="T31" s="3">
        <f>INDEX(Locations!$E$6:$E$455,MATCH(B31,Locations!$A$6:$A$455,0))</f>
        <v>-73.673133679143405</v>
      </c>
      <c r="U31" s="3">
        <f>INDEX(Locations!$D$6:$D$455,MATCH(C31,Locations!$A$6:$A$455,0))</f>
        <v>42.731652507093699</v>
      </c>
      <c r="V31" s="3">
        <f>INDEX(Locations!$E$6:$E$455,MATCH(C31,Locations!$A$6:$A$455,0))</f>
        <v>-73.672934724551496</v>
      </c>
    </row>
    <row r="32" spans="1:22" ht="23.1" customHeight="1">
      <c r="A32" s="1" t="s">
        <v>638</v>
      </c>
      <c r="B32" s="1" t="s">
        <v>227</v>
      </c>
      <c r="C32" s="1" t="s">
        <v>238</v>
      </c>
      <c r="D32" s="1" t="s">
        <v>612</v>
      </c>
      <c r="E32" s="13">
        <f t="shared" si="0"/>
        <v>97.362479024373314</v>
      </c>
      <c r="F32" s="11" t="s">
        <v>70</v>
      </c>
      <c r="G32" s="11" t="s">
        <v>69</v>
      </c>
      <c r="H32" s="11" t="s">
        <v>69</v>
      </c>
      <c r="I32" s="11" t="s">
        <v>69</v>
      </c>
      <c r="J32" s="11" t="s">
        <v>69</v>
      </c>
      <c r="K32" s="14"/>
      <c r="L32" s="14"/>
      <c r="M32" s="11"/>
      <c r="N32" s="12"/>
      <c r="O32" s="11"/>
      <c r="P32" s="11"/>
      <c r="Q32" s="1">
        <v>28</v>
      </c>
      <c r="R32" s="1"/>
      <c r="S32" s="3">
        <f>INDEX(Locations!$D$6:$D$455,MATCH(B32,Locations!$A$6:$A$455,0))</f>
        <v>42.732506595345797</v>
      </c>
      <c r="T32" s="3">
        <f>INDEX(Locations!$E$6:$E$455,MATCH(B32,Locations!$A$6:$A$455,0))</f>
        <v>-73.672672104490204</v>
      </c>
      <c r="U32" s="3">
        <f>INDEX(Locations!$D$6:$D$455,MATCH(C32,Locations!$A$6:$A$455,0))</f>
        <v>42.731652507093699</v>
      </c>
      <c r="V32" s="3">
        <f>INDEX(Locations!$E$6:$E$455,MATCH(C32,Locations!$A$6:$A$455,0))</f>
        <v>-73.672934724551496</v>
      </c>
    </row>
    <row r="33" spans="1:22" ht="23.1" customHeight="1">
      <c r="A33" s="1" t="s">
        <v>639</v>
      </c>
      <c r="B33" s="1" t="s">
        <v>240</v>
      </c>
      <c r="C33" s="1" t="s">
        <v>232</v>
      </c>
      <c r="D33" s="1" t="s">
        <v>612</v>
      </c>
      <c r="E33" s="13">
        <f t="shared" si="0"/>
        <v>81.1979781370068</v>
      </c>
      <c r="F33" s="11" t="s">
        <v>70</v>
      </c>
      <c r="G33" s="11" t="s">
        <v>69</v>
      </c>
      <c r="H33" s="11" t="s">
        <v>69</v>
      </c>
      <c r="I33" s="11" t="s">
        <v>69</v>
      </c>
      <c r="J33" s="11" t="s">
        <v>69</v>
      </c>
      <c r="K33" s="14"/>
      <c r="L33" s="14"/>
      <c r="M33" s="11"/>
      <c r="N33" s="12"/>
      <c r="O33" s="11"/>
      <c r="P33" s="11"/>
      <c r="Q33" s="1">
        <v>29</v>
      </c>
      <c r="R33" s="1"/>
      <c r="S33" s="3">
        <f>INDEX(Locations!$D$6:$D$455,MATCH(B33,Locations!$A$6:$A$455,0))</f>
        <v>42.729514412680601</v>
      </c>
      <c r="T33" s="3">
        <f>INDEX(Locations!$E$6:$E$455,MATCH(B33,Locations!$A$6:$A$455,0))</f>
        <v>-73.674416538352006</v>
      </c>
      <c r="U33" s="3">
        <f>INDEX(Locations!$D$6:$D$455,MATCH(C33,Locations!$A$6:$A$455,0))</f>
        <v>42.730085720703897</v>
      </c>
      <c r="V33" s="3">
        <f>INDEX(Locations!$E$6:$E$455,MATCH(C33,Locations!$A$6:$A$455,0))</f>
        <v>-73.675035685042104</v>
      </c>
    </row>
    <row r="34" spans="1:22" ht="23.1" customHeight="1">
      <c r="A34" s="1" t="s">
        <v>640</v>
      </c>
      <c r="B34" s="1" t="s">
        <v>240</v>
      </c>
      <c r="C34" s="1" t="s">
        <v>241</v>
      </c>
      <c r="D34" s="1" t="s">
        <v>612</v>
      </c>
      <c r="E34" s="13">
        <f t="shared" si="0"/>
        <v>81.841091877263466</v>
      </c>
      <c r="F34" s="11" t="s">
        <v>70</v>
      </c>
      <c r="G34" s="11" t="s">
        <v>69</v>
      </c>
      <c r="H34" s="11" t="s">
        <v>69</v>
      </c>
      <c r="I34" s="11" t="s">
        <v>69</v>
      </c>
      <c r="J34" s="11" t="s">
        <v>69</v>
      </c>
      <c r="K34" s="14"/>
      <c r="L34" s="14"/>
      <c r="M34" s="11"/>
      <c r="N34" s="12"/>
      <c r="O34" s="11"/>
      <c r="P34" s="11"/>
      <c r="Q34" s="1">
        <v>30</v>
      </c>
      <c r="R34" s="1"/>
      <c r="S34" s="3">
        <f>INDEX(Locations!$D$6:$D$455,MATCH(B34,Locations!$A$6:$A$455,0))</f>
        <v>42.729514412680601</v>
      </c>
      <c r="T34" s="3">
        <f>INDEX(Locations!$E$6:$E$455,MATCH(B34,Locations!$A$6:$A$455,0))</f>
        <v>-73.674416538352006</v>
      </c>
      <c r="U34" s="3">
        <f>INDEX(Locations!$D$6:$D$455,MATCH(C34,Locations!$A$6:$A$455,0))</f>
        <v>42.729362676948</v>
      </c>
      <c r="V34" s="3">
        <f>INDEX(Locations!$E$6:$E$455,MATCH(C34,Locations!$A$6:$A$455,0))</f>
        <v>-73.673436090123104</v>
      </c>
    </row>
    <row r="35" spans="1:22" ht="23.1" customHeight="1">
      <c r="A35" s="1" t="s">
        <v>641</v>
      </c>
      <c r="B35" s="1" t="s">
        <v>239</v>
      </c>
      <c r="C35" s="1" t="s">
        <v>242</v>
      </c>
      <c r="D35" s="1" t="s">
        <v>612</v>
      </c>
      <c r="E35" s="13">
        <f t="shared" si="0"/>
        <v>40.724122128248418</v>
      </c>
      <c r="F35" s="11" t="s">
        <v>70</v>
      </c>
      <c r="G35" s="11" t="s">
        <v>69</v>
      </c>
      <c r="H35" s="11" t="s">
        <v>69</v>
      </c>
      <c r="I35" s="11" t="s">
        <v>69</v>
      </c>
      <c r="J35" s="11" t="s">
        <v>69</v>
      </c>
      <c r="K35" s="14"/>
      <c r="L35" s="14"/>
      <c r="M35" s="11"/>
      <c r="N35" s="12"/>
      <c r="O35" s="11"/>
      <c r="P35" s="11"/>
      <c r="Q35" s="1">
        <v>31</v>
      </c>
      <c r="R35" s="1"/>
      <c r="S35" s="3">
        <f>INDEX(Locations!$D$6:$D$455,MATCH(B35,Locations!$A$6:$A$455,0))</f>
        <v>42.729121279191702</v>
      </c>
      <c r="T35" s="3">
        <f>INDEX(Locations!$E$6:$E$455,MATCH(B35,Locations!$A$6:$A$455,0))</f>
        <v>-73.672520899000304</v>
      </c>
      <c r="U35" s="3">
        <f>INDEX(Locations!$D$6:$D$455,MATCH(C35,Locations!$A$6:$A$455,0))</f>
        <v>42.729230482938597</v>
      </c>
      <c r="V35" s="3">
        <f>INDEX(Locations!$E$6:$E$455,MATCH(C35,Locations!$A$6:$A$455,0))</f>
        <v>-73.672996798384204</v>
      </c>
    </row>
    <row r="36" spans="1:22" ht="23.1" customHeight="1">
      <c r="A36" s="1" t="s">
        <v>642</v>
      </c>
      <c r="B36" s="1" t="s">
        <v>241</v>
      </c>
      <c r="C36" s="1" t="s">
        <v>242</v>
      </c>
      <c r="D36" s="1" t="s">
        <v>612</v>
      </c>
      <c r="E36" s="13">
        <f t="shared" si="0"/>
        <v>38.775601017004604</v>
      </c>
      <c r="F36" s="11" t="s">
        <v>70</v>
      </c>
      <c r="G36" s="11" t="s">
        <v>69</v>
      </c>
      <c r="H36" s="11" t="s">
        <v>69</v>
      </c>
      <c r="I36" s="11" t="s">
        <v>69</v>
      </c>
      <c r="J36" s="11" t="s">
        <v>69</v>
      </c>
      <c r="K36" s="14"/>
      <c r="L36" s="14"/>
      <c r="M36" s="11"/>
      <c r="N36" s="12"/>
      <c r="O36" s="11"/>
      <c r="P36" s="11"/>
      <c r="Q36" s="1">
        <v>32</v>
      </c>
      <c r="R36" s="1"/>
      <c r="S36" s="3">
        <f>INDEX(Locations!$D$6:$D$455,MATCH(B36,Locations!$A$6:$A$455,0))</f>
        <v>42.729362676948</v>
      </c>
      <c r="T36" s="3">
        <f>INDEX(Locations!$E$6:$E$455,MATCH(B36,Locations!$A$6:$A$455,0))</f>
        <v>-73.673436090123104</v>
      </c>
      <c r="U36" s="3">
        <f>INDEX(Locations!$D$6:$D$455,MATCH(C36,Locations!$A$6:$A$455,0))</f>
        <v>42.729230482938597</v>
      </c>
      <c r="V36" s="3">
        <f>INDEX(Locations!$E$6:$E$455,MATCH(C36,Locations!$A$6:$A$455,0))</f>
        <v>-73.672996798384204</v>
      </c>
    </row>
    <row r="37" spans="1:22" ht="23.1" customHeight="1">
      <c r="A37" s="1" t="s">
        <v>643</v>
      </c>
      <c r="B37" s="1" t="s">
        <v>243</v>
      </c>
      <c r="C37" s="1" t="s">
        <v>242</v>
      </c>
      <c r="D37" s="1" t="s">
        <v>612</v>
      </c>
      <c r="E37" s="13">
        <f t="shared" si="0"/>
        <v>49.566364367567225</v>
      </c>
      <c r="F37" s="11" t="s">
        <v>70</v>
      </c>
      <c r="G37" s="11" t="s">
        <v>69</v>
      </c>
      <c r="H37" s="11" t="s">
        <v>69</v>
      </c>
      <c r="I37" s="11" t="s">
        <v>69</v>
      </c>
      <c r="J37" s="11" t="s">
        <v>69</v>
      </c>
      <c r="K37" s="14"/>
      <c r="L37" s="14"/>
      <c r="M37" s="11"/>
      <c r="N37" s="12"/>
      <c r="O37" s="11"/>
      <c r="P37" s="11"/>
      <c r="Q37" s="1">
        <v>33</v>
      </c>
      <c r="R37" s="1"/>
      <c r="S37" s="3">
        <f>INDEX(Locations!$D$6:$D$455,MATCH(B37,Locations!$A$6:$A$455,0))</f>
        <v>42.728793667951003</v>
      </c>
      <c r="T37" s="3">
        <f>INDEX(Locations!$E$6:$E$455,MATCH(B37,Locations!$A$6:$A$455,0))</f>
        <v>-73.673117762776101</v>
      </c>
      <c r="U37" s="3">
        <f>INDEX(Locations!$D$6:$D$455,MATCH(C37,Locations!$A$6:$A$455,0))</f>
        <v>42.729230482938597</v>
      </c>
      <c r="V37" s="3">
        <f>INDEX(Locations!$E$6:$E$455,MATCH(C37,Locations!$A$6:$A$455,0))</f>
        <v>-73.672996798384204</v>
      </c>
    </row>
    <row r="38" spans="1:22" ht="23.1" customHeight="1">
      <c r="A38" s="1" t="s">
        <v>644</v>
      </c>
      <c r="B38" s="1" t="s">
        <v>243</v>
      </c>
      <c r="C38" s="1" t="s">
        <v>245</v>
      </c>
      <c r="D38" s="1" t="s">
        <v>612</v>
      </c>
      <c r="E38" s="13">
        <f t="shared" si="0"/>
        <v>41.698298864980131</v>
      </c>
      <c r="F38" s="11" t="s">
        <v>70</v>
      </c>
      <c r="G38" s="11" t="s">
        <v>69</v>
      </c>
      <c r="H38" s="11" t="s">
        <v>69</v>
      </c>
      <c r="I38" s="11" t="s">
        <v>69</v>
      </c>
      <c r="J38" s="11" t="s">
        <v>69</v>
      </c>
      <c r="K38" s="14"/>
      <c r="L38" s="14"/>
      <c r="M38" s="11"/>
      <c r="N38" s="12"/>
      <c r="O38" s="11"/>
      <c r="P38" s="11"/>
      <c r="Q38" s="1">
        <v>34</v>
      </c>
      <c r="R38" s="1"/>
      <c r="S38" s="3">
        <f>INDEX(Locations!$D$6:$D$455,MATCH(B38,Locations!$A$6:$A$455,0))</f>
        <v>42.728793667951003</v>
      </c>
      <c r="T38" s="3">
        <f>INDEX(Locations!$E$6:$E$455,MATCH(B38,Locations!$A$6:$A$455,0))</f>
        <v>-73.673117762776101</v>
      </c>
      <c r="U38" s="3">
        <f>INDEX(Locations!$D$6:$D$455,MATCH(C38,Locations!$A$6:$A$455,0))</f>
        <v>42.728448814013397</v>
      </c>
      <c r="V38" s="3">
        <f>INDEX(Locations!$E$6:$E$455,MATCH(C38,Locations!$A$6:$A$455,0))</f>
        <v>-73.673318309004699</v>
      </c>
    </row>
    <row r="39" spans="1:22" ht="23.1" customHeight="1">
      <c r="A39" s="1" t="s">
        <v>645</v>
      </c>
      <c r="B39" s="1" t="s">
        <v>101</v>
      </c>
      <c r="C39" s="1" t="s">
        <v>244</v>
      </c>
      <c r="D39" s="1" t="s">
        <v>612</v>
      </c>
      <c r="E39" s="13">
        <f t="shared" si="0"/>
        <v>44.153926594531299</v>
      </c>
      <c r="F39" s="11" t="s">
        <v>70</v>
      </c>
      <c r="G39" s="11" t="s">
        <v>69</v>
      </c>
      <c r="H39" s="11" t="s">
        <v>69</v>
      </c>
      <c r="I39" s="11" t="s">
        <v>69</v>
      </c>
      <c r="J39" s="11" t="s">
        <v>69</v>
      </c>
      <c r="K39" s="14"/>
      <c r="L39" s="14"/>
      <c r="M39" s="11"/>
      <c r="N39" s="12"/>
      <c r="O39" s="11"/>
      <c r="P39" s="11"/>
      <c r="Q39" s="1">
        <v>35</v>
      </c>
      <c r="R39" s="1"/>
      <c r="S39" s="3">
        <f>INDEX(Locations!$D$6:$D$455,MATCH(B39,Locations!$A$6:$A$455,0))</f>
        <v>42.7288576188582</v>
      </c>
      <c r="T39" s="3">
        <f>INDEX(Locations!$E$6:$E$455,MATCH(B39,Locations!$A$6:$A$455,0))</f>
        <v>-73.674629681155096</v>
      </c>
      <c r="U39" s="3">
        <f>INDEX(Locations!$D$6:$D$455,MATCH(C39,Locations!$A$6:$A$455,0))</f>
        <v>42.728632736113497</v>
      </c>
      <c r="V39" s="3">
        <f>INDEX(Locations!$E$6:$E$455,MATCH(C39,Locations!$A$6:$A$455,0))</f>
        <v>-73.674184159388702</v>
      </c>
    </row>
    <row r="40" spans="1:22" ht="23.1" customHeight="1">
      <c r="A40" s="1" t="s">
        <v>646</v>
      </c>
      <c r="B40" s="1" t="s">
        <v>93</v>
      </c>
      <c r="C40" s="1" t="s">
        <v>244</v>
      </c>
      <c r="D40" s="1" t="s">
        <v>612</v>
      </c>
      <c r="E40" s="13">
        <f t="shared" si="0"/>
        <v>34.065215211415676</v>
      </c>
      <c r="F40" s="11" t="s">
        <v>70</v>
      </c>
      <c r="G40" s="11" t="s">
        <v>69</v>
      </c>
      <c r="H40" s="11" t="s">
        <v>69</v>
      </c>
      <c r="I40" s="11" t="s">
        <v>69</v>
      </c>
      <c r="J40" s="11" t="s">
        <v>69</v>
      </c>
      <c r="K40" s="14"/>
      <c r="L40" s="14"/>
      <c r="M40" s="11"/>
      <c r="N40" s="12"/>
      <c r="O40" s="11"/>
      <c r="P40" s="11"/>
      <c r="Q40" s="1">
        <v>36</v>
      </c>
      <c r="R40" s="1"/>
      <c r="S40" s="3">
        <f>INDEX(Locations!$D$6:$D$455,MATCH(B40,Locations!$A$6:$A$455,0))</f>
        <v>42.728729905455403</v>
      </c>
      <c r="T40" s="3">
        <f>INDEX(Locations!$E$6:$E$455,MATCH(B40,Locations!$A$6:$A$455,0))</f>
        <v>-73.673788641631404</v>
      </c>
      <c r="U40" s="3">
        <f>INDEX(Locations!$D$6:$D$455,MATCH(C40,Locations!$A$6:$A$455,0))</f>
        <v>42.728632736113497</v>
      </c>
      <c r="V40" s="3">
        <f>INDEX(Locations!$E$6:$E$455,MATCH(C40,Locations!$A$6:$A$455,0))</f>
        <v>-73.674184159388702</v>
      </c>
    </row>
    <row r="41" spans="1:22" ht="23.1" customHeight="1">
      <c r="A41" s="1" t="s">
        <v>647</v>
      </c>
      <c r="B41" s="1" t="s">
        <v>245</v>
      </c>
      <c r="C41" s="1" t="s">
        <v>244</v>
      </c>
      <c r="D41" s="1" t="s">
        <v>612</v>
      </c>
      <c r="E41" s="13">
        <f t="shared" si="0"/>
        <v>73.621283911287293</v>
      </c>
      <c r="F41" s="11" t="s">
        <v>70</v>
      </c>
      <c r="G41" s="11" t="s">
        <v>69</v>
      </c>
      <c r="H41" s="11" t="s">
        <v>69</v>
      </c>
      <c r="I41" s="11" t="s">
        <v>69</v>
      </c>
      <c r="J41" s="11" t="s">
        <v>69</v>
      </c>
      <c r="K41" s="14"/>
      <c r="L41" s="14"/>
      <c r="M41" s="11"/>
      <c r="N41" s="12"/>
      <c r="O41" s="11"/>
      <c r="P41" s="11"/>
      <c r="Q41" s="1">
        <v>37</v>
      </c>
      <c r="R41" s="1"/>
      <c r="S41" s="3">
        <f>INDEX(Locations!$D$6:$D$455,MATCH(B41,Locations!$A$6:$A$455,0))</f>
        <v>42.728448814013397</v>
      </c>
      <c r="T41" s="3">
        <f>INDEX(Locations!$E$6:$E$455,MATCH(B41,Locations!$A$6:$A$455,0))</f>
        <v>-73.673318309004699</v>
      </c>
      <c r="U41" s="3">
        <f>INDEX(Locations!$D$6:$D$455,MATCH(C41,Locations!$A$6:$A$455,0))</f>
        <v>42.728632736113497</v>
      </c>
      <c r="V41" s="3">
        <f>INDEX(Locations!$E$6:$E$455,MATCH(C41,Locations!$A$6:$A$455,0))</f>
        <v>-73.674184159388702</v>
      </c>
    </row>
    <row r="42" spans="1:22" ht="23.1" customHeight="1">
      <c r="A42" s="1" t="s">
        <v>648</v>
      </c>
      <c r="B42" s="1" t="s">
        <v>246</v>
      </c>
      <c r="C42" s="1" t="s">
        <v>242</v>
      </c>
      <c r="D42" s="1" t="s">
        <v>612</v>
      </c>
      <c r="E42" s="13">
        <f t="shared" si="0"/>
        <v>45.988016564267973</v>
      </c>
      <c r="F42" s="11" t="s">
        <v>70</v>
      </c>
      <c r="G42" s="11" t="s">
        <v>69</v>
      </c>
      <c r="H42" s="11" t="s">
        <v>69</v>
      </c>
      <c r="I42" s="11" t="s">
        <v>69</v>
      </c>
      <c r="J42" s="11" t="s">
        <v>69</v>
      </c>
      <c r="K42" s="14"/>
      <c r="L42" s="14"/>
      <c r="M42" s="11"/>
      <c r="N42" s="12"/>
      <c r="O42" s="11"/>
      <c r="P42" s="11"/>
      <c r="Q42" s="1">
        <v>38</v>
      </c>
      <c r="R42" s="1"/>
      <c r="S42" s="3">
        <f>INDEX(Locations!$D$6:$D$455,MATCH(B42,Locations!$A$6:$A$455,0))</f>
        <v>42.729004028852998</v>
      </c>
      <c r="T42" s="3">
        <f>INDEX(Locations!$E$6:$E$455,MATCH(B42,Locations!$A$6:$A$455,0))</f>
        <v>-73.673467922857796</v>
      </c>
      <c r="U42" s="3">
        <f>INDEX(Locations!$D$6:$D$455,MATCH(C42,Locations!$A$6:$A$455,0))</f>
        <v>42.729230482938597</v>
      </c>
      <c r="V42" s="3">
        <f>INDEX(Locations!$E$6:$E$455,MATCH(C42,Locations!$A$6:$A$455,0))</f>
        <v>-73.672996798384204</v>
      </c>
    </row>
    <row r="43" spans="1:22" ht="23.1" customHeight="1">
      <c r="A43" s="1" t="s">
        <v>649</v>
      </c>
      <c r="B43" s="1" t="s">
        <v>240</v>
      </c>
      <c r="C43" s="1" t="s">
        <v>250</v>
      </c>
      <c r="D43" s="1" t="s">
        <v>612</v>
      </c>
      <c r="E43" s="13">
        <f t="shared" si="0"/>
        <v>32.753900789031512</v>
      </c>
      <c r="F43" s="11" t="s">
        <v>70</v>
      </c>
      <c r="G43" s="11" t="s">
        <v>69</v>
      </c>
      <c r="H43" s="11" t="s">
        <v>69</v>
      </c>
      <c r="I43" s="11" t="s">
        <v>69</v>
      </c>
      <c r="J43" s="11" t="s">
        <v>69</v>
      </c>
      <c r="K43" s="14"/>
      <c r="L43" s="14"/>
      <c r="M43" s="11"/>
      <c r="N43" s="12"/>
      <c r="O43" s="11"/>
      <c r="P43" s="11"/>
      <c r="Q43" s="1">
        <v>39</v>
      </c>
      <c r="R43" s="1"/>
      <c r="S43" s="3">
        <f>INDEX(Locations!$D$6:$D$455,MATCH(B43,Locations!$A$6:$A$455,0))</f>
        <v>42.729514412680601</v>
      </c>
      <c r="T43" s="3">
        <f>INDEX(Locations!$E$6:$E$455,MATCH(B43,Locations!$A$6:$A$455,0))</f>
        <v>-73.674416538352006</v>
      </c>
      <c r="U43" s="3">
        <f>INDEX(Locations!$D$6:$D$455,MATCH(C43,Locations!$A$6:$A$455,0))</f>
        <v>42.729264968332402</v>
      </c>
      <c r="V43" s="3">
        <f>INDEX(Locations!$E$6:$E$455,MATCH(C43,Locations!$A$6:$A$455,0))</f>
        <v>-73.6746298176746</v>
      </c>
    </row>
    <row r="44" spans="1:22" ht="23.1" customHeight="1">
      <c r="A44" s="1" t="s">
        <v>650</v>
      </c>
      <c r="B44" s="1" t="s">
        <v>249</v>
      </c>
      <c r="C44" s="1" t="s">
        <v>250</v>
      </c>
      <c r="D44" s="1" t="s">
        <v>612</v>
      </c>
      <c r="E44" s="13">
        <f t="shared" si="0"/>
        <v>40.292224425975029</v>
      </c>
      <c r="F44" s="11" t="s">
        <v>70</v>
      </c>
      <c r="G44" s="11" t="s">
        <v>69</v>
      </c>
      <c r="H44" s="11" t="s">
        <v>69</v>
      </c>
      <c r="I44" s="11" t="s">
        <v>69</v>
      </c>
      <c r="J44" s="11" t="s">
        <v>69</v>
      </c>
      <c r="K44" s="14"/>
      <c r="L44" s="14"/>
      <c r="M44" s="11"/>
      <c r="N44" s="12"/>
      <c r="O44" s="11"/>
      <c r="P44" s="11"/>
      <c r="Q44" s="1">
        <v>40</v>
      </c>
      <c r="R44" s="1"/>
      <c r="S44" s="3">
        <f>INDEX(Locations!$D$6:$D$455,MATCH(B44,Locations!$A$6:$A$455,0))</f>
        <v>42.7289339085523</v>
      </c>
      <c r="T44" s="3">
        <f>INDEX(Locations!$E$6:$E$455,MATCH(B44,Locations!$A$6:$A$455,0))</f>
        <v>-73.674429271445902</v>
      </c>
      <c r="U44" s="3">
        <f>INDEX(Locations!$D$6:$D$455,MATCH(C44,Locations!$A$6:$A$455,0))</f>
        <v>42.729264968332402</v>
      </c>
      <c r="V44" s="3">
        <f>INDEX(Locations!$E$6:$E$455,MATCH(C44,Locations!$A$6:$A$455,0))</f>
        <v>-73.6746298176746</v>
      </c>
    </row>
    <row r="45" spans="1:22" ht="23.1" customHeight="1">
      <c r="A45" s="1" t="s">
        <v>651</v>
      </c>
      <c r="B45" s="1" t="s">
        <v>81</v>
      </c>
      <c r="C45" s="1" t="s">
        <v>248</v>
      </c>
      <c r="D45" s="1" t="s">
        <v>612</v>
      </c>
      <c r="E45" s="13">
        <f t="shared" si="0"/>
        <v>27.47047429348811</v>
      </c>
      <c r="F45" s="11" t="s">
        <v>70</v>
      </c>
      <c r="G45" s="11" t="s">
        <v>69</v>
      </c>
      <c r="H45" s="11" t="s">
        <v>69</v>
      </c>
      <c r="I45" s="11" t="s">
        <v>69</v>
      </c>
      <c r="J45" s="11" t="s">
        <v>69</v>
      </c>
      <c r="K45" s="14"/>
      <c r="L45" s="14"/>
      <c r="M45" s="11"/>
      <c r="N45" s="12"/>
      <c r="O45" s="11"/>
      <c r="P45" s="11"/>
      <c r="Q45" s="1">
        <v>41</v>
      </c>
      <c r="R45" s="1"/>
      <c r="S45" s="3">
        <f>INDEX(Locations!$D$6:$D$455,MATCH(B45,Locations!$A$6:$A$455,0))</f>
        <v>42.729086694862303</v>
      </c>
      <c r="T45" s="3">
        <f>INDEX(Locations!$E$6:$E$455,MATCH(B45,Locations!$A$6:$A$455,0))</f>
        <v>-73.674089842594896</v>
      </c>
      <c r="U45" s="3">
        <f>INDEX(Locations!$D$6:$D$455,MATCH(C45,Locations!$A$6:$A$455,0))</f>
        <v>42.728839648475997</v>
      </c>
      <c r="V45" s="3">
        <f>INDEX(Locations!$E$6:$E$455,MATCH(C45,Locations!$A$6:$A$455,0))</f>
        <v>-73.674088661184598</v>
      </c>
    </row>
    <row r="46" spans="1:22" ht="23.1" customHeight="1">
      <c r="A46" s="1" t="s">
        <v>652</v>
      </c>
      <c r="B46" s="1" t="s">
        <v>244</v>
      </c>
      <c r="C46" s="1" t="s">
        <v>248</v>
      </c>
      <c r="D46" s="1" t="s">
        <v>612</v>
      </c>
      <c r="E46" s="13">
        <f t="shared" si="0"/>
        <v>24.293947161329147</v>
      </c>
      <c r="F46" s="11" t="s">
        <v>70</v>
      </c>
      <c r="G46" s="11" t="s">
        <v>69</v>
      </c>
      <c r="H46" s="11" t="s">
        <v>69</v>
      </c>
      <c r="I46" s="11" t="s">
        <v>69</v>
      </c>
      <c r="J46" s="11" t="s">
        <v>69</v>
      </c>
      <c r="K46" s="14"/>
      <c r="L46" s="14"/>
      <c r="M46" s="11"/>
      <c r="N46" s="12"/>
      <c r="O46" s="11"/>
      <c r="P46" s="11"/>
      <c r="Q46" s="1">
        <v>42</v>
      </c>
      <c r="R46" s="1"/>
      <c r="S46" s="3">
        <f>INDEX(Locations!$D$6:$D$455,MATCH(B46,Locations!$A$6:$A$455,0))</f>
        <v>42.728632736113497</v>
      </c>
      <c r="T46" s="3">
        <f>INDEX(Locations!$E$6:$E$455,MATCH(B46,Locations!$A$6:$A$455,0))</f>
        <v>-73.674184159388702</v>
      </c>
      <c r="U46" s="3">
        <f>INDEX(Locations!$D$6:$D$455,MATCH(C46,Locations!$A$6:$A$455,0))</f>
        <v>42.728839648475997</v>
      </c>
      <c r="V46" s="3">
        <f>INDEX(Locations!$E$6:$E$455,MATCH(C46,Locations!$A$6:$A$455,0))</f>
        <v>-73.674088661184598</v>
      </c>
    </row>
    <row r="47" spans="1:22" ht="23.1" customHeight="1">
      <c r="A47" s="1" t="s">
        <v>653</v>
      </c>
      <c r="B47" s="1" t="s">
        <v>249</v>
      </c>
      <c r="C47" s="1" t="s">
        <v>248</v>
      </c>
      <c r="D47" s="1" t="s">
        <v>612</v>
      </c>
      <c r="E47" s="13">
        <f t="shared" si="0"/>
        <v>29.730139282537728</v>
      </c>
      <c r="F47" s="11" t="s">
        <v>70</v>
      </c>
      <c r="G47" s="11" t="s">
        <v>69</v>
      </c>
      <c r="H47" s="11" t="s">
        <v>69</v>
      </c>
      <c r="I47" s="11" t="s">
        <v>69</v>
      </c>
      <c r="J47" s="11" t="s">
        <v>69</v>
      </c>
      <c r="K47" s="14"/>
      <c r="L47" s="14"/>
      <c r="M47" s="11"/>
      <c r="N47" s="12"/>
      <c r="O47" s="11"/>
      <c r="P47" s="11"/>
      <c r="Q47" s="1">
        <v>43</v>
      </c>
      <c r="R47" s="1"/>
      <c r="S47" s="3">
        <f>INDEX(Locations!$D$6:$D$455,MATCH(B47,Locations!$A$6:$A$455,0))</f>
        <v>42.7289339085523</v>
      </c>
      <c r="T47" s="3">
        <f>INDEX(Locations!$E$6:$E$455,MATCH(B47,Locations!$A$6:$A$455,0))</f>
        <v>-73.674429271445902</v>
      </c>
      <c r="U47" s="3">
        <f>INDEX(Locations!$D$6:$D$455,MATCH(C47,Locations!$A$6:$A$455,0))</f>
        <v>42.728839648475997</v>
      </c>
      <c r="V47" s="3">
        <f>INDEX(Locations!$E$6:$E$455,MATCH(C47,Locations!$A$6:$A$455,0))</f>
        <v>-73.674088661184598</v>
      </c>
    </row>
    <row r="48" spans="1:22" ht="23.1" customHeight="1">
      <c r="A48" s="1" t="s">
        <v>654</v>
      </c>
      <c r="B48" s="1" t="s">
        <v>247</v>
      </c>
      <c r="C48" s="1" t="s">
        <v>248</v>
      </c>
      <c r="D48" s="1" t="s">
        <v>612</v>
      </c>
      <c r="E48" s="13">
        <f t="shared" si="0"/>
        <v>24.969366961723374</v>
      </c>
      <c r="F48" s="11" t="s">
        <v>70</v>
      </c>
      <c r="G48" s="11" t="s">
        <v>69</v>
      </c>
      <c r="H48" s="11" t="s">
        <v>69</v>
      </c>
      <c r="I48" s="11" t="s">
        <v>69</v>
      </c>
      <c r="J48" s="11" t="s">
        <v>69</v>
      </c>
      <c r="K48" s="14"/>
      <c r="L48" s="14"/>
      <c r="M48" s="11"/>
      <c r="N48" s="12"/>
      <c r="O48" s="11"/>
      <c r="P48" s="11"/>
      <c r="Q48" s="1">
        <v>44</v>
      </c>
      <c r="R48" s="1"/>
      <c r="S48" s="3">
        <f>INDEX(Locations!$D$6:$D$455,MATCH(B48,Locations!$A$6:$A$455,0))</f>
        <v>42.728833900910402</v>
      </c>
      <c r="T48" s="3">
        <f>INDEX(Locations!$E$6:$E$455,MATCH(B48,Locations!$A$6:$A$455,0))</f>
        <v>-73.673783066931406</v>
      </c>
      <c r="U48" s="3">
        <f>INDEX(Locations!$D$6:$D$455,MATCH(C48,Locations!$A$6:$A$455,0))</f>
        <v>42.728839648475997</v>
      </c>
      <c r="V48" s="3">
        <f>INDEX(Locations!$E$6:$E$455,MATCH(C48,Locations!$A$6:$A$455,0))</f>
        <v>-73.674088661184598</v>
      </c>
    </row>
    <row r="49" spans="1:22" ht="23.1" customHeight="1">
      <c r="A49" s="1" t="s">
        <v>655</v>
      </c>
      <c r="B49" s="1" t="s">
        <v>246</v>
      </c>
      <c r="C49" s="1" t="s">
        <v>247</v>
      </c>
      <c r="D49" s="1" t="s">
        <v>612</v>
      </c>
      <c r="E49" s="13">
        <f t="shared" si="0"/>
        <v>31.94488231484857</v>
      </c>
      <c r="F49" s="11" t="s">
        <v>70</v>
      </c>
      <c r="G49" s="11" t="s">
        <v>69</v>
      </c>
      <c r="H49" s="11" t="s">
        <v>69</v>
      </c>
      <c r="I49" s="11" t="s">
        <v>69</v>
      </c>
      <c r="J49" s="11" t="s">
        <v>69</v>
      </c>
      <c r="K49" s="14"/>
      <c r="L49" s="14"/>
      <c r="M49" s="11"/>
      <c r="N49" s="12"/>
      <c r="O49" s="11"/>
      <c r="P49" s="11"/>
      <c r="Q49" s="1">
        <v>45</v>
      </c>
      <c r="R49" s="1"/>
      <c r="S49" s="3">
        <f>INDEX(Locations!$D$6:$D$455,MATCH(B49,Locations!$A$6:$A$455,0))</f>
        <v>42.729004028852998</v>
      </c>
      <c r="T49" s="3">
        <f>INDEX(Locations!$E$6:$E$455,MATCH(B49,Locations!$A$6:$A$455,0))</f>
        <v>-73.673467922857796</v>
      </c>
      <c r="U49" s="3">
        <f>INDEX(Locations!$D$6:$D$455,MATCH(C49,Locations!$A$6:$A$455,0))</f>
        <v>42.728833900910402</v>
      </c>
      <c r="V49" s="3">
        <f>INDEX(Locations!$E$6:$E$455,MATCH(C49,Locations!$A$6:$A$455,0))</f>
        <v>-73.673783066931406</v>
      </c>
    </row>
    <row r="50" spans="1:22" ht="23.1" customHeight="1">
      <c r="A50" s="1" t="s">
        <v>656</v>
      </c>
      <c r="B50" s="1" t="s">
        <v>244</v>
      </c>
      <c r="C50" s="1" t="s">
        <v>251</v>
      </c>
      <c r="D50" s="1" t="s">
        <v>612</v>
      </c>
      <c r="E50" s="13">
        <f t="shared" si="0"/>
        <v>32.041431757443704</v>
      </c>
      <c r="F50" s="11" t="s">
        <v>70</v>
      </c>
      <c r="G50" s="11" t="s">
        <v>69</v>
      </c>
      <c r="H50" s="11" t="s">
        <v>69</v>
      </c>
      <c r="I50" s="11" t="s">
        <v>69</v>
      </c>
      <c r="J50" s="11" t="s">
        <v>69</v>
      </c>
      <c r="K50" s="14"/>
      <c r="L50" s="14"/>
      <c r="M50" s="11"/>
      <c r="N50" s="12"/>
      <c r="O50" s="11"/>
      <c r="P50" s="11"/>
      <c r="Q50" s="1">
        <v>46</v>
      </c>
      <c r="R50" s="1"/>
      <c r="S50" s="3">
        <f>INDEX(Locations!$D$6:$D$455,MATCH(B50,Locations!$A$6:$A$455,0))</f>
        <v>42.728632736113497</v>
      </c>
      <c r="T50" s="3">
        <f>INDEX(Locations!$E$6:$E$455,MATCH(B50,Locations!$A$6:$A$455,0))</f>
        <v>-73.674184159388702</v>
      </c>
      <c r="U50" s="3">
        <f>INDEX(Locations!$D$6:$D$455,MATCH(C50,Locations!$A$6:$A$455,0))</f>
        <v>42.7285177848009</v>
      </c>
      <c r="V50" s="3">
        <f>INDEX(Locations!$E$6:$E$455,MATCH(C50,Locations!$A$6:$A$455,0))</f>
        <v>-73.6745438692909</v>
      </c>
    </row>
    <row r="51" spans="1:22" ht="23.1" customHeight="1">
      <c r="A51" s="1" t="s">
        <v>657</v>
      </c>
      <c r="B51" s="1" t="s">
        <v>133</v>
      </c>
      <c r="C51" s="1" t="s">
        <v>252</v>
      </c>
      <c r="D51" s="1" t="s">
        <v>612</v>
      </c>
      <c r="E51" s="13">
        <f t="shared" si="0"/>
        <v>44.197501300023163</v>
      </c>
      <c r="F51" s="11" t="s">
        <v>70</v>
      </c>
      <c r="G51" s="11" t="s">
        <v>69</v>
      </c>
      <c r="H51" s="11" t="s">
        <v>69</v>
      </c>
      <c r="I51" s="11" t="s">
        <v>69</v>
      </c>
      <c r="J51" s="11" t="s">
        <v>69</v>
      </c>
      <c r="K51" s="14"/>
      <c r="L51" s="14"/>
      <c r="M51" s="11"/>
      <c r="N51" s="12"/>
      <c r="O51" s="11"/>
      <c r="P51" s="11"/>
      <c r="Q51" s="1">
        <v>47</v>
      </c>
      <c r="R51" s="1"/>
      <c r="S51" s="3">
        <f>INDEX(Locations!$D$6:$D$455,MATCH(B51,Locations!$A$6:$A$455,0))</f>
        <v>42.728555203011403</v>
      </c>
      <c r="T51" s="3">
        <f>INDEX(Locations!$E$6:$E$455,MATCH(B51,Locations!$A$6:$A$455,0))</f>
        <v>-73.675146178372898</v>
      </c>
      <c r="U51" s="3">
        <f>INDEX(Locations!$D$6:$D$455,MATCH(C51,Locations!$A$6:$A$455,0))</f>
        <v>42.728314320977802</v>
      </c>
      <c r="V51" s="3">
        <f>INDEX(Locations!$E$6:$E$455,MATCH(C51,Locations!$A$6:$A$455,0))</f>
        <v>-73.674715766058299</v>
      </c>
    </row>
    <row r="52" spans="1:22" ht="23.1" customHeight="1">
      <c r="A52" s="1" t="s">
        <v>658</v>
      </c>
      <c r="B52" s="1" t="s">
        <v>251</v>
      </c>
      <c r="C52" s="1" t="s">
        <v>252</v>
      </c>
      <c r="D52" s="1" t="s">
        <v>612</v>
      </c>
      <c r="E52" s="13">
        <f t="shared" si="0"/>
        <v>26.6269590661168</v>
      </c>
      <c r="F52" s="11" t="s">
        <v>70</v>
      </c>
      <c r="G52" s="11" t="s">
        <v>69</v>
      </c>
      <c r="H52" s="11" t="s">
        <v>69</v>
      </c>
      <c r="I52" s="11" t="s">
        <v>69</v>
      </c>
      <c r="J52" s="11" t="s">
        <v>69</v>
      </c>
      <c r="K52" s="14"/>
      <c r="L52" s="14"/>
      <c r="M52" s="11"/>
      <c r="N52" s="12"/>
      <c r="O52" s="11"/>
      <c r="P52" s="11"/>
      <c r="Q52" s="1">
        <v>48</v>
      </c>
      <c r="R52" s="1"/>
      <c r="S52" s="3">
        <f>INDEX(Locations!$D$6:$D$455,MATCH(B52,Locations!$A$6:$A$455,0))</f>
        <v>42.7285177848009</v>
      </c>
      <c r="T52" s="3">
        <f>INDEX(Locations!$E$6:$E$455,MATCH(B52,Locations!$A$6:$A$455,0))</f>
        <v>-73.6745438692909</v>
      </c>
      <c r="U52" s="3">
        <f>INDEX(Locations!$D$6:$D$455,MATCH(C52,Locations!$A$6:$A$455,0))</f>
        <v>42.728314320977802</v>
      </c>
      <c r="V52" s="3">
        <f>INDEX(Locations!$E$6:$E$455,MATCH(C52,Locations!$A$6:$A$455,0))</f>
        <v>-73.674715766058299</v>
      </c>
    </row>
    <row r="53" spans="1:22" ht="23.1" customHeight="1">
      <c r="A53" s="1" t="s">
        <v>659</v>
      </c>
      <c r="B53" s="1" t="s">
        <v>251</v>
      </c>
      <c r="C53" s="1" t="s">
        <v>111</v>
      </c>
      <c r="D53" s="1" t="s">
        <v>612</v>
      </c>
      <c r="E53" s="13">
        <f t="shared" si="0"/>
        <v>31.006063485796744</v>
      </c>
      <c r="F53" s="11" t="s">
        <v>70</v>
      </c>
      <c r="G53" s="11" t="s">
        <v>69</v>
      </c>
      <c r="H53" s="11" t="s">
        <v>69</v>
      </c>
      <c r="I53" s="11" t="s">
        <v>69</v>
      </c>
      <c r="J53" s="11" t="s">
        <v>69</v>
      </c>
      <c r="K53" s="14"/>
      <c r="L53" s="14"/>
      <c r="M53" s="11"/>
      <c r="N53" s="12"/>
      <c r="O53" s="11"/>
      <c r="P53" s="11"/>
      <c r="Q53" s="1">
        <v>49</v>
      </c>
      <c r="R53" s="1"/>
      <c r="S53" s="3">
        <f>INDEX(Locations!$D$6:$D$455,MATCH(B53,Locations!$A$6:$A$455,0))</f>
        <v>42.7285177848009</v>
      </c>
      <c r="T53" s="3">
        <f>INDEX(Locations!$E$6:$E$455,MATCH(B53,Locations!$A$6:$A$455,0))</f>
        <v>-73.6745438692909</v>
      </c>
      <c r="U53" s="3">
        <f>INDEX(Locations!$D$6:$D$455,MATCH(C53,Locations!$A$6:$A$455,0))</f>
        <v>42.728296950013203</v>
      </c>
      <c r="V53" s="3">
        <f>INDEX(Locations!$E$6:$E$455,MATCH(C53,Locations!$A$6:$A$455,0))</f>
        <v>-73.674312099507205</v>
      </c>
    </row>
    <row r="54" spans="1:22" ht="23.1" customHeight="1">
      <c r="A54" s="1" t="s">
        <v>660</v>
      </c>
      <c r="B54" s="1" t="s">
        <v>244</v>
      </c>
      <c r="C54" s="1" t="s">
        <v>254</v>
      </c>
      <c r="D54" s="1" t="s">
        <v>612</v>
      </c>
      <c r="E54" s="13">
        <f t="shared" si="0"/>
        <v>31.078433894370235</v>
      </c>
      <c r="F54" s="11" t="s">
        <v>70</v>
      </c>
      <c r="G54" s="11" t="s">
        <v>69</v>
      </c>
      <c r="H54" s="11" t="s">
        <v>69</v>
      </c>
      <c r="I54" s="11" t="s">
        <v>69</v>
      </c>
      <c r="J54" s="11" t="s">
        <v>69</v>
      </c>
      <c r="K54" s="14"/>
      <c r="L54" s="14"/>
      <c r="M54" s="11"/>
      <c r="N54" s="12"/>
      <c r="O54" s="11"/>
      <c r="P54" s="11"/>
      <c r="Q54" s="1">
        <v>50</v>
      </c>
      <c r="R54" s="1"/>
      <c r="S54" s="3">
        <f>INDEX(Locations!$D$6:$D$455,MATCH(B54,Locations!$A$6:$A$455,0))</f>
        <v>42.728632736113497</v>
      </c>
      <c r="T54" s="3">
        <f>INDEX(Locations!$E$6:$E$455,MATCH(B54,Locations!$A$6:$A$455,0))</f>
        <v>-73.674184159388702</v>
      </c>
      <c r="U54" s="3">
        <f>INDEX(Locations!$D$6:$D$455,MATCH(C54,Locations!$A$6:$A$455,0))</f>
        <v>42.728448814013397</v>
      </c>
      <c r="V54" s="3">
        <f>INDEX(Locations!$E$6:$E$455,MATCH(C54,Locations!$A$6:$A$455,0))</f>
        <v>-73.673897664776305</v>
      </c>
    </row>
    <row r="55" spans="1:22" ht="23.1" customHeight="1">
      <c r="A55" s="1" t="s">
        <v>661</v>
      </c>
      <c r="B55" s="1" t="s">
        <v>253</v>
      </c>
      <c r="C55" s="1" t="s">
        <v>254</v>
      </c>
      <c r="D55" s="1" t="s">
        <v>612</v>
      </c>
      <c r="E55" s="13">
        <f t="shared" si="0"/>
        <v>40.925902444184814</v>
      </c>
      <c r="F55" s="11" t="s">
        <v>70</v>
      </c>
      <c r="G55" s="11" t="s">
        <v>69</v>
      </c>
      <c r="H55" s="11" t="s">
        <v>69</v>
      </c>
      <c r="I55" s="11" t="s">
        <v>69</v>
      </c>
      <c r="J55" s="11" t="s">
        <v>69</v>
      </c>
      <c r="K55" s="14"/>
      <c r="L55" s="14"/>
      <c r="M55" s="11"/>
      <c r="N55" s="12"/>
      <c r="O55" s="11"/>
      <c r="P55" s="11"/>
      <c r="Q55" s="1">
        <v>51</v>
      </c>
      <c r="R55" s="1"/>
      <c r="S55" s="3">
        <f>INDEX(Locations!$D$6:$D$455,MATCH(B55,Locations!$A$6:$A$455,0))</f>
        <v>42.728103960075799</v>
      </c>
      <c r="T55" s="3">
        <f>INDEX(Locations!$E$6:$E$455,MATCH(B55,Locations!$A$6:$A$455,0))</f>
        <v>-73.673722584735501</v>
      </c>
      <c r="U55" s="3">
        <f>INDEX(Locations!$D$6:$D$455,MATCH(C55,Locations!$A$6:$A$455,0))</f>
        <v>42.728448814013397</v>
      </c>
      <c r="V55" s="3">
        <f>INDEX(Locations!$E$6:$E$455,MATCH(C55,Locations!$A$6:$A$455,0))</f>
        <v>-73.673897664776305</v>
      </c>
    </row>
    <row r="56" spans="1:22" ht="23.1" customHeight="1">
      <c r="A56" s="1" t="s">
        <v>662</v>
      </c>
      <c r="B56" s="1" t="s">
        <v>113</v>
      </c>
      <c r="C56" s="1" t="s">
        <v>253</v>
      </c>
      <c r="D56" s="1" t="s">
        <v>612</v>
      </c>
      <c r="E56" s="13">
        <f t="shared" si="0"/>
        <v>28.668706465935308</v>
      </c>
      <c r="F56" s="11" t="s">
        <v>70</v>
      </c>
      <c r="G56" s="11" t="s">
        <v>69</v>
      </c>
      <c r="H56" s="11" t="s">
        <v>69</v>
      </c>
      <c r="I56" s="11" t="s">
        <v>69</v>
      </c>
      <c r="J56" s="11" t="s">
        <v>69</v>
      </c>
      <c r="K56" s="14"/>
      <c r="L56" s="14"/>
      <c r="M56" s="11"/>
      <c r="N56" s="12"/>
      <c r="O56" s="11"/>
      <c r="P56" s="11"/>
      <c r="Q56" s="1">
        <v>52</v>
      </c>
      <c r="R56" s="1"/>
      <c r="S56" s="3">
        <f>INDEX(Locations!$D$6:$D$455,MATCH(B56,Locations!$A$6:$A$455,0))</f>
        <v>42.728307605693502</v>
      </c>
      <c r="T56" s="3">
        <f>INDEX(Locations!$E$6:$E$455,MATCH(B56,Locations!$A$6:$A$455,0))</f>
        <v>-73.673507334067594</v>
      </c>
      <c r="U56" s="3">
        <f>INDEX(Locations!$D$6:$D$455,MATCH(C56,Locations!$A$6:$A$455,0))</f>
        <v>42.728103960075799</v>
      </c>
      <c r="V56" s="3">
        <f>INDEX(Locations!$E$6:$E$455,MATCH(C56,Locations!$A$6:$A$455,0))</f>
        <v>-73.673722584735501</v>
      </c>
    </row>
    <row r="57" spans="1:22" ht="23.1" customHeight="1">
      <c r="A57" s="1" t="s">
        <v>663</v>
      </c>
      <c r="B57" s="1" t="s">
        <v>239</v>
      </c>
      <c r="C57" s="1" t="s">
        <v>255</v>
      </c>
      <c r="D57" s="1" t="s">
        <v>612</v>
      </c>
      <c r="E57" s="13">
        <f t="shared" si="0"/>
        <v>128.01142206189903</v>
      </c>
      <c r="F57" s="11" t="s">
        <v>70</v>
      </c>
      <c r="G57" s="11" t="s">
        <v>69</v>
      </c>
      <c r="H57" s="11" t="s">
        <v>69</v>
      </c>
      <c r="I57" s="11" t="s">
        <v>69</v>
      </c>
      <c r="J57" s="11" t="s">
        <v>69</v>
      </c>
      <c r="K57" s="14"/>
      <c r="L57" s="14"/>
      <c r="M57" s="11"/>
      <c r="N57" s="12"/>
      <c r="O57" s="11"/>
      <c r="P57" s="11"/>
      <c r="Q57" s="1">
        <v>53</v>
      </c>
      <c r="R57" s="1"/>
      <c r="S57" s="3">
        <f>INDEX(Locations!$D$6:$D$455,MATCH(B57,Locations!$A$6:$A$455,0))</f>
        <v>42.729121279191702</v>
      </c>
      <c r="T57" s="3">
        <f>INDEX(Locations!$E$6:$E$455,MATCH(B57,Locations!$A$6:$A$455,0))</f>
        <v>-73.672520899000304</v>
      </c>
      <c r="U57" s="3">
        <f>INDEX(Locations!$D$6:$D$455,MATCH(C57,Locations!$A$6:$A$455,0))</f>
        <v>42.728000503894599</v>
      </c>
      <c r="V57" s="3">
        <f>INDEX(Locations!$E$6:$E$455,MATCH(C57,Locations!$A$6:$A$455,0))</f>
        <v>-73.672879017265799</v>
      </c>
    </row>
    <row r="58" spans="1:22" ht="23.1" customHeight="1">
      <c r="A58" s="1" t="s">
        <v>664</v>
      </c>
      <c r="B58" s="1" t="s">
        <v>253</v>
      </c>
      <c r="C58" s="1" t="s">
        <v>255</v>
      </c>
      <c r="D58" s="1" t="s">
        <v>612</v>
      </c>
      <c r="E58" s="13">
        <f t="shared" si="0"/>
        <v>69.857848184466363</v>
      </c>
      <c r="F58" s="11" t="s">
        <v>70</v>
      </c>
      <c r="G58" s="11" t="s">
        <v>69</v>
      </c>
      <c r="H58" s="11" t="s">
        <v>69</v>
      </c>
      <c r="I58" s="11" t="s">
        <v>69</v>
      </c>
      <c r="J58" s="11" t="s">
        <v>69</v>
      </c>
      <c r="K58" s="14"/>
      <c r="L58" s="14"/>
      <c r="M58" s="11"/>
      <c r="N58" s="12"/>
      <c r="O58" s="11"/>
      <c r="P58" s="11"/>
      <c r="Q58" s="1">
        <v>54</v>
      </c>
      <c r="R58" s="1"/>
      <c r="S58" s="3">
        <f>INDEX(Locations!$D$6:$D$455,MATCH(B58,Locations!$A$6:$A$455,0))</f>
        <v>42.728103960075799</v>
      </c>
      <c r="T58" s="3">
        <f>INDEX(Locations!$E$6:$E$455,MATCH(B58,Locations!$A$6:$A$455,0))</f>
        <v>-73.673722584735501</v>
      </c>
      <c r="U58" s="3">
        <f>INDEX(Locations!$D$6:$D$455,MATCH(C58,Locations!$A$6:$A$455,0))</f>
        <v>42.728000503894599</v>
      </c>
      <c r="V58" s="3">
        <f>INDEX(Locations!$E$6:$E$455,MATCH(C58,Locations!$A$6:$A$455,0))</f>
        <v>-73.672879017265799</v>
      </c>
    </row>
    <row r="59" spans="1:22" ht="23.1" customHeight="1">
      <c r="A59" s="1" t="s">
        <v>665</v>
      </c>
      <c r="B59" s="1" t="s">
        <v>251</v>
      </c>
      <c r="C59" s="1" t="s">
        <v>256</v>
      </c>
      <c r="D59" s="1" t="s">
        <v>612</v>
      </c>
      <c r="E59" s="13">
        <f t="shared" si="0"/>
        <v>52.318687807276504</v>
      </c>
      <c r="F59" s="11" t="s">
        <v>70</v>
      </c>
      <c r="G59" s="11" t="s">
        <v>69</v>
      </c>
      <c r="H59" s="11" t="s">
        <v>69</v>
      </c>
      <c r="I59" s="11" t="s">
        <v>69</v>
      </c>
      <c r="J59" s="11" t="s">
        <v>69</v>
      </c>
      <c r="K59" s="14"/>
      <c r="L59" s="14"/>
      <c r="M59" s="11"/>
      <c r="N59" s="12"/>
      <c r="O59" s="11"/>
      <c r="P59" s="11"/>
      <c r="Q59" s="1">
        <v>55</v>
      </c>
      <c r="R59" s="1"/>
      <c r="S59" s="3">
        <f>INDEX(Locations!$D$6:$D$455,MATCH(B59,Locations!$A$6:$A$455,0))</f>
        <v>42.7285177848009</v>
      </c>
      <c r="T59" s="3">
        <f>INDEX(Locations!$E$6:$E$455,MATCH(B59,Locations!$A$6:$A$455,0))</f>
        <v>-73.6745438692909</v>
      </c>
      <c r="U59" s="3">
        <f>INDEX(Locations!$D$6:$D$455,MATCH(C59,Locations!$A$6:$A$455,0))</f>
        <v>42.728851143607301</v>
      </c>
      <c r="V59" s="3">
        <f>INDEX(Locations!$E$6:$E$455,MATCH(C59,Locations!$A$6:$A$455,0))</f>
        <v>-73.674995894123697</v>
      </c>
    </row>
    <row r="60" spans="1:22" ht="23.1" customHeight="1">
      <c r="A60" s="1" t="s">
        <v>666</v>
      </c>
      <c r="B60" s="1" t="s">
        <v>258</v>
      </c>
      <c r="C60" s="1" t="s">
        <v>257</v>
      </c>
      <c r="D60" s="1" t="s">
        <v>667</v>
      </c>
      <c r="E60" s="13">
        <f t="shared" si="0"/>
        <v>43.543426636790585</v>
      </c>
      <c r="F60" s="11" t="s">
        <v>70</v>
      </c>
      <c r="G60" s="11" t="s">
        <v>69</v>
      </c>
      <c r="H60" s="11" t="s">
        <v>69</v>
      </c>
      <c r="I60" s="11" t="s">
        <v>69</v>
      </c>
      <c r="J60" s="11" t="s">
        <v>69</v>
      </c>
      <c r="K60" s="14"/>
      <c r="L60" s="14"/>
      <c r="M60" s="11"/>
      <c r="N60" s="12"/>
      <c r="O60" s="11"/>
      <c r="P60" s="11"/>
      <c r="Q60" s="1">
        <v>56</v>
      </c>
      <c r="R60" s="1"/>
      <c r="S60" s="3">
        <f>INDEX(Locations!$D$6:$D$455,MATCH(B60,Locations!$A$6:$A$455,0))</f>
        <v>42.729248875148599</v>
      </c>
      <c r="T60" s="3">
        <f>INDEX(Locations!$E$6:$E$455,MATCH(B60,Locations!$A$6:$A$455,0))</f>
        <v>-73.675734413568804</v>
      </c>
      <c r="U60" s="3">
        <f>INDEX(Locations!$D$6:$D$455,MATCH(C60,Locations!$A$6:$A$455,0))</f>
        <v>42.729000580313603</v>
      </c>
      <c r="V60" s="3">
        <f>INDEX(Locations!$E$6:$E$455,MATCH(C60,Locations!$A$6:$A$455,0))</f>
        <v>-73.675322179654401</v>
      </c>
    </row>
    <row r="61" spans="1:22" ht="23.1" customHeight="1">
      <c r="A61" s="1" t="s">
        <v>668</v>
      </c>
      <c r="B61" s="1" t="s">
        <v>256</v>
      </c>
      <c r="C61" s="1" t="s">
        <v>257</v>
      </c>
      <c r="D61" s="1" t="s">
        <v>612</v>
      </c>
      <c r="E61" s="13">
        <f t="shared" si="0"/>
        <v>31.406997712948378</v>
      </c>
      <c r="F61" s="11" t="s">
        <v>70</v>
      </c>
      <c r="G61" s="11" t="s">
        <v>69</v>
      </c>
      <c r="H61" s="11" t="s">
        <v>69</v>
      </c>
      <c r="I61" s="11" t="s">
        <v>69</v>
      </c>
      <c r="J61" s="11" t="s">
        <v>69</v>
      </c>
      <c r="K61" s="14"/>
      <c r="L61" s="14"/>
      <c r="M61" s="11"/>
      <c r="N61" s="12"/>
      <c r="O61" s="11"/>
      <c r="P61" s="11"/>
      <c r="Q61" s="1">
        <v>57</v>
      </c>
      <c r="R61" s="1"/>
      <c r="S61" s="3">
        <f>INDEX(Locations!$D$6:$D$455,MATCH(B61,Locations!$A$6:$A$455,0))</f>
        <v>42.728851143607301</v>
      </c>
      <c r="T61" s="3">
        <f>INDEX(Locations!$E$6:$E$455,MATCH(B61,Locations!$A$6:$A$455,0))</f>
        <v>-73.674995894123697</v>
      </c>
      <c r="U61" s="3">
        <f>INDEX(Locations!$D$6:$D$455,MATCH(C61,Locations!$A$6:$A$455,0))</f>
        <v>42.729000580313603</v>
      </c>
      <c r="V61" s="3">
        <f>INDEX(Locations!$E$6:$E$455,MATCH(C61,Locations!$A$6:$A$455,0))</f>
        <v>-73.675322179654401</v>
      </c>
    </row>
    <row r="62" spans="1:22" ht="23.1" customHeight="1">
      <c r="A62" s="1" t="s">
        <v>669</v>
      </c>
      <c r="B62" s="1" t="s">
        <v>259</v>
      </c>
      <c r="C62" s="1" t="s">
        <v>257</v>
      </c>
      <c r="D62" s="1" t="s">
        <v>612</v>
      </c>
      <c r="E62" s="13">
        <f t="shared" si="0"/>
        <v>29.312615030942514</v>
      </c>
      <c r="F62" s="11" t="s">
        <v>70</v>
      </c>
      <c r="G62" s="11" t="s">
        <v>69</v>
      </c>
      <c r="H62" s="11" t="s">
        <v>69</v>
      </c>
      <c r="I62" s="11" t="s">
        <v>69</v>
      </c>
      <c r="J62" s="11" t="s">
        <v>69</v>
      </c>
      <c r="K62" s="14"/>
      <c r="L62" s="14"/>
      <c r="M62" s="11"/>
      <c r="N62" s="12"/>
      <c r="O62" s="11"/>
      <c r="P62" s="11"/>
      <c r="Q62" s="1">
        <v>58</v>
      </c>
      <c r="R62" s="1"/>
      <c r="S62" s="3">
        <f>INDEX(Locations!$D$6:$D$455,MATCH(B62,Locations!$A$6:$A$455,0))</f>
        <v>42.728766079636003</v>
      </c>
      <c r="T62" s="3">
        <f>INDEX(Locations!$E$6:$E$455,MATCH(B62,Locations!$A$6:$A$455,0))</f>
        <v>-73.675486118238098</v>
      </c>
      <c r="U62" s="3">
        <f>INDEX(Locations!$D$6:$D$455,MATCH(C62,Locations!$A$6:$A$455,0))</f>
        <v>42.729000580313603</v>
      </c>
      <c r="V62" s="3">
        <f>INDEX(Locations!$E$6:$E$455,MATCH(C62,Locations!$A$6:$A$455,0))</f>
        <v>-73.675322179654401</v>
      </c>
    </row>
    <row r="63" spans="1:22" ht="23.1" customHeight="1">
      <c r="A63" s="1" t="s">
        <v>670</v>
      </c>
      <c r="B63" s="1" t="s">
        <v>252</v>
      </c>
      <c r="C63" s="1" t="s">
        <v>260</v>
      </c>
      <c r="D63" s="1" t="s">
        <v>612</v>
      </c>
      <c r="E63" s="13">
        <f t="shared" si="0"/>
        <v>67.999153076972604</v>
      </c>
      <c r="F63" s="11" t="s">
        <v>70</v>
      </c>
      <c r="G63" s="11" t="s">
        <v>69</v>
      </c>
      <c r="H63" s="11" t="s">
        <v>69</v>
      </c>
      <c r="I63" s="11" t="s">
        <v>69</v>
      </c>
      <c r="J63" s="11" t="s">
        <v>69</v>
      </c>
      <c r="K63" s="14"/>
      <c r="L63" s="14"/>
      <c r="M63" s="11"/>
      <c r="N63" s="12"/>
      <c r="O63" s="11"/>
      <c r="P63" s="11"/>
      <c r="Q63" s="1">
        <v>59</v>
      </c>
      <c r="R63" s="1"/>
      <c r="S63" s="3">
        <f>INDEX(Locations!$D$6:$D$455,MATCH(B63,Locations!$A$6:$A$455,0))</f>
        <v>42.728314320977802</v>
      </c>
      <c r="T63" s="3">
        <f>INDEX(Locations!$E$6:$E$455,MATCH(B63,Locations!$A$6:$A$455,0))</f>
        <v>-73.674715766058299</v>
      </c>
      <c r="U63" s="3">
        <f>INDEX(Locations!$D$6:$D$455,MATCH(C63,Locations!$A$6:$A$455,0))</f>
        <v>42.728414328619699</v>
      </c>
      <c r="V63" s="3">
        <f>INDEX(Locations!$E$6:$E$455,MATCH(C63,Locations!$A$6:$A$455,0))</f>
        <v>-73.675537050613698</v>
      </c>
    </row>
    <row r="64" spans="1:22" ht="23.1" customHeight="1">
      <c r="A64" s="1" t="s">
        <v>671</v>
      </c>
      <c r="B64" s="1" t="s">
        <v>259</v>
      </c>
      <c r="C64" s="1" t="s">
        <v>260</v>
      </c>
      <c r="D64" s="1" t="s">
        <v>612</v>
      </c>
      <c r="E64" s="13">
        <f t="shared" si="0"/>
        <v>39.333555082874859</v>
      </c>
      <c r="F64" s="11" t="s">
        <v>70</v>
      </c>
      <c r="G64" s="11" t="s">
        <v>69</v>
      </c>
      <c r="H64" s="11" t="s">
        <v>69</v>
      </c>
      <c r="I64" s="11" t="s">
        <v>69</v>
      </c>
      <c r="J64" s="11" t="s">
        <v>69</v>
      </c>
      <c r="K64" s="14"/>
      <c r="L64" s="14"/>
      <c r="M64" s="11"/>
      <c r="N64" s="12"/>
      <c r="O64" s="11"/>
      <c r="P64" s="11"/>
      <c r="Q64" s="1">
        <v>60</v>
      </c>
      <c r="R64" s="1"/>
      <c r="S64" s="3">
        <f>INDEX(Locations!$D$6:$D$455,MATCH(B64,Locations!$A$6:$A$455,0))</f>
        <v>42.728766079636003</v>
      </c>
      <c r="T64" s="3">
        <f>INDEX(Locations!$E$6:$E$455,MATCH(B64,Locations!$A$6:$A$455,0))</f>
        <v>-73.675486118238098</v>
      </c>
      <c r="U64" s="3">
        <f>INDEX(Locations!$D$6:$D$455,MATCH(C64,Locations!$A$6:$A$455,0))</f>
        <v>42.728414328619699</v>
      </c>
      <c r="V64" s="3">
        <f>INDEX(Locations!$E$6:$E$455,MATCH(C64,Locations!$A$6:$A$455,0))</f>
        <v>-73.675537050613698</v>
      </c>
    </row>
    <row r="65" spans="1:22" ht="23.1" customHeight="1">
      <c r="A65" s="1" t="s">
        <v>672</v>
      </c>
      <c r="B65" s="1" t="s">
        <v>252</v>
      </c>
      <c r="C65" s="1" t="s">
        <v>261</v>
      </c>
      <c r="D65" s="1" t="s">
        <v>612</v>
      </c>
      <c r="E65" s="13">
        <f t="shared" si="0"/>
        <v>44.237957503331145</v>
      </c>
      <c r="F65" s="11" t="s">
        <v>70</v>
      </c>
      <c r="G65" s="11" t="s">
        <v>69</v>
      </c>
      <c r="H65" s="11" t="s">
        <v>69</v>
      </c>
      <c r="I65" s="11" t="s">
        <v>69</v>
      </c>
      <c r="J65" s="11" t="s">
        <v>69</v>
      </c>
      <c r="K65" s="14"/>
      <c r="L65" s="14"/>
      <c r="M65" s="11"/>
      <c r="N65" s="12"/>
      <c r="O65" s="11"/>
      <c r="P65" s="11"/>
      <c r="Q65" s="1">
        <v>61</v>
      </c>
      <c r="R65" s="1"/>
      <c r="S65" s="3">
        <f>INDEX(Locations!$D$6:$D$455,MATCH(B65,Locations!$A$6:$A$455,0))</f>
        <v>42.728314320977802</v>
      </c>
      <c r="T65" s="3">
        <f>INDEX(Locations!$E$6:$E$455,MATCH(B65,Locations!$A$6:$A$455,0))</f>
        <v>-73.674715766058299</v>
      </c>
      <c r="U65" s="3">
        <f>INDEX(Locations!$D$6:$D$455,MATCH(C65,Locations!$A$6:$A$455,0))</f>
        <v>42.727916589436397</v>
      </c>
      <c r="V65" s="3">
        <f>INDEX(Locations!$E$6:$E$455,MATCH(C65,Locations!$A$6:$A$455,0))</f>
        <v>-73.674703032964402</v>
      </c>
    </row>
    <row r="66" spans="1:22" ht="23.1" customHeight="1">
      <c r="A66" s="1" t="s">
        <v>673</v>
      </c>
      <c r="B66" s="1" t="s">
        <v>264</v>
      </c>
      <c r="C66" s="1" t="s">
        <v>159</v>
      </c>
      <c r="D66" s="1" t="s">
        <v>612</v>
      </c>
      <c r="E66" s="13">
        <f t="shared" si="0"/>
        <v>27.914998444242542</v>
      </c>
      <c r="F66" s="11" t="s">
        <v>70</v>
      </c>
      <c r="G66" s="11" t="s">
        <v>69</v>
      </c>
      <c r="H66" s="11" t="s">
        <v>69</v>
      </c>
      <c r="I66" s="11" t="s">
        <v>69</v>
      </c>
      <c r="J66" s="11" t="s">
        <v>69</v>
      </c>
      <c r="K66" s="14"/>
      <c r="L66" s="14"/>
      <c r="M66" s="11"/>
      <c r="N66" s="12"/>
      <c r="O66" s="11"/>
      <c r="P66" s="11"/>
      <c r="Q66" s="1">
        <v>62</v>
      </c>
      <c r="R66" s="1"/>
      <c r="S66" s="3">
        <f>INDEX(Locations!$D$6:$D$455,MATCH(B66,Locations!$A$6:$A$455,0))</f>
        <v>42.727444139541902</v>
      </c>
      <c r="T66" s="3">
        <f>INDEX(Locations!$E$6:$E$455,MATCH(B66,Locations!$A$6:$A$455,0))</f>
        <v>-73.674701441327699</v>
      </c>
      <c r="U66" s="3">
        <f>INDEX(Locations!$D$6:$D$455,MATCH(C66,Locations!$A$6:$A$455,0))</f>
        <v>42.727427547200499</v>
      </c>
      <c r="V66" s="3">
        <f>INDEX(Locations!$E$6:$E$455,MATCH(C66,Locations!$A$6:$A$455,0))</f>
        <v>-73.675042443478503</v>
      </c>
    </row>
    <row r="67" spans="1:22" ht="23.1" customHeight="1">
      <c r="A67" s="1" t="s">
        <v>674</v>
      </c>
      <c r="B67" s="1" t="s">
        <v>117</v>
      </c>
      <c r="C67" s="1" t="s">
        <v>263</v>
      </c>
      <c r="D67" s="1" t="s">
        <v>612</v>
      </c>
      <c r="E67" s="13">
        <f t="shared" si="0"/>
        <v>22.043182471597326</v>
      </c>
      <c r="F67" s="11" t="s">
        <v>70</v>
      </c>
      <c r="G67" s="11" t="s">
        <v>69</v>
      </c>
      <c r="H67" s="11" t="s">
        <v>69</v>
      </c>
      <c r="I67" s="11" t="s">
        <v>69</v>
      </c>
      <c r="J67" s="11" t="s">
        <v>69</v>
      </c>
      <c r="K67" s="14"/>
      <c r="L67" s="14"/>
      <c r="M67" s="11"/>
      <c r="N67" s="12"/>
      <c r="O67" s="11"/>
      <c r="P67" s="11"/>
      <c r="Q67" s="1">
        <v>63</v>
      </c>
      <c r="R67" s="1"/>
      <c r="S67" s="3">
        <f>INDEX(Locations!$D$6:$D$455,MATCH(B67,Locations!$A$6:$A$455,0))</f>
        <v>42.727245391554703</v>
      </c>
      <c r="T67" s="3">
        <f>INDEX(Locations!$E$6:$E$455,MATCH(B67,Locations!$A$6:$A$455,0))</f>
        <v>-73.674084880128305</v>
      </c>
      <c r="U67" s="3">
        <f>INDEX(Locations!$D$6:$D$455,MATCH(C67,Locations!$A$6:$A$455,0))</f>
        <v>42.7274257473319</v>
      </c>
      <c r="V67" s="3">
        <f>INDEX(Locations!$E$6:$E$455,MATCH(C67,Locations!$A$6:$A$455,0))</f>
        <v>-73.674196892482598</v>
      </c>
    </row>
    <row r="68" spans="1:22" ht="23.1" customHeight="1">
      <c r="A68" s="1" t="s">
        <v>675</v>
      </c>
      <c r="B68" s="1" t="s">
        <v>266</v>
      </c>
      <c r="C68" s="1" t="s">
        <v>263</v>
      </c>
      <c r="D68" s="1" t="s">
        <v>612</v>
      </c>
      <c r="E68" s="13">
        <f t="shared" si="0"/>
        <v>32.275595228806381</v>
      </c>
      <c r="F68" s="11" t="s">
        <v>70</v>
      </c>
      <c r="G68" s="11" t="s">
        <v>69</v>
      </c>
      <c r="H68" s="11" t="s">
        <v>69</v>
      </c>
      <c r="I68" s="11" t="s">
        <v>69</v>
      </c>
      <c r="J68" s="11" t="s">
        <v>69</v>
      </c>
      <c r="K68" s="14"/>
      <c r="L68" s="14"/>
      <c r="M68" s="11"/>
      <c r="N68" s="12"/>
      <c r="O68" s="11"/>
      <c r="P68" s="11"/>
      <c r="Q68" s="1">
        <v>64</v>
      </c>
      <c r="R68" s="1"/>
      <c r="S68" s="3">
        <f>INDEX(Locations!$D$6:$D$455,MATCH(B68,Locations!$A$6:$A$455,0))</f>
        <v>42.727142967103099</v>
      </c>
      <c r="T68" s="3">
        <f>INDEX(Locations!$E$6:$E$455,MATCH(B68,Locations!$A$6:$A$455,0))</f>
        <v>-73.674286024139803</v>
      </c>
      <c r="U68" s="3">
        <f>INDEX(Locations!$D$6:$D$455,MATCH(C68,Locations!$A$6:$A$455,0))</f>
        <v>42.7274257473319</v>
      </c>
      <c r="V68" s="3">
        <f>INDEX(Locations!$E$6:$E$455,MATCH(C68,Locations!$A$6:$A$455,0))</f>
        <v>-73.674196892482598</v>
      </c>
    </row>
    <row r="69" spans="1:22" ht="23.1" customHeight="1">
      <c r="A69" s="1" t="s">
        <v>676</v>
      </c>
      <c r="B69" s="1" t="s">
        <v>265</v>
      </c>
      <c r="C69" s="1" t="s">
        <v>263</v>
      </c>
      <c r="D69" s="1" t="s">
        <v>612</v>
      </c>
      <c r="E69" s="13">
        <f t="shared" si="0"/>
        <v>51.674894160517134</v>
      </c>
      <c r="F69" s="11" t="s">
        <v>70</v>
      </c>
      <c r="G69" s="11" t="s">
        <v>69</v>
      </c>
      <c r="H69" s="11" t="s">
        <v>69</v>
      </c>
      <c r="I69" s="11" t="s">
        <v>69</v>
      </c>
      <c r="J69" s="11" t="s">
        <v>69</v>
      </c>
      <c r="K69" s="14"/>
      <c r="L69" s="14"/>
      <c r="M69" s="11"/>
      <c r="N69" s="12"/>
      <c r="O69" s="11"/>
      <c r="P69" s="11"/>
      <c r="Q69" s="1">
        <v>65</v>
      </c>
      <c r="R69" s="1"/>
      <c r="S69" s="3">
        <f>INDEX(Locations!$D$6:$D$455,MATCH(B69,Locations!$A$6:$A$455,0))</f>
        <v>42.7271889476281</v>
      </c>
      <c r="T69" s="3">
        <f>INDEX(Locations!$E$6:$E$455,MATCH(B69,Locations!$A$6:$A$455,0))</f>
        <v>-73.674741232246006</v>
      </c>
      <c r="U69" s="3">
        <f>INDEX(Locations!$D$6:$D$455,MATCH(C69,Locations!$A$6:$A$455,0))</f>
        <v>42.7274257473319</v>
      </c>
      <c r="V69" s="3">
        <f>INDEX(Locations!$E$6:$E$455,MATCH(C69,Locations!$A$6:$A$455,0))</f>
        <v>-73.674196892482598</v>
      </c>
    </row>
    <row r="70" spans="1:22" ht="23.1" customHeight="1">
      <c r="A70" s="1" t="s">
        <v>677</v>
      </c>
      <c r="B70" s="1" t="s">
        <v>264</v>
      </c>
      <c r="C70" s="1" t="s">
        <v>266</v>
      </c>
      <c r="D70" s="1" t="s">
        <v>612</v>
      </c>
      <c r="E70" s="13">
        <f t="shared" ref="E70:E133" si="1">2*6371000*ASIN(SQRT(MIN(1,SIN(RADIANS(U70-S70)/2)^2+COS(RADIANS(S70))*COS(RADIANS(U70))*SIN(RADIANS(V70-T70)/2)^2)))</f>
        <v>47.675093539807996</v>
      </c>
      <c r="F70" s="11" t="s">
        <v>70</v>
      </c>
      <c r="G70" s="11" t="s">
        <v>69</v>
      </c>
      <c r="H70" s="11" t="s">
        <v>69</v>
      </c>
      <c r="I70" s="11" t="s">
        <v>69</v>
      </c>
      <c r="J70" s="11" t="s">
        <v>69</v>
      </c>
      <c r="K70" s="14"/>
      <c r="L70" s="14"/>
      <c r="M70" s="11"/>
      <c r="N70" s="12"/>
      <c r="O70" s="11"/>
      <c r="P70" s="11"/>
      <c r="Q70" s="1">
        <v>66</v>
      </c>
      <c r="R70" s="1"/>
      <c r="S70" s="3">
        <f>INDEX(Locations!$D$6:$D$455,MATCH(B70,Locations!$A$6:$A$455,0))</f>
        <v>42.727444139541902</v>
      </c>
      <c r="T70" s="3">
        <f>INDEX(Locations!$E$6:$E$455,MATCH(B70,Locations!$A$6:$A$455,0))</f>
        <v>-73.674701441327699</v>
      </c>
      <c r="U70" s="3">
        <f>INDEX(Locations!$D$6:$D$455,MATCH(C70,Locations!$A$6:$A$455,0))</f>
        <v>42.727142967103099</v>
      </c>
      <c r="V70" s="3">
        <f>INDEX(Locations!$E$6:$E$455,MATCH(C70,Locations!$A$6:$A$455,0))</f>
        <v>-73.674286024139803</v>
      </c>
    </row>
    <row r="71" spans="1:22" ht="23.1" customHeight="1">
      <c r="A71" s="1" t="s">
        <v>678</v>
      </c>
      <c r="B71" s="1" t="s">
        <v>265</v>
      </c>
      <c r="C71" s="1" t="s">
        <v>264</v>
      </c>
      <c r="D71" s="1" t="s">
        <v>612</v>
      </c>
      <c r="E71" s="13">
        <f t="shared" si="1"/>
        <v>28.561582875589757</v>
      </c>
      <c r="F71" s="11" t="s">
        <v>70</v>
      </c>
      <c r="G71" s="11" t="s">
        <v>69</v>
      </c>
      <c r="H71" s="11" t="s">
        <v>69</v>
      </c>
      <c r="I71" s="11" t="s">
        <v>69</v>
      </c>
      <c r="J71" s="11" t="s">
        <v>69</v>
      </c>
      <c r="K71" s="14"/>
      <c r="L71" s="14"/>
      <c r="M71" s="11"/>
      <c r="N71" s="12"/>
      <c r="O71" s="11"/>
      <c r="P71" s="11"/>
      <c r="Q71" s="1">
        <v>67</v>
      </c>
      <c r="R71" s="1"/>
      <c r="S71" s="3">
        <f>INDEX(Locations!$D$6:$D$455,MATCH(B71,Locations!$A$6:$A$455,0))</f>
        <v>42.7271889476281</v>
      </c>
      <c r="T71" s="3">
        <f>INDEX(Locations!$E$6:$E$455,MATCH(B71,Locations!$A$6:$A$455,0))</f>
        <v>-73.674741232246006</v>
      </c>
      <c r="U71" s="3">
        <f>INDEX(Locations!$D$6:$D$455,MATCH(C71,Locations!$A$6:$A$455,0))</f>
        <v>42.727444139541902</v>
      </c>
      <c r="V71" s="3">
        <f>INDEX(Locations!$E$6:$E$455,MATCH(C71,Locations!$A$6:$A$455,0))</f>
        <v>-73.674701441327699</v>
      </c>
    </row>
    <row r="72" spans="1:22" ht="23.1" customHeight="1">
      <c r="A72" s="1" t="s">
        <v>679</v>
      </c>
      <c r="B72" s="1" t="s">
        <v>263</v>
      </c>
      <c r="C72" s="1" t="s">
        <v>264</v>
      </c>
      <c r="D72" s="1" t="s">
        <v>612</v>
      </c>
      <c r="E72" s="13">
        <f t="shared" si="1"/>
        <v>41.263602165491541</v>
      </c>
      <c r="F72" s="11" t="s">
        <v>70</v>
      </c>
      <c r="G72" s="11" t="s">
        <v>69</v>
      </c>
      <c r="H72" s="11" t="s">
        <v>69</v>
      </c>
      <c r="I72" s="11" t="s">
        <v>69</v>
      </c>
      <c r="J72" s="11" t="s">
        <v>69</v>
      </c>
      <c r="K72" s="14"/>
      <c r="L72" s="14"/>
      <c r="M72" s="11"/>
      <c r="N72" s="12"/>
      <c r="O72" s="11"/>
      <c r="P72" s="11"/>
      <c r="Q72" s="1">
        <v>68</v>
      </c>
      <c r="R72" s="1"/>
      <c r="S72" s="3">
        <f>INDEX(Locations!$D$6:$D$455,MATCH(B72,Locations!$A$6:$A$455,0))</f>
        <v>42.7274257473319</v>
      </c>
      <c r="T72" s="3">
        <f>INDEX(Locations!$E$6:$E$455,MATCH(B72,Locations!$A$6:$A$455,0))</f>
        <v>-73.674196892482598</v>
      </c>
      <c r="U72" s="3">
        <f>INDEX(Locations!$D$6:$D$455,MATCH(C72,Locations!$A$6:$A$455,0))</f>
        <v>42.727444139541902</v>
      </c>
      <c r="V72" s="3">
        <f>INDEX(Locations!$E$6:$E$455,MATCH(C72,Locations!$A$6:$A$455,0))</f>
        <v>-73.674701441327699</v>
      </c>
    </row>
    <row r="73" spans="1:22" ht="23.1" customHeight="1">
      <c r="A73" s="1" t="s">
        <v>680</v>
      </c>
      <c r="B73" s="1" t="s">
        <v>265</v>
      </c>
      <c r="C73" s="1" t="s">
        <v>266</v>
      </c>
      <c r="D73" s="1" t="s">
        <v>612</v>
      </c>
      <c r="E73" s="13">
        <f t="shared" si="1"/>
        <v>37.532639824844232</v>
      </c>
      <c r="F73" s="11" t="s">
        <v>70</v>
      </c>
      <c r="G73" s="11" t="s">
        <v>69</v>
      </c>
      <c r="H73" s="11" t="s">
        <v>69</v>
      </c>
      <c r="I73" s="11" t="s">
        <v>69</v>
      </c>
      <c r="J73" s="11" t="s">
        <v>69</v>
      </c>
      <c r="K73" s="14"/>
      <c r="L73" s="14"/>
      <c r="M73" s="11"/>
      <c r="N73" s="12"/>
      <c r="O73" s="11"/>
      <c r="P73" s="11"/>
      <c r="Q73" s="1">
        <v>69</v>
      </c>
      <c r="R73" s="1"/>
      <c r="S73" s="3">
        <f>INDEX(Locations!$D$6:$D$455,MATCH(B73,Locations!$A$6:$A$455,0))</f>
        <v>42.7271889476281</v>
      </c>
      <c r="T73" s="3">
        <f>INDEX(Locations!$E$6:$E$455,MATCH(B73,Locations!$A$6:$A$455,0))</f>
        <v>-73.674741232246006</v>
      </c>
      <c r="U73" s="3">
        <f>INDEX(Locations!$D$6:$D$455,MATCH(C73,Locations!$A$6:$A$455,0))</f>
        <v>42.727142967103099</v>
      </c>
      <c r="V73" s="3">
        <f>INDEX(Locations!$E$6:$E$455,MATCH(C73,Locations!$A$6:$A$455,0))</f>
        <v>-73.674286024139803</v>
      </c>
    </row>
    <row r="74" spans="1:22" ht="23.1" customHeight="1">
      <c r="A74" s="1" t="s">
        <v>681</v>
      </c>
      <c r="B74" s="1" t="s">
        <v>193</v>
      </c>
      <c r="C74" s="1" t="s">
        <v>265</v>
      </c>
      <c r="D74" s="1" t="s">
        <v>612</v>
      </c>
      <c r="E74" s="13">
        <f t="shared" si="1"/>
        <v>19.751325603963494</v>
      </c>
      <c r="F74" s="11" t="s">
        <v>70</v>
      </c>
      <c r="G74" s="11" t="s">
        <v>69</v>
      </c>
      <c r="H74" s="11" t="s">
        <v>69</v>
      </c>
      <c r="I74" s="11" t="s">
        <v>69</v>
      </c>
      <c r="J74" s="11" t="s">
        <v>69</v>
      </c>
      <c r="K74" s="14"/>
      <c r="L74" s="14"/>
      <c r="M74" s="11"/>
      <c r="N74" s="12"/>
      <c r="O74" s="11"/>
      <c r="P74" s="11"/>
      <c r="Q74" s="1">
        <v>70</v>
      </c>
      <c r="R74" s="1"/>
      <c r="S74" s="3">
        <f>INDEX(Locations!$D$6:$D$455,MATCH(B74,Locations!$A$6:$A$455,0))</f>
        <v>42.7270250661145</v>
      </c>
      <c r="T74" s="3">
        <f>INDEX(Locations!$E$6:$E$455,MATCH(B74,Locations!$A$6:$A$455,0))</f>
        <v>-73.674647960723604</v>
      </c>
      <c r="U74" s="3">
        <f>INDEX(Locations!$D$6:$D$455,MATCH(C74,Locations!$A$6:$A$455,0))</f>
        <v>42.7271889476281</v>
      </c>
      <c r="V74" s="3">
        <f>INDEX(Locations!$E$6:$E$455,MATCH(C74,Locations!$A$6:$A$455,0))</f>
        <v>-73.674741232246006</v>
      </c>
    </row>
    <row r="75" spans="1:22" ht="23.1" customHeight="1">
      <c r="A75" s="1" t="s">
        <v>682</v>
      </c>
      <c r="B75" s="1" t="s">
        <v>266</v>
      </c>
      <c r="C75" s="1" t="s">
        <v>193</v>
      </c>
      <c r="D75" s="1" t="s">
        <v>612</v>
      </c>
      <c r="E75" s="13">
        <f t="shared" si="1"/>
        <v>32.340507757053508</v>
      </c>
      <c r="F75" s="11" t="s">
        <v>70</v>
      </c>
      <c r="G75" s="11" t="s">
        <v>69</v>
      </c>
      <c r="H75" s="11" t="s">
        <v>69</v>
      </c>
      <c r="I75" s="11" t="s">
        <v>69</v>
      </c>
      <c r="J75" s="11" t="s">
        <v>69</v>
      </c>
      <c r="K75" s="14"/>
      <c r="L75" s="14"/>
      <c r="M75" s="11"/>
      <c r="N75" s="12"/>
      <c r="O75" s="11"/>
      <c r="P75" s="11"/>
      <c r="Q75" s="1">
        <v>71</v>
      </c>
      <c r="R75" s="1"/>
      <c r="S75" s="3">
        <f>INDEX(Locations!$D$6:$D$455,MATCH(B75,Locations!$A$6:$A$455,0))</f>
        <v>42.727142967103099</v>
      </c>
      <c r="T75" s="3">
        <f>INDEX(Locations!$E$6:$E$455,MATCH(B75,Locations!$A$6:$A$455,0))</f>
        <v>-73.674286024139803</v>
      </c>
      <c r="U75" s="3">
        <f>INDEX(Locations!$D$6:$D$455,MATCH(C75,Locations!$A$6:$A$455,0))</f>
        <v>42.7270250661145</v>
      </c>
      <c r="V75" s="3">
        <f>INDEX(Locations!$E$6:$E$455,MATCH(C75,Locations!$A$6:$A$455,0))</f>
        <v>-73.674647960723604</v>
      </c>
    </row>
    <row r="76" spans="1:22" ht="23.1" customHeight="1">
      <c r="A76" s="1" t="s">
        <v>683</v>
      </c>
      <c r="B76" s="1" t="s">
        <v>263</v>
      </c>
      <c r="C76" s="1" t="s">
        <v>262</v>
      </c>
      <c r="D76" s="1" t="s">
        <v>612</v>
      </c>
      <c r="E76" s="13">
        <f t="shared" si="1"/>
        <v>48.571424624535666</v>
      </c>
      <c r="F76" s="11" t="s">
        <v>70</v>
      </c>
      <c r="G76" s="11" t="s">
        <v>69</v>
      </c>
      <c r="H76" s="11" t="s">
        <v>69</v>
      </c>
      <c r="I76" s="11" t="s">
        <v>69</v>
      </c>
      <c r="J76" s="11" t="s">
        <v>69</v>
      </c>
      <c r="K76" s="14"/>
      <c r="L76" s="14"/>
      <c r="M76" s="11"/>
      <c r="N76" s="12"/>
      <c r="O76" s="11"/>
      <c r="P76" s="11"/>
      <c r="Q76" s="1">
        <v>72</v>
      </c>
      <c r="R76" s="1"/>
      <c r="S76" s="3">
        <f>INDEX(Locations!$D$6:$D$455,MATCH(B76,Locations!$A$6:$A$455,0))</f>
        <v>42.7274257473319</v>
      </c>
      <c r="T76" s="3">
        <f>INDEX(Locations!$E$6:$E$455,MATCH(B76,Locations!$A$6:$A$455,0))</f>
        <v>-73.674196892482598</v>
      </c>
      <c r="U76" s="3">
        <f>INDEX(Locations!$D$6:$D$455,MATCH(C76,Locations!$A$6:$A$455,0))</f>
        <v>42.727836123517598</v>
      </c>
      <c r="V76" s="3">
        <f>INDEX(Locations!$E$6:$E$455,MATCH(C76,Locations!$A$6:$A$455,0))</f>
        <v>-73.673993162980494</v>
      </c>
    </row>
    <row r="77" spans="1:22" ht="23.1" customHeight="1">
      <c r="A77" s="1" t="s">
        <v>684</v>
      </c>
      <c r="B77" s="1" t="s">
        <v>253</v>
      </c>
      <c r="C77" s="1" t="s">
        <v>267</v>
      </c>
      <c r="D77" s="1" t="s">
        <v>612</v>
      </c>
      <c r="E77" s="13">
        <f t="shared" si="1"/>
        <v>18.161002828112988</v>
      </c>
      <c r="F77" s="11" t="s">
        <v>70</v>
      </c>
      <c r="G77" s="11" t="s">
        <v>69</v>
      </c>
      <c r="H77" s="11" t="s">
        <v>69</v>
      </c>
      <c r="I77" s="11" t="s">
        <v>69</v>
      </c>
      <c r="J77" s="11" t="s">
        <v>69</v>
      </c>
      <c r="K77" s="14"/>
      <c r="L77" s="14"/>
      <c r="M77" s="11"/>
      <c r="N77" s="12"/>
      <c r="O77" s="11"/>
      <c r="P77" s="11"/>
      <c r="Q77" s="1">
        <v>73</v>
      </c>
      <c r="R77" s="1"/>
      <c r="S77" s="3">
        <f>INDEX(Locations!$D$6:$D$455,MATCH(B77,Locations!$A$6:$A$455,0))</f>
        <v>42.728103960075799</v>
      </c>
      <c r="T77" s="3">
        <f>INDEX(Locations!$E$6:$E$455,MATCH(B77,Locations!$A$6:$A$455,0))</f>
        <v>-73.673722584735501</v>
      </c>
      <c r="U77" s="3">
        <f>INDEX(Locations!$D$6:$D$455,MATCH(C77,Locations!$A$6:$A$455,0))</f>
        <v>42.728044185393301</v>
      </c>
      <c r="V77" s="3">
        <f>INDEX(Locations!$E$6:$E$455,MATCH(C77,Locations!$A$6:$A$455,0))</f>
        <v>-73.673929497511097</v>
      </c>
    </row>
    <row r="78" spans="1:22" ht="23.1" customHeight="1">
      <c r="A78" s="1" t="s">
        <v>685</v>
      </c>
      <c r="B78" s="1" t="s">
        <v>262</v>
      </c>
      <c r="C78" s="1" t="s">
        <v>267</v>
      </c>
      <c r="D78" s="1" t="s">
        <v>612</v>
      </c>
      <c r="E78" s="13">
        <f t="shared" si="1"/>
        <v>23.712681060662149</v>
      </c>
      <c r="F78" s="11" t="s">
        <v>70</v>
      </c>
      <c r="G78" s="11" t="s">
        <v>69</v>
      </c>
      <c r="H78" s="11" t="s">
        <v>69</v>
      </c>
      <c r="I78" s="11" t="s">
        <v>69</v>
      </c>
      <c r="J78" s="11" t="s">
        <v>69</v>
      </c>
      <c r="K78" s="14"/>
      <c r="L78" s="14"/>
      <c r="M78" s="11"/>
      <c r="N78" s="12"/>
      <c r="O78" s="11"/>
      <c r="P78" s="11"/>
      <c r="Q78" s="1">
        <v>74</v>
      </c>
      <c r="R78" s="1"/>
      <c r="S78" s="3">
        <f>INDEX(Locations!$D$6:$D$455,MATCH(B78,Locations!$A$6:$A$455,0))</f>
        <v>42.727836123517598</v>
      </c>
      <c r="T78" s="3">
        <f>INDEX(Locations!$E$6:$E$455,MATCH(B78,Locations!$A$6:$A$455,0))</f>
        <v>-73.673993162980494</v>
      </c>
      <c r="U78" s="3">
        <f>INDEX(Locations!$D$6:$D$455,MATCH(C78,Locations!$A$6:$A$455,0))</f>
        <v>42.728044185393301</v>
      </c>
      <c r="V78" s="3">
        <f>INDEX(Locations!$E$6:$E$455,MATCH(C78,Locations!$A$6:$A$455,0))</f>
        <v>-73.673929497511097</v>
      </c>
    </row>
    <row r="79" spans="1:22" ht="23.1" customHeight="1">
      <c r="A79" s="1" t="s">
        <v>686</v>
      </c>
      <c r="B79" s="1" t="s">
        <v>262</v>
      </c>
      <c r="C79" s="1" t="s">
        <v>261</v>
      </c>
      <c r="D79" s="1" t="s">
        <v>612</v>
      </c>
      <c r="E79" s="13">
        <f t="shared" si="1"/>
        <v>58.669925466714567</v>
      </c>
      <c r="F79" s="11" t="s">
        <v>70</v>
      </c>
      <c r="G79" s="11" t="s">
        <v>69</v>
      </c>
      <c r="H79" s="11" t="s">
        <v>69</v>
      </c>
      <c r="I79" s="11" t="s">
        <v>69</v>
      </c>
      <c r="J79" s="11" t="s">
        <v>69</v>
      </c>
      <c r="K79" s="14"/>
      <c r="L79" s="14"/>
      <c r="M79" s="11"/>
      <c r="N79" s="12"/>
      <c r="O79" s="11"/>
      <c r="P79" s="11"/>
      <c r="Q79" s="1">
        <v>75</v>
      </c>
      <c r="R79" s="1"/>
      <c r="S79" s="3">
        <f>INDEX(Locations!$D$6:$D$455,MATCH(B79,Locations!$A$6:$A$455,0))</f>
        <v>42.727836123517598</v>
      </c>
      <c r="T79" s="3">
        <f>INDEX(Locations!$E$6:$E$455,MATCH(B79,Locations!$A$6:$A$455,0))</f>
        <v>-73.673993162980494</v>
      </c>
      <c r="U79" s="3">
        <f>INDEX(Locations!$D$6:$D$455,MATCH(C79,Locations!$A$6:$A$455,0))</f>
        <v>42.727916589436397</v>
      </c>
      <c r="V79" s="3">
        <f>INDEX(Locations!$E$6:$E$455,MATCH(C79,Locations!$A$6:$A$455,0))</f>
        <v>-73.674703032964402</v>
      </c>
    </row>
    <row r="80" spans="1:22" ht="23.1" customHeight="1">
      <c r="A80" s="1" t="s">
        <v>687</v>
      </c>
      <c r="B80" s="1" t="s">
        <v>155</v>
      </c>
      <c r="C80" s="1" t="s">
        <v>262</v>
      </c>
      <c r="D80" s="1" t="s">
        <v>612</v>
      </c>
      <c r="E80" s="13">
        <f t="shared" si="1"/>
        <v>35.617142190671856</v>
      </c>
      <c r="F80" s="11" t="s">
        <v>70</v>
      </c>
      <c r="G80" s="11" t="s">
        <v>69</v>
      </c>
      <c r="H80" s="11" t="s">
        <v>69</v>
      </c>
      <c r="I80" s="11" t="s">
        <v>69</v>
      </c>
      <c r="J80" s="11" t="s">
        <v>69</v>
      </c>
      <c r="K80" s="14"/>
      <c r="L80" s="14"/>
      <c r="M80" s="11"/>
      <c r="N80" s="12"/>
      <c r="O80" s="11"/>
      <c r="P80" s="11"/>
      <c r="Q80" s="1">
        <v>76</v>
      </c>
      <c r="R80" s="1"/>
      <c r="S80" s="3">
        <f>INDEX(Locations!$D$6:$D$455,MATCH(B80,Locations!$A$6:$A$455,0))</f>
        <v>42.727659785463999</v>
      </c>
      <c r="T80" s="3">
        <f>INDEX(Locations!$E$6:$E$455,MATCH(B80,Locations!$A$6:$A$455,0))</f>
        <v>-73.673629142534494</v>
      </c>
      <c r="U80" s="3">
        <f>INDEX(Locations!$D$6:$D$455,MATCH(C80,Locations!$A$6:$A$455,0))</f>
        <v>42.727836123517598</v>
      </c>
      <c r="V80" s="3">
        <f>INDEX(Locations!$E$6:$E$455,MATCH(C80,Locations!$A$6:$A$455,0))</f>
        <v>-73.673993162980494</v>
      </c>
    </row>
    <row r="81" spans="1:22" ht="23.1" customHeight="1">
      <c r="A81" s="1" t="s">
        <v>688</v>
      </c>
      <c r="B81" s="1" t="s">
        <v>205</v>
      </c>
      <c r="C81" s="1" t="s">
        <v>261</v>
      </c>
      <c r="D81" s="1" t="s">
        <v>612</v>
      </c>
      <c r="E81" s="13">
        <f t="shared" si="1"/>
        <v>46.004948402013639</v>
      </c>
      <c r="F81" s="11" t="s">
        <v>70</v>
      </c>
      <c r="G81" s="11" t="s">
        <v>69</v>
      </c>
      <c r="H81" s="11" t="s">
        <v>69</v>
      </c>
      <c r="I81" s="11" t="s">
        <v>69</v>
      </c>
      <c r="J81" s="11" t="s">
        <v>69</v>
      </c>
      <c r="K81" s="14"/>
      <c r="L81" s="14"/>
      <c r="M81" s="11"/>
      <c r="N81" s="12"/>
      <c r="O81" s="11"/>
      <c r="P81" s="11"/>
      <c r="Q81" s="1">
        <v>77</v>
      </c>
      <c r="R81" s="1"/>
      <c r="S81" s="3">
        <f>INDEX(Locations!$D$6:$D$455,MATCH(B81,Locations!$A$6:$A$455,0))</f>
        <v>42.727913488628097</v>
      </c>
      <c r="T81" s="3">
        <f>INDEX(Locations!$E$6:$E$455,MATCH(B81,Locations!$A$6:$A$455,0))</f>
        <v>-73.675266237122401</v>
      </c>
      <c r="U81" s="3">
        <f>INDEX(Locations!$D$6:$D$455,MATCH(C81,Locations!$A$6:$A$455,0))</f>
        <v>42.727916589436397</v>
      </c>
      <c r="V81" s="3">
        <f>INDEX(Locations!$E$6:$E$455,MATCH(C81,Locations!$A$6:$A$455,0))</f>
        <v>-73.674703032964402</v>
      </c>
    </row>
    <row r="82" spans="1:22" ht="23.1" customHeight="1">
      <c r="A82" s="1" t="s">
        <v>689</v>
      </c>
      <c r="B82" s="1" t="s">
        <v>233</v>
      </c>
      <c r="C82" s="1" t="s">
        <v>268</v>
      </c>
      <c r="D82" s="1" t="s">
        <v>612</v>
      </c>
      <c r="E82" s="13">
        <f t="shared" si="1"/>
        <v>57.665542117226551</v>
      </c>
      <c r="F82" s="11" t="s">
        <v>70</v>
      </c>
      <c r="G82" s="11" t="s">
        <v>69</v>
      </c>
      <c r="H82" s="11" t="s">
        <v>69</v>
      </c>
      <c r="I82" s="11" t="s">
        <v>69</v>
      </c>
      <c r="J82" s="11" t="s">
        <v>69</v>
      </c>
      <c r="K82" s="14"/>
      <c r="L82" s="14"/>
      <c r="M82" s="11"/>
      <c r="N82" s="12"/>
      <c r="O82" s="11"/>
      <c r="P82" s="11"/>
      <c r="Q82" s="1">
        <v>78</v>
      </c>
      <c r="R82" s="1"/>
      <c r="S82" s="3">
        <f>INDEX(Locations!$D$6:$D$455,MATCH(B82,Locations!$A$6:$A$455,0))</f>
        <v>42.730307576737097</v>
      </c>
      <c r="T82" s="3">
        <f>INDEX(Locations!$E$6:$E$455,MATCH(B82,Locations!$A$6:$A$455,0))</f>
        <v>-73.675861744507699</v>
      </c>
      <c r="U82" s="3">
        <f>INDEX(Locations!$D$6:$D$455,MATCH(C82,Locations!$A$6:$A$455,0))</f>
        <v>42.729793744369999</v>
      </c>
      <c r="V82" s="3">
        <f>INDEX(Locations!$E$6:$E$455,MATCH(C82,Locations!$A$6:$A$455,0))</f>
        <v>-73.675766246303596</v>
      </c>
    </row>
    <row r="83" spans="1:22" ht="23.1" customHeight="1">
      <c r="A83" s="1" t="s">
        <v>690</v>
      </c>
      <c r="B83" s="1" t="s">
        <v>258</v>
      </c>
      <c r="C83" s="1" t="s">
        <v>268</v>
      </c>
      <c r="D83" s="1" t="s">
        <v>612</v>
      </c>
      <c r="E83" s="13">
        <f t="shared" si="1"/>
        <v>60.642459340966468</v>
      </c>
      <c r="F83" s="11" t="s">
        <v>70</v>
      </c>
      <c r="G83" s="11" t="s">
        <v>69</v>
      </c>
      <c r="H83" s="11" t="s">
        <v>69</v>
      </c>
      <c r="I83" s="11" t="s">
        <v>69</v>
      </c>
      <c r="J83" s="11" t="s">
        <v>69</v>
      </c>
      <c r="K83" s="14"/>
      <c r="L83" s="14"/>
      <c r="M83" s="11"/>
      <c r="N83" s="12"/>
      <c r="O83" s="11"/>
      <c r="P83" s="11"/>
      <c r="Q83" s="1">
        <v>79</v>
      </c>
      <c r="R83" s="1"/>
      <c r="S83" s="3">
        <f>INDEX(Locations!$D$6:$D$455,MATCH(B83,Locations!$A$6:$A$455,0))</f>
        <v>42.729248875148599</v>
      </c>
      <c r="T83" s="3">
        <f>INDEX(Locations!$E$6:$E$455,MATCH(B83,Locations!$A$6:$A$455,0))</f>
        <v>-73.675734413568804</v>
      </c>
      <c r="U83" s="3">
        <f>INDEX(Locations!$D$6:$D$455,MATCH(C83,Locations!$A$6:$A$455,0))</f>
        <v>42.729793744369999</v>
      </c>
      <c r="V83" s="3">
        <f>INDEX(Locations!$E$6:$E$455,MATCH(C83,Locations!$A$6:$A$455,0))</f>
        <v>-73.675766246303596</v>
      </c>
    </row>
    <row r="84" spans="1:22" ht="23.1" customHeight="1">
      <c r="A84" s="1" t="s">
        <v>691</v>
      </c>
      <c r="B84" s="1" t="s">
        <v>167</v>
      </c>
      <c r="C84" s="1" t="s">
        <v>269</v>
      </c>
      <c r="D84" s="1" t="s">
        <v>612</v>
      </c>
      <c r="E84" s="13">
        <f t="shared" si="1"/>
        <v>25.554446922887248</v>
      </c>
      <c r="F84" s="11" t="s">
        <v>70</v>
      </c>
      <c r="G84" s="11" t="s">
        <v>69</v>
      </c>
      <c r="H84" s="11" t="s">
        <v>69</v>
      </c>
      <c r="I84" s="11" t="s">
        <v>69</v>
      </c>
      <c r="J84" s="11" t="s">
        <v>69</v>
      </c>
      <c r="K84" s="14"/>
      <c r="L84" s="14"/>
      <c r="M84" s="11"/>
      <c r="N84" s="12"/>
      <c r="O84" s="11"/>
      <c r="P84" s="11"/>
      <c r="Q84" s="1">
        <v>80</v>
      </c>
      <c r="R84" s="1"/>
      <c r="S84" s="3">
        <f>INDEX(Locations!$D$6:$D$455,MATCH(B84,Locations!$A$6:$A$455,0))</f>
        <v>42.730132108819497</v>
      </c>
      <c r="T84" s="3">
        <f>INDEX(Locations!$E$6:$E$455,MATCH(B84,Locations!$A$6:$A$455,0))</f>
        <v>-73.677722535303204</v>
      </c>
      <c r="U84" s="3">
        <f>INDEX(Locations!$D$6:$D$455,MATCH(C84,Locations!$A$6:$A$455,0))</f>
        <v>42.730058132388898</v>
      </c>
      <c r="V84" s="3">
        <f>INDEX(Locations!$E$6:$E$455,MATCH(C84,Locations!$A$6:$A$455,0))</f>
        <v>-73.677426323418402</v>
      </c>
    </row>
    <row r="85" spans="1:22" ht="23.1" customHeight="1">
      <c r="A85" s="1" t="s">
        <v>692</v>
      </c>
      <c r="B85" s="1" t="s">
        <v>218</v>
      </c>
      <c r="C85" s="1" t="s">
        <v>269</v>
      </c>
      <c r="D85" s="1" t="s">
        <v>612</v>
      </c>
      <c r="E85" s="13">
        <f t="shared" si="1"/>
        <v>80.950007830693551</v>
      </c>
      <c r="F85" s="11" t="s">
        <v>70</v>
      </c>
      <c r="G85" s="11" t="s">
        <v>69</v>
      </c>
      <c r="H85" s="11" t="s">
        <v>69</v>
      </c>
      <c r="I85" s="11" t="s">
        <v>69</v>
      </c>
      <c r="J85" s="11" t="s">
        <v>69</v>
      </c>
      <c r="K85" s="14"/>
      <c r="L85" s="14"/>
      <c r="M85" s="11"/>
      <c r="N85" s="12"/>
      <c r="O85" s="11"/>
      <c r="P85" s="11"/>
      <c r="Q85" s="1">
        <v>81</v>
      </c>
      <c r="R85" s="1"/>
      <c r="S85" s="3">
        <f>INDEX(Locations!$D$6:$D$455,MATCH(B85,Locations!$A$6:$A$455,0))</f>
        <v>42.730770830526502</v>
      </c>
      <c r="T85" s="3">
        <f>INDEX(Locations!$E$6:$E$455,MATCH(B85,Locations!$A$6:$A$455,0))</f>
        <v>-73.677224185553101</v>
      </c>
      <c r="U85" s="3">
        <f>INDEX(Locations!$D$6:$D$455,MATCH(C85,Locations!$A$6:$A$455,0))</f>
        <v>42.730058132388898</v>
      </c>
      <c r="V85" s="3">
        <f>INDEX(Locations!$E$6:$E$455,MATCH(C85,Locations!$A$6:$A$455,0))</f>
        <v>-73.677426323418402</v>
      </c>
    </row>
    <row r="86" spans="1:22" ht="23.1" customHeight="1">
      <c r="A86" s="1" t="s">
        <v>693</v>
      </c>
      <c r="B86" s="1" t="s">
        <v>268</v>
      </c>
      <c r="C86" s="1" t="s">
        <v>175</v>
      </c>
      <c r="D86" s="1" t="s">
        <v>612</v>
      </c>
      <c r="E86" s="13">
        <f t="shared" si="1"/>
        <v>74.726631550448701</v>
      </c>
      <c r="F86" s="11" t="s">
        <v>70</v>
      </c>
      <c r="G86" s="11" t="s">
        <v>69</v>
      </c>
      <c r="H86" s="11" t="s">
        <v>69</v>
      </c>
      <c r="I86" s="11" t="s">
        <v>69</v>
      </c>
      <c r="J86" s="11" t="s">
        <v>69</v>
      </c>
      <c r="K86" s="14"/>
      <c r="L86" s="14"/>
      <c r="M86" s="11"/>
      <c r="N86" s="12"/>
      <c r="O86" s="11"/>
      <c r="P86" s="11"/>
      <c r="Q86" s="1">
        <v>82</v>
      </c>
      <c r="R86" s="1"/>
      <c r="S86" s="3">
        <f>INDEX(Locations!$D$6:$D$455,MATCH(B86,Locations!$A$6:$A$455,0))</f>
        <v>42.729793744369999</v>
      </c>
      <c r="T86" s="3">
        <f>INDEX(Locations!$E$6:$E$455,MATCH(B86,Locations!$A$6:$A$455,0))</f>
        <v>-73.675766246303596</v>
      </c>
      <c r="U86" s="3">
        <f>INDEX(Locations!$D$6:$D$455,MATCH(C86,Locations!$A$6:$A$455,0))</f>
        <v>42.729899720271298</v>
      </c>
      <c r="V86" s="3">
        <f>INDEX(Locations!$E$6:$E$455,MATCH(C86,Locations!$A$6:$A$455,0))</f>
        <v>-73.676669675731205</v>
      </c>
    </row>
    <row r="87" spans="1:22" ht="23.1" customHeight="1">
      <c r="A87" s="1" t="s">
        <v>694</v>
      </c>
      <c r="B87" s="1" t="s">
        <v>219</v>
      </c>
      <c r="C87" s="1" t="s">
        <v>175</v>
      </c>
      <c r="D87" s="1" t="s">
        <v>612</v>
      </c>
      <c r="E87" s="13">
        <f t="shared" si="1"/>
        <v>90.535182154487075</v>
      </c>
      <c r="F87" s="11" t="s">
        <v>70</v>
      </c>
      <c r="G87" s="11" t="s">
        <v>69</v>
      </c>
      <c r="H87" s="11" t="s">
        <v>69</v>
      </c>
      <c r="I87" s="11" t="s">
        <v>69</v>
      </c>
      <c r="J87" s="11" t="s">
        <v>69</v>
      </c>
      <c r="K87" s="14"/>
      <c r="L87" s="14"/>
      <c r="M87" s="11"/>
      <c r="N87" s="12"/>
      <c r="O87" s="11"/>
      <c r="P87" s="11"/>
      <c r="Q87" s="1">
        <v>83</v>
      </c>
      <c r="R87" s="1"/>
      <c r="S87" s="3">
        <f>INDEX(Locations!$D$6:$D$455,MATCH(B87,Locations!$A$6:$A$455,0))</f>
        <v>42.730644384082801</v>
      </c>
      <c r="T87" s="3">
        <f>INDEX(Locations!$E$6:$E$455,MATCH(B87,Locations!$A$6:$A$455,0))</f>
        <v>-73.676221454409799</v>
      </c>
      <c r="U87" s="3">
        <f>INDEX(Locations!$D$6:$D$455,MATCH(C87,Locations!$A$6:$A$455,0))</f>
        <v>42.729899720271298</v>
      </c>
      <c r="V87" s="3">
        <f>INDEX(Locations!$E$6:$E$455,MATCH(C87,Locations!$A$6:$A$455,0))</f>
        <v>-73.676669675731205</v>
      </c>
    </row>
    <row r="88" spans="1:22" ht="23.1" customHeight="1">
      <c r="A88" s="1" t="s">
        <v>695</v>
      </c>
      <c r="B88" s="1" t="s">
        <v>270</v>
      </c>
      <c r="C88" s="1" t="s">
        <v>175</v>
      </c>
      <c r="D88" s="1" t="s">
        <v>612</v>
      </c>
      <c r="E88" s="13">
        <f t="shared" si="1"/>
        <v>45.435114635291725</v>
      </c>
      <c r="F88" s="11" t="s">
        <v>70</v>
      </c>
      <c r="G88" s="11" t="s">
        <v>69</v>
      </c>
      <c r="H88" s="11" t="s">
        <v>69</v>
      </c>
      <c r="I88" s="11" t="s">
        <v>69</v>
      </c>
      <c r="J88" s="11" t="s">
        <v>69</v>
      </c>
      <c r="K88" s="14"/>
      <c r="L88" s="14"/>
      <c r="M88" s="11"/>
      <c r="N88" s="12"/>
      <c r="O88" s="11"/>
      <c r="P88" s="11"/>
      <c r="Q88" s="1">
        <v>84</v>
      </c>
      <c r="R88" s="1"/>
      <c r="S88" s="3">
        <f>INDEX(Locations!$D$6:$D$455,MATCH(B88,Locations!$A$6:$A$455,0))</f>
        <v>42.729510964141198</v>
      </c>
      <c r="T88" s="3">
        <f>INDEX(Locations!$E$6:$E$455,MATCH(B88,Locations!$A$6:$A$455,0))</f>
        <v>-73.676498399201805</v>
      </c>
      <c r="U88" s="3">
        <f>INDEX(Locations!$D$6:$D$455,MATCH(C88,Locations!$A$6:$A$455,0))</f>
        <v>42.729899720271298</v>
      </c>
      <c r="V88" s="3">
        <f>INDEX(Locations!$E$6:$E$455,MATCH(C88,Locations!$A$6:$A$455,0))</f>
        <v>-73.676669675731205</v>
      </c>
    </row>
    <row r="89" spans="1:22" ht="23.1" customHeight="1">
      <c r="A89" s="1" t="s">
        <v>696</v>
      </c>
      <c r="B89" s="1" t="s">
        <v>270</v>
      </c>
      <c r="C89" s="1" t="s">
        <v>258</v>
      </c>
      <c r="D89" s="1" t="s">
        <v>612</v>
      </c>
      <c r="E89" s="13">
        <f t="shared" si="1"/>
        <v>68.872160720018726</v>
      </c>
      <c r="F89" s="11" t="s">
        <v>70</v>
      </c>
      <c r="G89" s="11" t="s">
        <v>69</v>
      </c>
      <c r="H89" s="11" t="s">
        <v>69</v>
      </c>
      <c r="I89" s="11" t="s">
        <v>69</v>
      </c>
      <c r="J89" s="11" t="s">
        <v>69</v>
      </c>
      <c r="K89" s="14"/>
      <c r="L89" s="14"/>
      <c r="M89" s="11"/>
      <c r="N89" s="12"/>
      <c r="O89" s="11"/>
      <c r="P89" s="11"/>
      <c r="Q89" s="1">
        <v>85</v>
      </c>
      <c r="R89" s="1"/>
      <c r="S89" s="3">
        <f>INDEX(Locations!$D$6:$D$455,MATCH(B89,Locations!$A$6:$A$455,0))</f>
        <v>42.729510964141198</v>
      </c>
      <c r="T89" s="3">
        <f>INDEX(Locations!$E$6:$E$455,MATCH(B89,Locations!$A$6:$A$455,0))</f>
        <v>-73.676498399201805</v>
      </c>
      <c r="U89" s="3">
        <f>INDEX(Locations!$D$6:$D$455,MATCH(C89,Locations!$A$6:$A$455,0))</f>
        <v>42.729248875148599</v>
      </c>
      <c r="V89" s="3">
        <f>INDEX(Locations!$E$6:$E$455,MATCH(C89,Locations!$A$6:$A$455,0))</f>
        <v>-73.675734413568804</v>
      </c>
    </row>
    <row r="90" spans="1:22" ht="23.1" customHeight="1">
      <c r="A90" s="1" t="s">
        <v>697</v>
      </c>
      <c r="B90" s="1" t="s">
        <v>167</v>
      </c>
      <c r="C90" s="1" t="s">
        <v>271</v>
      </c>
      <c r="D90" s="1" t="s">
        <v>667</v>
      </c>
      <c r="E90" s="13">
        <f t="shared" si="1"/>
        <v>34.235913247773162</v>
      </c>
      <c r="F90" s="11" t="s">
        <v>70</v>
      </c>
      <c r="G90" s="11" t="s">
        <v>69</v>
      </c>
      <c r="H90" s="11" t="s">
        <v>69</v>
      </c>
      <c r="I90" s="11" t="s">
        <v>69</v>
      </c>
      <c r="J90" s="11" t="s">
        <v>69</v>
      </c>
      <c r="K90" s="14"/>
      <c r="L90" s="14"/>
      <c r="M90" s="11"/>
      <c r="N90" s="12"/>
      <c r="O90" s="11"/>
      <c r="P90" s="11"/>
      <c r="Q90" s="1">
        <v>86</v>
      </c>
      <c r="R90" s="1"/>
      <c r="S90" s="3">
        <f>INDEX(Locations!$D$6:$D$455,MATCH(B90,Locations!$A$6:$A$455,0))</f>
        <v>42.730132108819497</v>
      </c>
      <c r="T90" s="3">
        <f>INDEX(Locations!$E$6:$E$455,MATCH(B90,Locations!$A$6:$A$455,0))</f>
        <v>-73.677722535303204</v>
      </c>
      <c r="U90" s="3">
        <f>INDEX(Locations!$D$6:$D$455,MATCH(C90,Locations!$A$6:$A$455,0))</f>
        <v>42.730282287448297</v>
      </c>
      <c r="V90" s="3">
        <f>INDEX(Locations!$E$6:$E$455,MATCH(C90,Locations!$A$6:$A$455,0))</f>
        <v>-73.6780884443003</v>
      </c>
    </row>
    <row r="91" spans="1:22" ht="23.1" customHeight="1">
      <c r="A91" s="1" t="s">
        <v>698</v>
      </c>
      <c r="B91" s="1" t="s">
        <v>272</v>
      </c>
      <c r="C91" s="1" t="s">
        <v>271</v>
      </c>
      <c r="D91" s="1" t="s">
        <v>612</v>
      </c>
      <c r="E91" s="13">
        <f t="shared" si="1"/>
        <v>26.55198050748518</v>
      </c>
      <c r="F91" s="11" t="s">
        <v>70</v>
      </c>
      <c r="G91" s="11" t="s">
        <v>69</v>
      </c>
      <c r="H91" s="11" t="s">
        <v>69</v>
      </c>
      <c r="I91" s="11" t="s">
        <v>69</v>
      </c>
      <c r="J91" s="11" t="s">
        <v>69</v>
      </c>
      <c r="K91" s="14"/>
      <c r="L91" s="14"/>
      <c r="M91" s="11"/>
      <c r="N91" s="12"/>
      <c r="O91" s="11"/>
      <c r="P91" s="11"/>
      <c r="Q91" s="1">
        <v>87</v>
      </c>
      <c r="R91" s="1"/>
      <c r="S91" s="3">
        <f>INDEX(Locations!$D$6:$D$455,MATCH(B91,Locations!$A$6:$A$455,0))</f>
        <v>42.730517937639</v>
      </c>
      <c r="T91" s="3">
        <f>INDEX(Locations!$E$6:$E$455,MATCH(B91,Locations!$A$6:$A$455,0))</f>
        <v>-73.678035920287996</v>
      </c>
      <c r="U91" s="3">
        <f>INDEX(Locations!$D$6:$D$455,MATCH(C91,Locations!$A$6:$A$455,0))</f>
        <v>42.730282287448297</v>
      </c>
      <c r="V91" s="3">
        <f>INDEX(Locations!$E$6:$E$455,MATCH(C91,Locations!$A$6:$A$455,0))</f>
        <v>-73.6780884443003</v>
      </c>
    </row>
    <row r="92" spans="1:22" ht="23.1" customHeight="1">
      <c r="A92" s="1" t="s">
        <v>699</v>
      </c>
      <c r="B92" s="1" t="s">
        <v>273</v>
      </c>
      <c r="C92" s="1" t="s">
        <v>271</v>
      </c>
      <c r="D92" s="1" t="s">
        <v>612</v>
      </c>
      <c r="E92" s="13">
        <f t="shared" si="1"/>
        <v>45.90328481094059</v>
      </c>
      <c r="F92" s="11" t="s">
        <v>70</v>
      </c>
      <c r="G92" s="11" t="s">
        <v>69</v>
      </c>
      <c r="H92" s="11" t="s">
        <v>69</v>
      </c>
      <c r="I92" s="11" t="s">
        <v>69</v>
      </c>
      <c r="J92" s="11" t="s">
        <v>69</v>
      </c>
      <c r="K92" s="14"/>
      <c r="L92" s="14"/>
      <c r="M92" s="11"/>
      <c r="N92" s="12"/>
      <c r="O92" s="11"/>
      <c r="P92" s="11"/>
      <c r="Q92" s="1">
        <v>88</v>
      </c>
      <c r="R92" s="1"/>
      <c r="S92" s="3">
        <f>INDEX(Locations!$D$6:$D$455,MATCH(B92,Locations!$A$6:$A$455,0))</f>
        <v>42.730012151863797</v>
      </c>
      <c r="T92" s="3">
        <f>INDEX(Locations!$E$6:$E$455,MATCH(B92,Locations!$A$6:$A$455,0))</f>
        <v>-73.6785134113086</v>
      </c>
      <c r="U92" s="3">
        <f>INDEX(Locations!$D$6:$D$455,MATCH(C92,Locations!$A$6:$A$455,0))</f>
        <v>42.730282287448297</v>
      </c>
      <c r="V92" s="3">
        <f>INDEX(Locations!$E$6:$E$455,MATCH(C92,Locations!$A$6:$A$455,0))</f>
        <v>-73.6780884443003</v>
      </c>
    </row>
    <row r="93" spans="1:22" ht="23.1" customHeight="1">
      <c r="A93" s="1" t="s">
        <v>700</v>
      </c>
      <c r="B93" s="1" t="s">
        <v>273</v>
      </c>
      <c r="C93" s="1" t="s">
        <v>274</v>
      </c>
      <c r="D93" s="1" t="s">
        <v>667</v>
      </c>
      <c r="E93" s="13">
        <f t="shared" si="1"/>
        <v>49.004633050131126</v>
      </c>
      <c r="F93" s="11" t="s">
        <v>70</v>
      </c>
      <c r="G93" s="11" t="s">
        <v>69</v>
      </c>
      <c r="H93" s="11" t="s">
        <v>69</v>
      </c>
      <c r="I93" s="11" t="s">
        <v>69</v>
      </c>
      <c r="J93" s="11" t="s">
        <v>69</v>
      </c>
      <c r="K93" s="14"/>
      <c r="L93" s="14"/>
      <c r="M93" s="11"/>
      <c r="N93" s="12"/>
      <c r="O93" s="11"/>
      <c r="P93" s="11"/>
      <c r="Q93" s="1">
        <v>89</v>
      </c>
      <c r="R93" s="1"/>
      <c r="S93" s="3">
        <f>INDEX(Locations!$D$6:$D$455,MATCH(B93,Locations!$A$6:$A$455,0))</f>
        <v>42.730012151863797</v>
      </c>
      <c r="T93" s="3">
        <f>INDEX(Locations!$E$6:$E$455,MATCH(B93,Locations!$A$6:$A$455,0))</f>
        <v>-73.6785134113086</v>
      </c>
      <c r="U93" s="3">
        <f>INDEX(Locations!$D$6:$D$455,MATCH(C93,Locations!$A$6:$A$455,0))</f>
        <v>42.729575336876202</v>
      </c>
      <c r="V93" s="3">
        <f>INDEX(Locations!$E$6:$E$455,MATCH(C93,Locations!$A$6:$A$455,0))</f>
        <v>-73.678592993145401</v>
      </c>
    </row>
    <row r="94" spans="1:22" ht="23.1" customHeight="1">
      <c r="A94" s="1" t="s">
        <v>701</v>
      </c>
      <c r="B94" s="1" t="s">
        <v>185</v>
      </c>
      <c r="C94" s="1" t="s">
        <v>274</v>
      </c>
      <c r="D94" s="1" t="s">
        <v>612</v>
      </c>
      <c r="E94" s="13">
        <f t="shared" si="1"/>
        <v>39.096004675671558</v>
      </c>
      <c r="F94" s="11" t="s">
        <v>70</v>
      </c>
      <c r="G94" s="11" t="s">
        <v>69</v>
      </c>
      <c r="H94" s="11" t="s">
        <v>69</v>
      </c>
      <c r="I94" s="11" t="s">
        <v>69</v>
      </c>
      <c r="J94" s="11" t="s">
        <v>69</v>
      </c>
      <c r="K94" s="14"/>
      <c r="L94" s="14"/>
      <c r="M94" s="11"/>
      <c r="N94" s="12"/>
      <c r="O94" s="11"/>
      <c r="P94" s="11"/>
      <c r="Q94" s="1">
        <v>90</v>
      </c>
      <c r="R94" s="1" t="s">
        <v>702</v>
      </c>
      <c r="S94" s="3">
        <f>INDEX(Locations!$D$6:$D$455,MATCH(B94,Locations!$A$6:$A$455,0))</f>
        <v>42.729784166103201</v>
      </c>
      <c r="T94" s="3">
        <f>INDEX(Locations!$E$6:$E$455,MATCH(B94,Locations!$A$6:$A$455,0))</f>
        <v>-73.678207915225997</v>
      </c>
      <c r="U94" s="3">
        <f>INDEX(Locations!$D$6:$D$455,MATCH(C94,Locations!$A$6:$A$455,0))</f>
        <v>42.729575336876202</v>
      </c>
      <c r="V94" s="3">
        <f>INDEX(Locations!$E$6:$E$455,MATCH(C94,Locations!$A$6:$A$455,0))</f>
        <v>-73.678592993145401</v>
      </c>
    </row>
    <row r="95" spans="1:22" ht="23.1" customHeight="1">
      <c r="A95" s="1" t="s">
        <v>703</v>
      </c>
      <c r="B95" s="1" t="s">
        <v>275</v>
      </c>
      <c r="C95" s="1" t="s">
        <v>276</v>
      </c>
      <c r="D95" s="1" t="s">
        <v>612</v>
      </c>
      <c r="E95" s="13">
        <f t="shared" si="1"/>
        <v>49.405792954295549</v>
      </c>
      <c r="F95" s="11" t="s">
        <v>70</v>
      </c>
      <c r="G95" s="11" t="s">
        <v>69</v>
      </c>
      <c r="H95" s="11" t="s">
        <v>69</v>
      </c>
      <c r="I95" s="11" t="s">
        <v>69</v>
      </c>
      <c r="J95" s="11" t="s">
        <v>69</v>
      </c>
      <c r="K95" s="14"/>
      <c r="L95" s="14"/>
      <c r="M95" s="11"/>
      <c r="N95" s="12"/>
      <c r="O95" s="11"/>
      <c r="P95" s="11"/>
      <c r="Q95" s="1">
        <v>91</v>
      </c>
      <c r="R95" s="1"/>
      <c r="S95" s="3">
        <f>INDEX(Locations!$D$6:$D$455,MATCH(B95,Locations!$A$6:$A$455,0))</f>
        <v>42.729379919644899</v>
      </c>
      <c r="T95" s="3">
        <f>INDEX(Locations!$E$6:$E$455,MATCH(B95,Locations!$A$6:$A$455,0))</f>
        <v>-73.677972254818599</v>
      </c>
      <c r="U95" s="3">
        <f>INDEX(Locations!$D$6:$D$455,MATCH(C95,Locations!$A$6:$A$455,0))</f>
        <v>42.7292948556737</v>
      </c>
      <c r="V95" s="3">
        <f>INDEX(Locations!$E$6:$E$455,MATCH(C95,Locations!$A$6:$A$455,0))</f>
        <v>-73.677378574316407</v>
      </c>
    </row>
    <row r="96" spans="1:22" ht="23.1" customHeight="1">
      <c r="A96" s="1" t="s">
        <v>704</v>
      </c>
      <c r="B96" s="1" t="s">
        <v>275</v>
      </c>
      <c r="C96" s="1" t="s">
        <v>277</v>
      </c>
      <c r="D96" s="1" t="s">
        <v>667</v>
      </c>
      <c r="E96" s="13">
        <f t="shared" si="1"/>
        <v>47.323598272363974</v>
      </c>
      <c r="F96" s="11" t="s">
        <v>70</v>
      </c>
      <c r="G96" s="11" t="s">
        <v>69</v>
      </c>
      <c r="H96" s="11" t="s">
        <v>69</v>
      </c>
      <c r="I96" s="11" t="s">
        <v>69</v>
      </c>
      <c r="J96" s="11" t="s">
        <v>69</v>
      </c>
      <c r="K96" s="14"/>
      <c r="L96" s="14"/>
      <c r="M96" s="11"/>
      <c r="N96" s="12"/>
      <c r="O96" s="11"/>
      <c r="P96" s="11"/>
      <c r="Q96" s="1">
        <v>92</v>
      </c>
      <c r="R96" s="1"/>
      <c r="S96" s="3">
        <f>INDEX(Locations!$D$6:$D$455,MATCH(B96,Locations!$A$6:$A$455,0))</f>
        <v>42.729379919644899</v>
      </c>
      <c r="T96" s="3">
        <f>INDEX(Locations!$E$6:$E$455,MATCH(B96,Locations!$A$6:$A$455,0))</f>
        <v>-73.677972254818599</v>
      </c>
      <c r="U96" s="3">
        <f>INDEX(Locations!$D$6:$D$455,MATCH(C96,Locations!$A$6:$A$455,0))</f>
        <v>42.729805239501303</v>
      </c>
      <c r="V96" s="3">
        <f>INDEX(Locations!$E$6:$E$455,MATCH(C96,Locations!$A$6:$A$455,0))</f>
        <v>-73.6779515635411</v>
      </c>
    </row>
    <row r="97" spans="1:22" ht="23.1" customHeight="1">
      <c r="A97" s="1" t="s">
        <v>705</v>
      </c>
      <c r="B97" s="1" t="s">
        <v>271</v>
      </c>
      <c r="C97" s="1" t="s">
        <v>277</v>
      </c>
      <c r="D97" s="1" t="s">
        <v>612</v>
      </c>
      <c r="E97" s="13">
        <f t="shared" si="1"/>
        <v>54.210741454059686</v>
      </c>
      <c r="F97" s="11" t="s">
        <v>70</v>
      </c>
      <c r="G97" s="11" t="s">
        <v>69</v>
      </c>
      <c r="H97" s="11" t="s">
        <v>69</v>
      </c>
      <c r="I97" s="11" t="s">
        <v>69</v>
      </c>
      <c r="J97" s="11" t="s">
        <v>69</v>
      </c>
      <c r="K97" s="14"/>
      <c r="L97" s="14"/>
      <c r="M97" s="11"/>
      <c r="N97" s="12"/>
      <c r="O97" s="11"/>
      <c r="P97" s="11"/>
      <c r="Q97" s="1">
        <v>93</v>
      </c>
      <c r="R97" s="1"/>
      <c r="S97" s="3">
        <f>INDEX(Locations!$D$6:$D$455,MATCH(B97,Locations!$A$6:$A$455,0))</f>
        <v>42.730282287448297</v>
      </c>
      <c r="T97" s="3">
        <f>INDEX(Locations!$E$6:$E$455,MATCH(B97,Locations!$A$6:$A$455,0))</f>
        <v>-73.6780884443003</v>
      </c>
      <c r="U97" s="3">
        <f>INDEX(Locations!$D$6:$D$455,MATCH(C97,Locations!$A$6:$A$455,0))</f>
        <v>42.729805239501303</v>
      </c>
      <c r="V97" s="3">
        <f>INDEX(Locations!$E$6:$E$455,MATCH(C97,Locations!$A$6:$A$455,0))</f>
        <v>-73.6779515635411</v>
      </c>
    </row>
    <row r="98" spans="1:22" ht="23.1" customHeight="1">
      <c r="A98" s="1" t="s">
        <v>706</v>
      </c>
      <c r="B98" s="1" t="s">
        <v>274</v>
      </c>
      <c r="C98" s="1" t="s">
        <v>149</v>
      </c>
      <c r="D98" s="1" t="s">
        <v>612</v>
      </c>
      <c r="E98" s="13">
        <f t="shared" si="1"/>
        <v>20.691699970998918</v>
      </c>
      <c r="F98" s="11" t="s">
        <v>70</v>
      </c>
      <c r="G98" s="11" t="s">
        <v>69</v>
      </c>
      <c r="H98" s="11" t="s">
        <v>69</v>
      </c>
      <c r="I98" s="11" t="s">
        <v>69</v>
      </c>
      <c r="J98" s="11" t="s">
        <v>69</v>
      </c>
      <c r="K98" s="14"/>
      <c r="L98" s="14"/>
      <c r="M98" s="11"/>
      <c r="N98" s="12"/>
      <c r="O98" s="11"/>
      <c r="P98" s="11"/>
      <c r="Q98" s="1">
        <v>94</v>
      </c>
      <c r="R98" s="1"/>
      <c r="S98" s="3">
        <f>INDEX(Locations!$D$6:$D$455,MATCH(B98,Locations!$A$6:$A$455,0))</f>
        <v>42.729575336876202</v>
      </c>
      <c r="T98" s="3">
        <f>INDEX(Locations!$E$6:$E$455,MATCH(B98,Locations!$A$6:$A$455,0))</f>
        <v>-73.678592993145401</v>
      </c>
      <c r="U98" s="3">
        <f>INDEX(Locations!$D$6:$D$455,MATCH(C98,Locations!$A$6:$A$455,0))</f>
        <v>42.729402545225099</v>
      </c>
      <c r="V98" s="3">
        <f>INDEX(Locations!$E$6:$E$455,MATCH(C98,Locations!$A$6:$A$455,0))</f>
        <v>-73.678687021337595</v>
      </c>
    </row>
    <row r="99" spans="1:22" ht="23.1" customHeight="1">
      <c r="A99" s="1" t="s">
        <v>707</v>
      </c>
      <c r="B99" s="1" t="s">
        <v>115</v>
      </c>
      <c r="C99" s="1" t="s">
        <v>278</v>
      </c>
      <c r="D99" s="1" t="s">
        <v>612</v>
      </c>
      <c r="E99" s="13">
        <f t="shared" si="1"/>
        <v>15.456242416351264</v>
      </c>
      <c r="F99" s="11" t="s">
        <v>70</v>
      </c>
      <c r="G99" s="11" t="s">
        <v>69</v>
      </c>
      <c r="H99" s="11" t="s">
        <v>69</v>
      </c>
      <c r="I99" s="11" t="s">
        <v>69</v>
      </c>
      <c r="J99" s="11" t="s">
        <v>69</v>
      </c>
      <c r="K99" s="14"/>
      <c r="L99" s="14"/>
      <c r="M99" s="11"/>
      <c r="N99" s="12"/>
      <c r="O99" s="11"/>
      <c r="P99" s="11"/>
      <c r="Q99" s="1">
        <v>95</v>
      </c>
      <c r="R99" s="1"/>
      <c r="S99" s="3">
        <f>INDEX(Locations!$D$6:$D$455,MATCH(B99,Locations!$A$6:$A$455,0))</f>
        <v>42.729471008566897</v>
      </c>
      <c r="T99" s="3">
        <f>INDEX(Locations!$E$6:$E$455,MATCH(B99,Locations!$A$6:$A$455,0))</f>
        <v>-73.679255392823407</v>
      </c>
      <c r="U99" s="3">
        <f>INDEX(Locations!$D$6:$D$455,MATCH(C99,Locations!$A$6:$A$455,0))</f>
        <v>42.72960982227</v>
      </c>
      <c r="V99" s="3">
        <f>INDEX(Locations!$E$6:$E$455,MATCH(C99,Locations!$A$6:$A$455,0))</f>
        <v>-73.679245564206795</v>
      </c>
    </row>
    <row r="100" spans="1:22" ht="23.1" customHeight="1">
      <c r="A100" s="1" t="s">
        <v>708</v>
      </c>
      <c r="B100" s="1" t="s">
        <v>274</v>
      </c>
      <c r="C100" s="1" t="s">
        <v>278</v>
      </c>
      <c r="D100" s="1" t="s">
        <v>612</v>
      </c>
      <c r="E100" s="13">
        <f t="shared" si="1"/>
        <v>53.43963928977216</v>
      </c>
      <c r="F100" s="11" t="s">
        <v>70</v>
      </c>
      <c r="G100" s="11" t="s">
        <v>69</v>
      </c>
      <c r="H100" s="11" t="s">
        <v>69</v>
      </c>
      <c r="I100" s="11" t="s">
        <v>69</v>
      </c>
      <c r="J100" s="11" t="s">
        <v>69</v>
      </c>
      <c r="K100" s="14"/>
      <c r="L100" s="14"/>
      <c r="M100" s="11"/>
      <c r="N100" s="12"/>
      <c r="O100" s="11"/>
      <c r="P100" s="11"/>
      <c r="Q100" s="1">
        <v>96</v>
      </c>
      <c r="R100" s="1"/>
      <c r="S100" s="3">
        <f>INDEX(Locations!$D$6:$D$455,MATCH(B100,Locations!$A$6:$A$455,0))</f>
        <v>42.729575336876202</v>
      </c>
      <c r="T100" s="3">
        <f>INDEX(Locations!$E$6:$E$455,MATCH(B100,Locations!$A$6:$A$455,0))</f>
        <v>-73.678592993145401</v>
      </c>
      <c r="U100" s="3">
        <f>INDEX(Locations!$D$6:$D$455,MATCH(C100,Locations!$A$6:$A$455,0))</f>
        <v>42.72960982227</v>
      </c>
      <c r="V100" s="3">
        <f>INDEX(Locations!$E$6:$E$455,MATCH(C100,Locations!$A$6:$A$455,0))</f>
        <v>-73.679245564206795</v>
      </c>
    </row>
    <row r="101" spans="1:22" ht="23.1" customHeight="1">
      <c r="A101" s="1" t="s">
        <v>709</v>
      </c>
      <c r="B101" s="1" t="s">
        <v>280</v>
      </c>
      <c r="C101" s="1" t="s">
        <v>279</v>
      </c>
      <c r="D101" s="1" t="s">
        <v>612</v>
      </c>
      <c r="E101" s="13">
        <f t="shared" si="1"/>
        <v>44.27270873509169</v>
      </c>
      <c r="F101" s="11" t="s">
        <v>70</v>
      </c>
      <c r="G101" s="11" t="s">
        <v>69</v>
      </c>
      <c r="H101" s="11" t="s">
        <v>69</v>
      </c>
      <c r="I101" s="11" t="s">
        <v>69</v>
      </c>
      <c r="J101" s="11" t="s">
        <v>69</v>
      </c>
      <c r="K101" s="14"/>
      <c r="L101" s="14"/>
      <c r="M101" s="11"/>
      <c r="N101" s="12"/>
      <c r="O101" s="11"/>
      <c r="P101" s="11"/>
      <c r="Q101" s="1">
        <v>97</v>
      </c>
      <c r="R101" s="1"/>
      <c r="S101" s="3">
        <f>INDEX(Locations!$D$6:$D$455,MATCH(B101,Locations!$A$6:$A$455,0))</f>
        <v>42.730667374345302</v>
      </c>
      <c r="T101" s="3">
        <f>INDEX(Locations!$E$6:$E$455,MATCH(B101,Locations!$A$6:$A$455,0))</f>
        <v>-73.679380853329306</v>
      </c>
      <c r="U101" s="3">
        <f>INDEX(Locations!$D$6:$D$455,MATCH(C101,Locations!$A$6:$A$455,0))</f>
        <v>42.731058208807902</v>
      </c>
      <c r="V101" s="3">
        <f>INDEX(Locations!$E$6:$E$455,MATCH(C101,Locations!$A$6:$A$455,0))</f>
        <v>-73.679277396941501</v>
      </c>
    </row>
    <row r="102" spans="1:22" ht="23.1" customHeight="1">
      <c r="A102" s="1" t="s">
        <v>710</v>
      </c>
      <c r="B102" s="1" t="s">
        <v>280</v>
      </c>
      <c r="C102" s="1" t="s">
        <v>281</v>
      </c>
      <c r="D102" s="1" t="s">
        <v>612</v>
      </c>
      <c r="E102" s="13">
        <f t="shared" si="1"/>
        <v>54.484376778008453</v>
      </c>
      <c r="F102" s="11" t="s">
        <v>70</v>
      </c>
      <c r="G102" s="11" t="s">
        <v>69</v>
      </c>
      <c r="H102" s="11" t="s">
        <v>69</v>
      </c>
      <c r="I102" s="11" t="s">
        <v>69</v>
      </c>
      <c r="J102" s="11" t="s">
        <v>69</v>
      </c>
      <c r="K102" s="14"/>
      <c r="L102" s="14"/>
      <c r="M102" s="11"/>
      <c r="N102" s="12"/>
      <c r="O102" s="11"/>
      <c r="P102" s="11"/>
      <c r="Q102" s="1">
        <v>98</v>
      </c>
      <c r="R102" s="1"/>
      <c r="S102" s="3">
        <f>INDEX(Locations!$D$6:$D$455,MATCH(B102,Locations!$A$6:$A$455,0))</f>
        <v>42.730667374345302</v>
      </c>
      <c r="T102" s="3">
        <f>INDEX(Locations!$E$6:$E$455,MATCH(B102,Locations!$A$6:$A$455,0))</f>
        <v>-73.679380853329306</v>
      </c>
      <c r="U102" s="3">
        <f>INDEX(Locations!$D$6:$D$455,MATCH(C102,Locations!$A$6:$A$455,0))</f>
        <v>42.730256998159497</v>
      </c>
      <c r="V102" s="3">
        <f>INDEX(Locations!$E$6:$E$455,MATCH(C102,Locations!$A$6:$A$455,0))</f>
        <v>-73.679016368516997</v>
      </c>
    </row>
    <row r="103" spans="1:22" ht="23.1" customHeight="1">
      <c r="A103" s="1" t="s">
        <v>711</v>
      </c>
      <c r="B103" s="1" t="s">
        <v>282</v>
      </c>
      <c r="C103" s="1" t="s">
        <v>281</v>
      </c>
      <c r="D103" s="1" t="s">
        <v>612</v>
      </c>
      <c r="E103" s="13">
        <f t="shared" si="1"/>
        <v>48.361793977921366</v>
      </c>
      <c r="F103" s="11" t="s">
        <v>70</v>
      </c>
      <c r="G103" s="11" t="s">
        <v>69</v>
      </c>
      <c r="H103" s="11" t="s">
        <v>69</v>
      </c>
      <c r="I103" s="11" t="s">
        <v>69</v>
      </c>
      <c r="J103" s="11" t="s">
        <v>69</v>
      </c>
      <c r="K103" s="14"/>
      <c r="L103" s="14"/>
      <c r="M103" s="11"/>
      <c r="N103" s="12"/>
      <c r="O103" s="11"/>
      <c r="P103" s="11"/>
      <c r="Q103" s="1">
        <v>99</v>
      </c>
      <c r="R103" s="1"/>
      <c r="S103" s="3">
        <f>INDEX(Locations!$D$6:$D$455,MATCH(B103,Locations!$A$6:$A$455,0))</f>
        <v>42.729897200551299</v>
      </c>
      <c r="T103" s="3">
        <f>INDEX(Locations!$E$6:$E$455,MATCH(B103,Locations!$A$6:$A$455,0))</f>
        <v>-73.6793490205946</v>
      </c>
      <c r="U103" s="3">
        <f>INDEX(Locations!$D$6:$D$455,MATCH(C103,Locations!$A$6:$A$455,0))</f>
        <v>42.730256998159497</v>
      </c>
      <c r="V103" s="3">
        <f>INDEX(Locations!$E$6:$E$455,MATCH(C103,Locations!$A$6:$A$455,0))</f>
        <v>-73.679016368516997</v>
      </c>
    </row>
    <row r="104" spans="1:22" ht="23.1" customHeight="1">
      <c r="A104" s="1" t="s">
        <v>712</v>
      </c>
      <c r="B104" s="1" t="s">
        <v>284</v>
      </c>
      <c r="C104" s="1" t="s">
        <v>283</v>
      </c>
      <c r="D104" s="1" t="s">
        <v>612</v>
      </c>
      <c r="E104" s="13">
        <f t="shared" si="1"/>
        <v>46.920865742323443</v>
      </c>
      <c r="F104" s="11" t="s">
        <v>70</v>
      </c>
      <c r="G104" s="11" t="s">
        <v>69</v>
      </c>
      <c r="H104" s="11" t="s">
        <v>69</v>
      </c>
      <c r="I104" s="11" t="s">
        <v>69</v>
      </c>
      <c r="J104" s="11" t="s">
        <v>69</v>
      </c>
      <c r="K104" s="14"/>
      <c r="L104" s="14"/>
      <c r="M104" s="11"/>
      <c r="N104" s="12"/>
      <c r="O104" s="11"/>
      <c r="P104" s="11"/>
      <c r="Q104" s="1">
        <v>100</v>
      </c>
      <c r="R104" s="1"/>
      <c r="S104" s="3">
        <f>INDEX(Locations!$D$6:$D$455,MATCH(B104,Locations!$A$6:$A$455,0))</f>
        <v>42.730365052393303</v>
      </c>
      <c r="T104" s="3">
        <f>INDEX(Locations!$E$6:$E$455,MATCH(B104,Locations!$A$6:$A$455,0))</f>
        <v>-73.6808690336768</v>
      </c>
      <c r="U104" s="3">
        <f>INDEX(Locations!$D$6:$D$455,MATCH(C104,Locations!$A$6:$A$455,0))</f>
        <v>42.729989161601303</v>
      </c>
      <c r="V104" s="3">
        <f>INDEX(Locations!$E$6:$E$455,MATCH(C104,Locations!$A$6:$A$455,0))</f>
        <v>-73.680608005252196</v>
      </c>
    </row>
    <row r="105" spans="1:22" ht="23.1" customHeight="1">
      <c r="A105" s="1" t="s">
        <v>713</v>
      </c>
      <c r="B105" s="1" t="s">
        <v>280</v>
      </c>
      <c r="C105" s="1" t="s">
        <v>287</v>
      </c>
      <c r="D105" s="1" t="s">
        <v>612</v>
      </c>
      <c r="E105" s="13">
        <f t="shared" si="1"/>
        <v>36.343546729929351</v>
      </c>
      <c r="F105" s="11" t="s">
        <v>70</v>
      </c>
      <c r="G105" s="11" t="s">
        <v>69</v>
      </c>
      <c r="H105" s="11" t="s">
        <v>69</v>
      </c>
      <c r="I105" s="11" t="s">
        <v>69</v>
      </c>
      <c r="J105" s="11" t="s">
        <v>69</v>
      </c>
      <c r="K105" s="14"/>
      <c r="L105" s="14"/>
      <c r="M105" s="11"/>
      <c r="N105" s="12"/>
      <c r="O105" s="11"/>
      <c r="P105" s="11"/>
      <c r="Q105" s="1">
        <v>101</v>
      </c>
      <c r="R105" s="1"/>
      <c r="S105" s="3">
        <f>INDEX(Locations!$D$6:$D$455,MATCH(B105,Locations!$A$6:$A$455,0))</f>
        <v>42.730667374345302</v>
      </c>
      <c r="T105" s="3">
        <f>INDEX(Locations!$E$6:$E$455,MATCH(B105,Locations!$A$6:$A$455,0))</f>
        <v>-73.679380853329306</v>
      </c>
      <c r="U105" s="3">
        <f>INDEX(Locations!$D$6:$D$455,MATCH(C105,Locations!$A$6:$A$455,0))</f>
        <v>42.730688065581496</v>
      </c>
      <c r="V105" s="3">
        <f>INDEX(Locations!$E$6:$E$455,MATCH(C105,Locations!$A$6:$A$455,0))</f>
        <v>-73.6798249199785</v>
      </c>
    </row>
    <row r="106" spans="1:22" ht="23.1" customHeight="1">
      <c r="A106" s="1" t="s">
        <v>714</v>
      </c>
      <c r="B106" s="1" t="s">
        <v>66</v>
      </c>
      <c r="C106" s="1" t="s">
        <v>287</v>
      </c>
      <c r="D106" s="1" t="s">
        <v>612</v>
      </c>
      <c r="E106" s="13">
        <f t="shared" si="1"/>
        <v>38.653807767437748</v>
      </c>
      <c r="F106" s="11" t="s">
        <v>70</v>
      </c>
      <c r="G106" s="11" t="s">
        <v>69</v>
      </c>
      <c r="H106" s="11" t="s">
        <v>69</v>
      </c>
      <c r="I106" s="11" t="s">
        <v>69</v>
      </c>
      <c r="J106" s="11" t="s">
        <v>69</v>
      </c>
      <c r="K106" s="14"/>
      <c r="L106" s="14"/>
      <c r="M106" s="11"/>
      <c r="N106" s="12"/>
      <c r="O106" s="11"/>
      <c r="P106" s="11"/>
      <c r="Q106" s="1">
        <v>102</v>
      </c>
      <c r="R106" s="1"/>
      <c r="S106" s="3">
        <f>INDEX(Locations!$D$6:$D$455,MATCH(B106,Locations!$A$6:$A$455,0))</f>
        <v>42.730352730494197</v>
      </c>
      <c r="T106" s="3">
        <f>INDEX(Locations!$E$6:$E$455,MATCH(B106,Locations!$A$6:$A$455,0))</f>
        <v>-73.679949628352404</v>
      </c>
      <c r="U106" s="3">
        <f>INDEX(Locations!$D$6:$D$455,MATCH(C106,Locations!$A$6:$A$455,0))</f>
        <v>42.730688065581496</v>
      </c>
      <c r="V106" s="3">
        <f>INDEX(Locations!$E$6:$E$455,MATCH(C106,Locations!$A$6:$A$455,0))</f>
        <v>-73.6798249199785</v>
      </c>
    </row>
    <row r="107" spans="1:22" ht="23.1" customHeight="1">
      <c r="A107" s="1" t="s">
        <v>715</v>
      </c>
      <c r="B107" s="1" t="s">
        <v>177</v>
      </c>
      <c r="C107" s="1" t="s">
        <v>287</v>
      </c>
      <c r="D107" s="1" t="s">
        <v>612</v>
      </c>
      <c r="E107" s="13">
        <f t="shared" si="1"/>
        <v>24.514056055475322</v>
      </c>
      <c r="F107" s="11" t="s">
        <v>70</v>
      </c>
      <c r="G107" s="11" t="s">
        <v>69</v>
      </c>
      <c r="H107" s="11" t="s">
        <v>69</v>
      </c>
      <c r="I107" s="11" t="s">
        <v>69</v>
      </c>
      <c r="J107" s="11" t="s">
        <v>69</v>
      </c>
      <c r="K107" s="14"/>
      <c r="L107" s="14"/>
      <c r="M107" s="11"/>
      <c r="N107" s="12"/>
      <c r="O107" s="11"/>
      <c r="P107" s="11"/>
      <c r="Q107" s="1">
        <v>103</v>
      </c>
      <c r="R107" s="1"/>
      <c r="S107" s="3">
        <f>INDEX(Locations!$D$6:$D$455,MATCH(B107,Locations!$A$6:$A$455,0))</f>
        <v>42.730901726716802</v>
      </c>
      <c r="T107" s="3">
        <f>INDEX(Locations!$E$6:$E$455,MATCH(B107,Locations!$A$6:$A$455,0))</f>
        <v>-73.679750957939603</v>
      </c>
      <c r="U107" s="3">
        <f>INDEX(Locations!$D$6:$D$455,MATCH(C107,Locations!$A$6:$A$455,0))</f>
        <v>42.730688065581496</v>
      </c>
      <c r="V107" s="3">
        <f>INDEX(Locations!$E$6:$E$455,MATCH(C107,Locations!$A$6:$A$455,0))</f>
        <v>-73.6798249199785</v>
      </c>
    </row>
    <row r="108" spans="1:22" ht="23.1" customHeight="1">
      <c r="A108" s="1" t="s">
        <v>716</v>
      </c>
      <c r="B108" s="1" t="s">
        <v>285</v>
      </c>
      <c r="C108" s="1" t="s">
        <v>287</v>
      </c>
      <c r="D108" s="1" t="s">
        <v>612</v>
      </c>
      <c r="E108" s="13">
        <f t="shared" si="1"/>
        <v>41.699642749374476</v>
      </c>
      <c r="F108" s="11" t="s">
        <v>70</v>
      </c>
      <c r="G108" s="11" t="s">
        <v>69</v>
      </c>
      <c r="H108" s="11" t="s">
        <v>69</v>
      </c>
      <c r="I108" s="11" t="s">
        <v>69</v>
      </c>
      <c r="J108" s="11" t="s">
        <v>69</v>
      </c>
      <c r="K108" s="14"/>
      <c r="L108" s="14"/>
      <c r="M108" s="11"/>
      <c r="N108" s="12"/>
      <c r="O108" s="11"/>
      <c r="P108" s="11"/>
      <c r="Q108" s="1">
        <v>104</v>
      </c>
      <c r="R108" s="1"/>
      <c r="S108" s="3">
        <f>INDEX(Locations!$D$6:$D$455,MATCH(B108,Locations!$A$6:$A$455,0))</f>
        <v>42.7307524383165</v>
      </c>
      <c r="T108" s="3">
        <f>INDEX(Locations!$E$6:$E$455,MATCH(B108,Locations!$A$6:$A$455,0))</f>
        <v>-73.680327877186798</v>
      </c>
      <c r="U108" s="3">
        <f>INDEX(Locations!$D$6:$D$455,MATCH(C108,Locations!$A$6:$A$455,0))</f>
        <v>42.730688065581496</v>
      </c>
      <c r="V108" s="3">
        <f>INDEX(Locations!$E$6:$E$455,MATCH(C108,Locations!$A$6:$A$455,0))</f>
        <v>-73.6798249199785</v>
      </c>
    </row>
    <row r="109" spans="1:22" ht="23.1" customHeight="1">
      <c r="A109" s="1" t="s">
        <v>717</v>
      </c>
      <c r="B109" s="1" t="s">
        <v>282</v>
      </c>
      <c r="C109" s="1" t="s">
        <v>289</v>
      </c>
      <c r="D109" s="1" t="s">
        <v>612</v>
      </c>
      <c r="E109" s="13">
        <f t="shared" si="1"/>
        <v>28.424037722986398</v>
      </c>
      <c r="F109" s="11" t="s">
        <v>70</v>
      </c>
      <c r="G109" s="11" t="s">
        <v>69</v>
      </c>
      <c r="H109" s="11" t="s">
        <v>69</v>
      </c>
      <c r="I109" s="11" t="s">
        <v>69</v>
      </c>
      <c r="J109" s="11" t="s">
        <v>69</v>
      </c>
      <c r="K109" s="14"/>
      <c r="L109" s="14"/>
      <c r="M109" s="11"/>
      <c r="N109" s="12"/>
      <c r="O109" s="11"/>
      <c r="P109" s="11"/>
      <c r="Q109" s="1">
        <v>105</v>
      </c>
      <c r="R109" s="1"/>
      <c r="S109" s="3">
        <f>INDEX(Locations!$D$6:$D$455,MATCH(B109,Locations!$A$6:$A$455,0))</f>
        <v>42.729897200551299</v>
      </c>
      <c r="T109" s="3">
        <f>INDEX(Locations!$E$6:$E$455,MATCH(B109,Locations!$A$6:$A$455,0))</f>
        <v>-73.6793490205946</v>
      </c>
      <c r="U109" s="3">
        <f>INDEX(Locations!$D$6:$D$455,MATCH(C109,Locations!$A$6:$A$455,0))</f>
        <v>42.729916742274398</v>
      </c>
      <c r="V109" s="3">
        <f>INDEX(Locations!$E$6:$E$455,MATCH(C109,Locations!$A$6:$A$455,0))</f>
        <v>-73.679695997402902</v>
      </c>
    </row>
    <row r="110" spans="1:22" ht="23.1" customHeight="1">
      <c r="A110" s="1" t="s">
        <v>718</v>
      </c>
      <c r="B110" s="1" t="s">
        <v>283</v>
      </c>
      <c r="C110" s="1" t="s">
        <v>289</v>
      </c>
      <c r="D110" s="1" t="s">
        <v>612</v>
      </c>
      <c r="E110" s="13">
        <f t="shared" si="1"/>
        <v>74.92618596244165</v>
      </c>
      <c r="F110" s="11" t="s">
        <v>70</v>
      </c>
      <c r="G110" s="11" t="s">
        <v>69</v>
      </c>
      <c r="H110" s="11" t="s">
        <v>69</v>
      </c>
      <c r="I110" s="11" t="s">
        <v>69</v>
      </c>
      <c r="J110" s="11" t="s">
        <v>69</v>
      </c>
      <c r="K110" s="14"/>
      <c r="L110" s="14"/>
      <c r="M110" s="11"/>
      <c r="N110" s="12"/>
      <c r="O110" s="11"/>
      <c r="P110" s="11"/>
      <c r="Q110" s="1">
        <v>106</v>
      </c>
      <c r="R110" s="1"/>
      <c r="S110" s="3">
        <f>INDEX(Locations!$D$6:$D$455,MATCH(B110,Locations!$A$6:$A$455,0))</f>
        <v>42.729989161601303</v>
      </c>
      <c r="T110" s="3">
        <f>INDEX(Locations!$E$6:$E$455,MATCH(B110,Locations!$A$6:$A$455,0))</f>
        <v>-73.680608005252196</v>
      </c>
      <c r="U110" s="3">
        <f>INDEX(Locations!$D$6:$D$455,MATCH(C110,Locations!$A$6:$A$455,0))</f>
        <v>42.729916742274398</v>
      </c>
      <c r="V110" s="3">
        <f>INDEX(Locations!$E$6:$E$455,MATCH(C110,Locations!$A$6:$A$455,0))</f>
        <v>-73.679695997402902</v>
      </c>
    </row>
    <row r="111" spans="1:22" ht="23.1" customHeight="1">
      <c r="A111" s="1" t="s">
        <v>719</v>
      </c>
      <c r="B111" s="1" t="s">
        <v>278</v>
      </c>
      <c r="C111" s="1" t="s">
        <v>288</v>
      </c>
      <c r="D111" s="1" t="s">
        <v>612</v>
      </c>
      <c r="E111" s="13">
        <f t="shared" si="1"/>
        <v>34.017990494891443</v>
      </c>
      <c r="F111" s="11" t="s">
        <v>70</v>
      </c>
      <c r="G111" s="11" t="s">
        <v>69</v>
      </c>
      <c r="H111" s="11" t="s">
        <v>69</v>
      </c>
      <c r="I111" s="11" t="s">
        <v>69</v>
      </c>
      <c r="J111" s="11" t="s">
        <v>69</v>
      </c>
      <c r="K111" s="14"/>
      <c r="L111" s="14"/>
      <c r="M111" s="11"/>
      <c r="N111" s="12"/>
      <c r="O111" s="11"/>
      <c r="P111" s="11"/>
      <c r="Q111" s="1">
        <v>107</v>
      </c>
      <c r="R111" s="1"/>
      <c r="S111" s="3">
        <f>INDEX(Locations!$D$6:$D$455,MATCH(B111,Locations!$A$6:$A$455,0))</f>
        <v>42.72960982227</v>
      </c>
      <c r="T111" s="3">
        <f>INDEX(Locations!$E$6:$E$455,MATCH(B111,Locations!$A$6:$A$455,0))</f>
        <v>-73.679245564206795</v>
      </c>
      <c r="U111" s="3">
        <f>INDEX(Locations!$D$6:$D$455,MATCH(C111,Locations!$A$6:$A$455,0))</f>
        <v>42.729644307663797</v>
      </c>
      <c r="V111" s="3">
        <f>INDEX(Locations!$E$6:$E$455,MATCH(C111,Locations!$A$6:$A$455,0))</f>
        <v>-73.679659389758001</v>
      </c>
    </row>
    <row r="112" spans="1:22" ht="23.1" customHeight="1">
      <c r="A112" s="1" t="s">
        <v>720</v>
      </c>
      <c r="B112" s="1" t="s">
        <v>290</v>
      </c>
      <c r="C112" s="1" t="s">
        <v>288</v>
      </c>
      <c r="D112" s="1" t="s">
        <v>612</v>
      </c>
      <c r="E112" s="13">
        <f t="shared" si="1"/>
        <v>40.936577044076245</v>
      </c>
      <c r="F112" s="11" t="s">
        <v>70</v>
      </c>
      <c r="G112" s="11" t="s">
        <v>69</v>
      </c>
      <c r="H112" s="11" t="s">
        <v>69</v>
      </c>
      <c r="I112" s="11" t="s">
        <v>69</v>
      </c>
      <c r="J112" s="11" t="s">
        <v>69</v>
      </c>
      <c r="K112" s="14"/>
      <c r="L112" s="14"/>
      <c r="M112" s="11"/>
      <c r="N112" s="12"/>
      <c r="O112" s="11"/>
      <c r="P112" s="11"/>
      <c r="Q112" s="1">
        <v>108</v>
      </c>
      <c r="R112" s="1"/>
      <c r="S112" s="3">
        <f>INDEX(Locations!$D$6:$D$455,MATCH(B112,Locations!$A$6:$A$455,0))</f>
        <v>42.729684540623097</v>
      </c>
      <c r="T112" s="3">
        <f>INDEX(Locations!$E$6:$E$455,MATCH(B112,Locations!$A$6:$A$455,0))</f>
        <v>-73.680157572056103</v>
      </c>
      <c r="U112" s="3">
        <f>INDEX(Locations!$D$6:$D$455,MATCH(C112,Locations!$A$6:$A$455,0))</f>
        <v>42.729644307663797</v>
      </c>
      <c r="V112" s="3">
        <f>INDEX(Locations!$E$6:$E$455,MATCH(C112,Locations!$A$6:$A$455,0))</f>
        <v>-73.679659389758001</v>
      </c>
    </row>
    <row r="113" spans="1:22" ht="23.1" customHeight="1">
      <c r="A113" s="1" t="s">
        <v>721</v>
      </c>
      <c r="B113" s="1" t="s">
        <v>290</v>
      </c>
      <c r="C113" s="1" t="s">
        <v>143</v>
      </c>
      <c r="D113" s="1" t="s">
        <v>612</v>
      </c>
      <c r="E113" s="13">
        <f t="shared" si="1"/>
        <v>9.4596757234194104</v>
      </c>
      <c r="F113" s="11" t="s">
        <v>70</v>
      </c>
      <c r="G113" s="11" t="s">
        <v>69</v>
      </c>
      <c r="H113" s="11" t="s">
        <v>69</v>
      </c>
      <c r="I113" s="11" t="s">
        <v>69</v>
      </c>
      <c r="J113" s="11" t="s">
        <v>69</v>
      </c>
      <c r="K113" s="14"/>
      <c r="L113" s="14"/>
      <c r="M113" s="11"/>
      <c r="N113" s="12"/>
      <c r="O113" s="11"/>
      <c r="P113" s="11"/>
      <c r="Q113" s="1">
        <v>109</v>
      </c>
      <c r="R113" s="1"/>
      <c r="S113" s="3">
        <f>INDEX(Locations!$D$6:$D$455,MATCH(B113,Locations!$A$6:$A$455,0))</f>
        <v>42.729684540623097</v>
      </c>
      <c r="T113" s="3">
        <f>INDEX(Locations!$E$6:$E$455,MATCH(B113,Locations!$A$6:$A$455,0))</f>
        <v>-73.680157572056103</v>
      </c>
      <c r="U113" s="3">
        <f>INDEX(Locations!$D$6:$D$455,MATCH(C113,Locations!$A$6:$A$455,0))</f>
        <v>42.729602379214398</v>
      </c>
      <c r="V113" s="3">
        <f>INDEX(Locations!$E$6:$E$455,MATCH(C113,Locations!$A$6:$A$455,0))</f>
        <v>-73.680187611479596</v>
      </c>
    </row>
    <row r="114" spans="1:22" ht="23.1" customHeight="1">
      <c r="A114" s="1" t="s">
        <v>722</v>
      </c>
      <c r="B114" s="1" t="s">
        <v>291</v>
      </c>
      <c r="C114" s="1" t="s">
        <v>290</v>
      </c>
      <c r="D114" s="1" t="s">
        <v>612</v>
      </c>
      <c r="E114" s="13">
        <f t="shared" si="1"/>
        <v>66.569049834099019</v>
      </c>
      <c r="F114" s="11" t="s">
        <v>70</v>
      </c>
      <c r="G114" s="11" t="s">
        <v>69</v>
      </c>
      <c r="H114" s="11" t="s">
        <v>69</v>
      </c>
      <c r="I114" s="11" t="s">
        <v>69</v>
      </c>
      <c r="J114" s="11" t="s">
        <v>69</v>
      </c>
      <c r="K114" s="14"/>
      <c r="L114" s="14"/>
      <c r="M114" s="11"/>
      <c r="N114" s="12"/>
      <c r="O114" s="11"/>
      <c r="P114" s="11"/>
      <c r="Q114" s="1">
        <v>110</v>
      </c>
      <c r="R114" s="1"/>
      <c r="S114" s="3">
        <f>INDEX(Locations!$D$6:$D$455,MATCH(B114,Locations!$A$6:$A$455,0))</f>
        <v>42.729790295830703</v>
      </c>
      <c r="T114" s="3">
        <f>INDEX(Locations!$E$6:$E$455,MATCH(B114,Locations!$A$6:$A$455,0))</f>
        <v>-73.680959756970694</v>
      </c>
      <c r="U114" s="3">
        <f>INDEX(Locations!$D$6:$D$455,MATCH(C114,Locations!$A$6:$A$455,0))</f>
        <v>42.729684540623097</v>
      </c>
      <c r="V114" s="3">
        <f>INDEX(Locations!$E$6:$E$455,MATCH(C114,Locations!$A$6:$A$455,0))</f>
        <v>-73.680157572056103</v>
      </c>
    </row>
    <row r="115" spans="1:22" ht="23.1" customHeight="1">
      <c r="A115" s="1" t="s">
        <v>723</v>
      </c>
      <c r="B115" s="1" t="s">
        <v>280</v>
      </c>
      <c r="C115" s="1" t="s">
        <v>292</v>
      </c>
      <c r="D115" s="1" t="s">
        <v>612</v>
      </c>
      <c r="E115" s="13">
        <f t="shared" si="1"/>
        <v>41.75192568736405</v>
      </c>
      <c r="F115" s="11" t="s">
        <v>70</v>
      </c>
      <c r="G115" s="11" t="s">
        <v>69</v>
      </c>
      <c r="H115" s="11" t="s">
        <v>69</v>
      </c>
      <c r="I115" s="11" t="s">
        <v>69</v>
      </c>
      <c r="J115" s="11" t="s">
        <v>69</v>
      </c>
      <c r="K115" s="14"/>
      <c r="L115" s="14"/>
      <c r="M115" s="11"/>
      <c r="N115" s="12"/>
      <c r="O115" s="11"/>
      <c r="P115" s="11"/>
      <c r="Q115" s="1">
        <v>111</v>
      </c>
      <c r="R115" s="1"/>
      <c r="S115" s="3">
        <f>INDEX(Locations!$D$6:$D$455,MATCH(B115,Locations!$A$6:$A$455,0))</f>
        <v>42.730667374345302</v>
      </c>
      <c r="T115" s="3">
        <f>INDEX(Locations!$E$6:$E$455,MATCH(B115,Locations!$A$6:$A$455,0))</f>
        <v>-73.679380853329306</v>
      </c>
      <c r="U115" s="3">
        <f>INDEX(Locations!$D$6:$D$455,MATCH(C115,Locations!$A$6:$A$455,0))</f>
        <v>42.730460461982702</v>
      </c>
      <c r="V115" s="3">
        <f>INDEX(Locations!$E$6:$E$455,MATCH(C115,Locations!$A$6:$A$455,0))</f>
        <v>-73.678954294684303</v>
      </c>
    </row>
    <row r="116" spans="1:22" ht="23.1" customHeight="1">
      <c r="A116" s="1" t="s">
        <v>724</v>
      </c>
      <c r="B116" s="1" t="s">
        <v>71</v>
      </c>
      <c r="C116" s="1" t="s">
        <v>292</v>
      </c>
      <c r="D116" s="1" t="s">
        <v>612</v>
      </c>
      <c r="E116" s="13">
        <f t="shared" si="1"/>
        <v>36.803521416123687</v>
      </c>
      <c r="F116" s="11" t="s">
        <v>70</v>
      </c>
      <c r="G116" s="11" t="s">
        <v>69</v>
      </c>
      <c r="H116" s="11" t="s">
        <v>69</v>
      </c>
      <c r="I116" s="11" t="s">
        <v>69</v>
      </c>
      <c r="J116" s="11" t="s">
        <v>69</v>
      </c>
      <c r="K116" s="14"/>
      <c r="L116" s="14"/>
      <c r="M116" s="11"/>
      <c r="N116" s="12"/>
      <c r="O116" s="11"/>
      <c r="P116" s="11"/>
      <c r="Q116" s="1">
        <v>112</v>
      </c>
      <c r="R116" s="1"/>
      <c r="S116" s="3">
        <f>INDEX(Locations!$D$6:$D$455,MATCH(B116,Locations!$A$6:$A$455,0))</f>
        <v>42.730784773659501</v>
      </c>
      <c r="T116" s="3">
        <f>INDEX(Locations!$E$6:$E$455,MATCH(B116,Locations!$A$6:$A$455,0))</f>
        <v>-73.678864289088295</v>
      </c>
      <c r="U116" s="3">
        <f>INDEX(Locations!$D$6:$D$455,MATCH(C116,Locations!$A$6:$A$455,0))</f>
        <v>42.730460461982702</v>
      </c>
      <c r="V116" s="3">
        <f>INDEX(Locations!$E$6:$E$455,MATCH(C116,Locations!$A$6:$A$455,0))</f>
        <v>-73.678954294684303</v>
      </c>
    </row>
    <row r="117" spans="1:22" ht="23.1" customHeight="1">
      <c r="A117" s="1" t="s">
        <v>725</v>
      </c>
      <c r="B117" s="1" t="s">
        <v>293</v>
      </c>
      <c r="C117" s="1" t="s">
        <v>292</v>
      </c>
      <c r="D117" s="1" t="s">
        <v>667</v>
      </c>
      <c r="E117" s="13">
        <f t="shared" si="1"/>
        <v>33.071275030211886</v>
      </c>
      <c r="F117" s="11" t="s">
        <v>70</v>
      </c>
      <c r="G117" s="11" t="s">
        <v>69</v>
      </c>
      <c r="H117" s="11" t="s">
        <v>69</v>
      </c>
      <c r="I117" s="11" t="s">
        <v>69</v>
      </c>
      <c r="J117" s="11" t="s">
        <v>69</v>
      </c>
      <c r="K117" s="14"/>
      <c r="L117" s="14"/>
      <c r="M117" s="11"/>
      <c r="N117" s="12"/>
      <c r="O117" s="11"/>
      <c r="P117" s="11"/>
      <c r="Q117" s="1">
        <v>113</v>
      </c>
      <c r="R117" s="1"/>
      <c r="S117" s="3">
        <f>INDEX(Locations!$D$6:$D$455,MATCH(B117,Locations!$A$6:$A$455,0))</f>
        <v>42.7304294251283</v>
      </c>
      <c r="T117" s="3">
        <f>INDEX(Locations!$E$6:$E$455,MATCH(B117,Locations!$A$6:$A$455,0))</f>
        <v>-73.678551610590304</v>
      </c>
      <c r="U117" s="3">
        <f>INDEX(Locations!$D$6:$D$455,MATCH(C117,Locations!$A$6:$A$455,0))</f>
        <v>42.730460461982702</v>
      </c>
      <c r="V117" s="3">
        <f>INDEX(Locations!$E$6:$E$455,MATCH(C117,Locations!$A$6:$A$455,0))</f>
        <v>-73.678954294684303</v>
      </c>
    </row>
    <row r="118" spans="1:22" ht="23.1" customHeight="1">
      <c r="A118" s="1" t="s">
        <v>726</v>
      </c>
      <c r="B118" s="1" t="s">
        <v>293</v>
      </c>
      <c r="C118" s="1" t="s">
        <v>271</v>
      </c>
      <c r="D118" s="1" t="s">
        <v>612</v>
      </c>
      <c r="E118" s="13">
        <f t="shared" si="1"/>
        <v>41.217180887835099</v>
      </c>
      <c r="F118" s="11" t="s">
        <v>70</v>
      </c>
      <c r="G118" s="11" t="s">
        <v>69</v>
      </c>
      <c r="H118" s="11" t="s">
        <v>69</v>
      </c>
      <c r="I118" s="11" t="s">
        <v>69</v>
      </c>
      <c r="J118" s="11" t="s">
        <v>69</v>
      </c>
      <c r="K118" s="14"/>
      <c r="L118" s="14"/>
      <c r="M118" s="11"/>
      <c r="N118" s="12"/>
      <c r="O118" s="11"/>
      <c r="P118" s="11"/>
      <c r="Q118" s="1">
        <v>114</v>
      </c>
      <c r="R118" s="1"/>
      <c r="S118" s="3">
        <f>INDEX(Locations!$D$6:$D$455,MATCH(B118,Locations!$A$6:$A$455,0))</f>
        <v>42.7304294251283</v>
      </c>
      <c r="T118" s="3">
        <f>INDEX(Locations!$E$6:$E$455,MATCH(B118,Locations!$A$6:$A$455,0))</f>
        <v>-73.678551610590304</v>
      </c>
      <c r="U118" s="3">
        <f>INDEX(Locations!$D$6:$D$455,MATCH(C118,Locations!$A$6:$A$455,0))</f>
        <v>42.730282287448297</v>
      </c>
      <c r="V118" s="3">
        <f>INDEX(Locations!$E$6:$E$455,MATCH(C118,Locations!$A$6:$A$455,0))</f>
        <v>-73.6780884443003</v>
      </c>
    </row>
    <row r="119" spans="1:22" ht="23.1" customHeight="1">
      <c r="A119" s="1" t="s">
        <v>727</v>
      </c>
      <c r="B119" s="1" t="s">
        <v>279</v>
      </c>
      <c r="C119" s="1" t="s">
        <v>294</v>
      </c>
      <c r="D119" s="1" t="s">
        <v>612</v>
      </c>
      <c r="E119" s="13">
        <f t="shared" si="1"/>
        <v>71.926058026013706</v>
      </c>
      <c r="F119" s="11" t="s">
        <v>70</v>
      </c>
      <c r="G119" s="11" t="s">
        <v>69</v>
      </c>
      <c r="H119" s="11" t="s">
        <v>69</v>
      </c>
      <c r="I119" s="11" t="s">
        <v>69</v>
      </c>
      <c r="J119" s="11" t="s">
        <v>69</v>
      </c>
      <c r="K119" s="14"/>
      <c r="L119" s="14"/>
      <c r="M119" s="11"/>
      <c r="N119" s="12"/>
      <c r="O119" s="11"/>
      <c r="P119" s="11"/>
      <c r="Q119" s="1">
        <v>115</v>
      </c>
      <c r="R119" s="1"/>
      <c r="S119" s="3">
        <f>INDEX(Locations!$D$6:$D$455,MATCH(B119,Locations!$A$6:$A$455,0))</f>
        <v>42.731058208807902</v>
      </c>
      <c r="T119" s="3">
        <f>INDEX(Locations!$E$6:$E$455,MATCH(B119,Locations!$A$6:$A$455,0))</f>
        <v>-73.679277396941501</v>
      </c>
      <c r="U119" s="3">
        <f>INDEX(Locations!$D$6:$D$455,MATCH(C119,Locations!$A$6:$A$455,0))</f>
        <v>42.730928313824698</v>
      </c>
      <c r="V119" s="3">
        <f>INDEX(Locations!$E$6:$E$455,MATCH(C119,Locations!$A$6:$A$455,0))</f>
        <v>-73.678414729831005</v>
      </c>
    </row>
    <row r="120" spans="1:22" ht="23.1" customHeight="1">
      <c r="A120" s="1" t="s">
        <v>728</v>
      </c>
      <c r="B120" s="1" t="s">
        <v>218</v>
      </c>
      <c r="C120" s="1" t="s">
        <v>294</v>
      </c>
      <c r="D120" s="1" t="s">
        <v>612</v>
      </c>
      <c r="E120" s="13">
        <f t="shared" si="1"/>
        <v>98.805617816883426</v>
      </c>
      <c r="F120" s="11" t="s">
        <v>70</v>
      </c>
      <c r="G120" s="11" t="s">
        <v>69</v>
      </c>
      <c r="H120" s="11" t="s">
        <v>69</v>
      </c>
      <c r="I120" s="11" t="s">
        <v>69</v>
      </c>
      <c r="J120" s="11" t="s">
        <v>69</v>
      </c>
      <c r="K120" s="14"/>
      <c r="L120" s="14"/>
      <c r="M120" s="11"/>
      <c r="N120" s="12"/>
      <c r="O120" s="11"/>
      <c r="P120" s="11"/>
      <c r="Q120" s="1">
        <v>116</v>
      </c>
      <c r="R120" s="1"/>
      <c r="S120" s="3">
        <f>INDEX(Locations!$D$6:$D$455,MATCH(B120,Locations!$A$6:$A$455,0))</f>
        <v>42.730770830526502</v>
      </c>
      <c r="T120" s="3">
        <f>INDEX(Locations!$E$6:$E$455,MATCH(B120,Locations!$A$6:$A$455,0))</f>
        <v>-73.677224185553101</v>
      </c>
      <c r="U120" s="3">
        <f>INDEX(Locations!$D$6:$D$455,MATCH(C120,Locations!$A$6:$A$455,0))</f>
        <v>42.730928313824698</v>
      </c>
      <c r="V120" s="3">
        <f>INDEX(Locations!$E$6:$E$455,MATCH(C120,Locations!$A$6:$A$455,0))</f>
        <v>-73.678414729831005</v>
      </c>
    </row>
    <row r="121" spans="1:22" ht="23.1" customHeight="1">
      <c r="A121" s="1" t="s">
        <v>729</v>
      </c>
      <c r="B121" s="1" t="s">
        <v>293</v>
      </c>
      <c r="C121" s="1" t="s">
        <v>294</v>
      </c>
      <c r="D121" s="1" t="s">
        <v>667</v>
      </c>
      <c r="E121" s="13">
        <f t="shared" si="1"/>
        <v>56.589306002009138</v>
      </c>
      <c r="F121" s="11" t="s">
        <v>70</v>
      </c>
      <c r="G121" s="11" t="s">
        <v>69</v>
      </c>
      <c r="H121" s="11" t="s">
        <v>69</v>
      </c>
      <c r="I121" s="11" t="s">
        <v>69</v>
      </c>
      <c r="J121" s="11" t="s">
        <v>69</v>
      </c>
      <c r="K121" s="14"/>
      <c r="L121" s="14"/>
      <c r="M121" s="11"/>
      <c r="N121" s="12"/>
      <c r="O121" s="11"/>
      <c r="P121" s="11"/>
      <c r="Q121" s="1">
        <v>117</v>
      </c>
      <c r="R121" s="1"/>
      <c r="S121" s="3">
        <f>INDEX(Locations!$D$6:$D$455,MATCH(B121,Locations!$A$6:$A$455,0))</f>
        <v>42.7304294251283</v>
      </c>
      <c r="T121" s="3">
        <f>INDEX(Locations!$E$6:$E$455,MATCH(B121,Locations!$A$6:$A$455,0))</f>
        <v>-73.678551610590304</v>
      </c>
      <c r="U121" s="3">
        <f>INDEX(Locations!$D$6:$D$455,MATCH(C121,Locations!$A$6:$A$455,0))</f>
        <v>42.730928313824698</v>
      </c>
      <c r="V121" s="3">
        <f>INDEX(Locations!$E$6:$E$455,MATCH(C121,Locations!$A$6:$A$455,0))</f>
        <v>-73.678414729831005</v>
      </c>
    </row>
    <row r="122" spans="1:22" ht="23.1" customHeight="1">
      <c r="A122" s="1" t="s">
        <v>730</v>
      </c>
      <c r="B122" s="1" t="s">
        <v>286</v>
      </c>
      <c r="C122" s="1" t="s">
        <v>295</v>
      </c>
      <c r="D122" s="1" t="s">
        <v>612</v>
      </c>
      <c r="E122" s="13">
        <f t="shared" si="1"/>
        <v>30.756013848606543</v>
      </c>
      <c r="F122" s="11" t="s">
        <v>70</v>
      </c>
      <c r="G122" s="11" t="s">
        <v>69</v>
      </c>
      <c r="H122" s="11" t="s">
        <v>69</v>
      </c>
      <c r="I122" s="11" t="s">
        <v>69</v>
      </c>
      <c r="J122" s="11" t="s">
        <v>69</v>
      </c>
      <c r="K122" s="14"/>
      <c r="L122" s="14"/>
      <c r="M122" s="11"/>
      <c r="N122" s="12"/>
      <c r="O122" s="11"/>
      <c r="P122" s="11"/>
      <c r="Q122" s="1">
        <v>118</v>
      </c>
      <c r="R122" s="1"/>
      <c r="S122" s="3">
        <f>INDEX(Locations!$D$6:$D$455,MATCH(B122,Locations!$A$6:$A$455,0))</f>
        <v>42.730816811051596</v>
      </c>
      <c r="T122" s="3">
        <f>INDEX(Locations!$E$6:$E$455,MATCH(B122,Locations!$A$6:$A$455,0))</f>
        <v>-73.680916782778894</v>
      </c>
      <c r="U122" s="3">
        <f>INDEX(Locations!$D$6:$D$455,MATCH(C122,Locations!$A$6:$A$455,0))</f>
        <v>42.730609898689004</v>
      </c>
      <c r="V122" s="3">
        <f>INDEX(Locations!$E$6:$E$455,MATCH(C122,Locations!$A$6:$A$455,0))</f>
        <v>-73.681166669746304</v>
      </c>
    </row>
    <row r="123" spans="1:22" ht="23.1" customHeight="1">
      <c r="A123" s="1" t="s">
        <v>731</v>
      </c>
      <c r="B123" s="1" t="s">
        <v>291</v>
      </c>
      <c r="C123" s="1" t="s">
        <v>296</v>
      </c>
      <c r="D123" s="1" t="s">
        <v>612</v>
      </c>
      <c r="E123" s="13">
        <f t="shared" si="1"/>
        <v>24.506863262203645</v>
      </c>
      <c r="F123" s="11" t="s">
        <v>70</v>
      </c>
      <c r="G123" s="11" t="s">
        <v>69</v>
      </c>
      <c r="H123" s="11" t="s">
        <v>69</v>
      </c>
      <c r="I123" s="11" t="s">
        <v>69</v>
      </c>
      <c r="J123" s="11" t="s">
        <v>69</v>
      </c>
      <c r="K123" s="14"/>
      <c r="L123" s="14"/>
      <c r="M123" s="11"/>
      <c r="N123" s="12"/>
      <c r="O123" s="11"/>
      <c r="P123" s="11"/>
      <c r="Q123" s="1">
        <v>119</v>
      </c>
      <c r="R123" s="1"/>
      <c r="S123" s="3">
        <f>INDEX(Locations!$D$6:$D$455,MATCH(B123,Locations!$A$6:$A$455,0))</f>
        <v>42.729790295830703</v>
      </c>
      <c r="T123" s="3">
        <f>INDEX(Locations!$E$6:$E$455,MATCH(B123,Locations!$A$6:$A$455,0))</f>
        <v>-73.680959756970694</v>
      </c>
      <c r="U123" s="3">
        <f>INDEX(Locations!$D$6:$D$455,MATCH(C123,Locations!$A$6:$A$455,0))</f>
        <v>42.730006404298202</v>
      </c>
      <c r="V123" s="3">
        <f>INDEX(Locations!$E$6:$E$455,MATCH(C123,Locations!$A$6:$A$455,0))</f>
        <v>-73.680900866411505</v>
      </c>
    </row>
    <row r="124" spans="1:22" ht="23.1" customHeight="1">
      <c r="A124" s="1" t="s">
        <v>732</v>
      </c>
      <c r="B124" s="1" t="s">
        <v>283</v>
      </c>
      <c r="C124" s="1" t="s">
        <v>296</v>
      </c>
      <c r="D124" s="1" t="s">
        <v>667</v>
      </c>
      <c r="E124" s="13">
        <f t="shared" si="1"/>
        <v>23.997404520453635</v>
      </c>
      <c r="F124" s="11" t="s">
        <v>70</v>
      </c>
      <c r="G124" s="11" t="s">
        <v>69</v>
      </c>
      <c r="H124" s="11" t="s">
        <v>69</v>
      </c>
      <c r="I124" s="11" t="s">
        <v>69</v>
      </c>
      <c r="J124" s="11" t="s">
        <v>69</v>
      </c>
      <c r="K124" s="14"/>
      <c r="L124" s="14"/>
      <c r="M124" s="11"/>
      <c r="N124" s="12"/>
      <c r="O124" s="11"/>
      <c r="P124" s="11"/>
      <c r="Q124" s="1">
        <v>120</v>
      </c>
      <c r="R124" s="1"/>
      <c r="S124" s="3">
        <f>INDEX(Locations!$D$6:$D$455,MATCH(B124,Locations!$A$6:$A$455,0))</f>
        <v>42.729989161601303</v>
      </c>
      <c r="T124" s="3">
        <f>INDEX(Locations!$E$6:$E$455,MATCH(B124,Locations!$A$6:$A$455,0))</f>
        <v>-73.680608005252196</v>
      </c>
      <c r="U124" s="3">
        <f>INDEX(Locations!$D$6:$D$455,MATCH(C124,Locations!$A$6:$A$455,0))</f>
        <v>42.730006404298202</v>
      </c>
      <c r="V124" s="3">
        <f>INDEX(Locations!$E$6:$E$455,MATCH(C124,Locations!$A$6:$A$455,0))</f>
        <v>-73.680900866411505</v>
      </c>
    </row>
    <row r="125" spans="1:22" ht="23.1" customHeight="1">
      <c r="A125" s="1" t="s">
        <v>733</v>
      </c>
      <c r="B125" s="1" t="s">
        <v>127</v>
      </c>
      <c r="C125" s="1" t="s">
        <v>296</v>
      </c>
      <c r="D125" s="1" t="s">
        <v>612</v>
      </c>
      <c r="E125" s="13">
        <f t="shared" si="1"/>
        <v>21.966398442591572</v>
      </c>
      <c r="F125" s="11" t="s">
        <v>70</v>
      </c>
      <c r="G125" s="11" t="s">
        <v>69</v>
      </c>
      <c r="H125" s="11" t="s">
        <v>69</v>
      </c>
      <c r="I125" s="11" t="s">
        <v>69</v>
      </c>
      <c r="J125" s="11" t="s">
        <v>69</v>
      </c>
      <c r="K125" s="14"/>
      <c r="L125" s="14"/>
      <c r="M125" s="11"/>
      <c r="N125" s="12"/>
      <c r="O125" s="11"/>
      <c r="P125" s="11"/>
      <c r="Q125" s="1">
        <v>121</v>
      </c>
      <c r="R125" s="1"/>
      <c r="S125" s="3">
        <f>INDEX(Locations!$D$6:$D$455,MATCH(B125,Locations!$A$6:$A$455,0))</f>
        <v>42.730018014374501</v>
      </c>
      <c r="T125" s="3">
        <f>INDEX(Locations!$E$6:$E$455,MATCH(B125,Locations!$A$6:$A$455,0))</f>
        <v>-73.681169336383604</v>
      </c>
      <c r="U125" s="3">
        <f>INDEX(Locations!$D$6:$D$455,MATCH(C125,Locations!$A$6:$A$455,0))</f>
        <v>42.730006404298202</v>
      </c>
      <c r="V125" s="3">
        <f>INDEX(Locations!$E$6:$E$455,MATCH(C125,Locations!$A$6:$A$455,0))</f>
        <v>-73.680900866411505</v>
      </c>
    </row>
    <row r="126" spans="1:22" ht="23.1" customHeight="1">
      <c r="A126" s="1" t="s">
        <v>734</v>
      </c>
      <c r="B126" s="1" t="s">
        <v>299</v>
      </c>
      <c r="C126" s="1" t="s">
        <v>298</v>
      </c>
      <c r="D126" s="1" t="s">
        <v>612</v>
      </c>
      <c r="E126" s="13">
        <f t="shared" si="1"/>
        <v>15.600518299704664</v>
      </c>
      <c r="F126" s="11" t="s">
        <v>70</v>
      </c>
      <c r="G126" s="11" t="s">
        <v>69</v>
      </c>
      <c r="H126" s="11" t="s">
        <v>69</v>
      </c>
      <c r="I126" s="11" t="s">
        <v>69</v>
      </c>
      <c r="J126" s="11" t="s">
        <v>69</v>
      </c>
      <c r="K126" s="14"/>
      <c r="L126" s="14"/>
      <c r="M126" s="11"/>
      <c r="N126" s="12"/>
      <c r="O126" s="11"/>
      <c r="P126" s="11"/>
      <c r="Q126" s="1">
        <v>122</v>
      </c>
      <c r="R126" s="1"/>
      <c r="S126" s="3">
        <f>INDEX(Locations!$D$6:$D$455,MATCH(B126,Locations!$A$6:$A$455,0))</f>
        <v>42.729724773582497</v>
      </c>
      <c r="T126" s="3">
        <f>INDEX(Locations!$E$6:$E$455,MATCH(B126,Locations!$A$6:$A$455,0))</f>
        <v>-73.681792182983301</v>
      </c>
      <c r="U126" s="3">
        <f>INDEX(Locations!$D$6:$D$455,MATCH(C126,Locations!$A$6:$A$455,0))</f>
        <v>42.729724773582497</v>
      </c>
      <c r="V126" s="3">
        <f>INDEX(Locations!$E$6:$E$455,MATCH(C126,Locations!$A$6:$A$455,0))</f>
        <v>-73.681601186574994</v>
      </c>
    </row>
    <row r="127" spans="1:22" ht="23.1" customHeight="1">
      <c r="A127" s="1" t="s">
        <v>735</v>
      </c>
      <c r="B127" s="1" t="s">
        <v>297</v>
      </c>
      <c r="C127" s="1" t="s">
        <v>298</v>
      </c>
      <c r="D127" s="1" t="s">
        <v>612</v>
      </c>
      <c r="E127" s="13">
        <f t="shared" si="1"/>
        <v>13.043773658889563</v>
      </c>
      <c r="F127" s="11" t="s">
        <v>70</v>
      </c>
      <c r="G127" s="11" t="s">
        <v>69</v>
      </c>
      <c r="H127" s="11" t="s">
        <v>69</v>
      </c>
      <c r="I127" s="11" t="s">
        <v>69</v>
      </c>
      <c r="J127" s="11" t="s">
        <v>69</v>
      </c>
      <c r="K127" s="14"/>
      <c r="L127" s="14"/>
      <c r="M127" s="11"/>
      <c r="N127" s="12"/>
      <c r="O127" s="11"/>
      <c r="P127" s="11"/>
      <c r="Q127" s="1">
        <v>123</v>
      </c>
      <c r="R127" s="1"/>
      <c r="S127" s="3">
        <f>INDEX(Locations!$D$6:$D$455,MATCH(B127,Locations!$A$6:$A$455,0))</f>
        <v>42.729839724895001</v>
      </c>
      <c r="T127" s="3">
        <f>INDEX(Locations!$E$6:$E$455,MATCH(B127,Locations!$A$6:$A$455,0))</f>
        <v>-73.6816330193097</v>
      </c>
      <c r="U127" s="3">
        <f>INDEX(Locations!$D$6:$D$455,MATCH(C127,Locations!$A$6:$A$455,0))</f>
        <v>42.729724773582497</v>
      </c>
      <c r="V127" s="3">
        <f>INDEX(Locations!$E$6:$E$455,MATCH(C127,Locations!$A$6:$A$455,0))</f>
        <v>-73.681601186574994</v>
      </c>
    </row>
    <row r="128" spans="1:22" ht="23.1" customHeight="1">
      <c r="A128" s="1" t="s">
        <v>736</v>
      </c>
      <c r="B128" s="1" t="s">
        <v>300</v>
      </c>
      <c r="C128" s="1" t="s">
        <v>299</v>
      </c>
      <c r="D128" s="1" t="s">
        <v>612</v>
      </c>
      <c r="E128" s="13">
        <f t="shared" si="1"/>
        <v>12.782002761608551</v>
      </c>
      <c r="F128" s="11" t="s">
        <v>70</v>
      </c>
      <c r="G128" s="11" t="s">
        <v>69</v>
      </c>
      <c r="H128" s="11" t="s">
        <v>69</v>
      </c>
      <c r="I128" s="11" t="s">
        <v>69</v>
      </c>
      <c r="J128" s="11" t="s">
        <v>69</v>
      </c>
      <c r="K128" s="14"/>
      <c r="L128" s="14"/>
      <c r="M128" s="11"/>
      <c r="N128" s="12"/>
      <c r="O128" s="11"/>
      <c r="P128" s="11"/>
      <c r="Q128" s="1">
        <v>124</v>
      </c>
      <c r="R128" s="1"/>
      <c r="S128" s="3">
        <f>INDEX(Locations!$D$6:$D$455,MATCH(B128,Locations!$A$6:$A$455,0))</f>
        <v>42.729839724895001</v>
      </c>
      <c r="T128" s="3">
        <f>INDEX(Locations!$E$6:$E$455,MATCH(B128,Locations!$A$6:$A$455,0))</f>
        <v>-73.681792182983301</v>
      </c>
      <c r="U128" s="3">
        <f>INDEX(Locations!$D$6:$D$455,MATCH(C128,Locations!$A$6:$A$455,0))</f>
        <v>42.729724773582497</v>
      </c>
      <c r="V128" s="3">
        <f>INDEX(Locations!$E$6:$E$455,MATCH(C128,Locations!$A$6:$A$455,0))</f>
        <v>-73.681792182983301</v>
      </c>
    </row>
    <row r="129" spans="1:22" ht="23.1" customHeight="1">
      <c r="A129" s="1" t="s">
        <v>737</v>
      </c>
      <c r="B129" s="1" t="s">
        <v>291</v>
      </c>
      <c r="C129" s="1" t="s">
        <v>297</v>
      </c>
      <c r="D129" s="1" t="s">
        <v>612</v>
      </c>
      <c r="E129" s="13">
        <f t="shared" si="1"/>
        <v>55.265731904506765</v>
      </c>
      <c r="F129" s="11" t="s">
        <v>70</v>
      </c>
      <c r="G129" s="11" t="s">
        <v>69</v>
      </c>
      <c r="H129" s="11" t="s">
        <v>69</v>
      </c>
      <c r="I129" s="11" t="s">
        <v>69</v>
      </c>
      <c r="J129" s="11" t="s">
        <v>69</v>
      </c>
      <c r="K129" s="14"/>
      <c r="L129" s="14"/>
      <c r="M129" s="11"/>
      <c r="N129" s="12"/>
      <c r="O129" s="11"/>
      <c r="P129" s="11"/>
      <c r="Q129" s="1">
        <v>125</v>
      </c>
      <c r="R129" s="1"/>
      <c r="S129" s="3">
        <f>INDEX(Locations!$D$6:$D$455,MATCH(B129,Locations!$A$6:$A$455,0))</f>
        <v>42.729790295830703</v>
      </c>
      <c r="T129" s="3">
        <f>INDEX(Locations!$E$6:$E$455,MATCH(B129,Locations!$A$6:$A$455,0))</f>
        <v>-73.680959756970694</v>
      </c>
      <c r="U129" s="3">
        <f>INDEX(Locations!$D$6:$D$455,MATCH(C129,Locations!$A$6:$A$455,0))</f>
        <v>42.729839724895001</v>
      </c>
      <c r="V129" s="3">
        <f>INDEX(Locations!$E$6:$E$455,MATCH(C129,Locations!$A$6:$A$455,0))</f>
        <v>-73.6816330193097</v>
      </c>
    </row>
    <row r="130" spans="1:22" ht="23.1" customHeight="1">
      <c r="A130" s="1" t="s">
        <v>738</v>
      </c>
      <c r="B130" s="1" t="s">
        <v>300</v>
      </c>
      <c r="C130" s="1" t="s">
        <v>303</v>
      </c>
      <c r="D130" s="1" t="s">
        <v>612</v>
      </c>
      <c r="E130" s="13">
        <f t="shared" si="1"/>
        <v>8.9006625960579928</v>
      </c>
      <c r="F130" s="11" t="s">
        <v>70</v>
      </c>
      <c r="G130" s="11" t="s">
        <v>69</v>
      </c>
      <c r="H130" s="11" t="s">
        <v>69</v>
      </c>
      <c r="I130" s="11" t="s">
        <v>69</v>
      </c>
      <c r="J130" s="11" t="s">
        <v>69</v>
      </c>
      <c r="K130" s="14"/>
      <c r="L130" s="14"/>
      <c r="M130" s="11"/>
      <c r="N130" s="12"/>
      <c r="O130" s="11"/>
      <c r="P130" s="11"/>
      <c r="Q130" s="1">
        <v>126</v>
      </c>
      <c r="R130" s="1"/>
      <c r="S130" s="3">
        <f>INDEX(Locations!$D$6:$D$455,MATCH(B130,Locations!$A$6:$A$455,0))</f>
        <v>42.729839724895001</v>
      </c>
      <c r="T130" s="3">
        <f>INDEX(Locations!$E$6:$E$455,MATCH(B130,Locations!$A$6:$A$455,0))</f>
        <v>-73.681792182983301</v>
      </c>
      <c r="U130" s="3">
        <f>INDEX(Locations!$D$6:$D$455,MATCH(C130,Locations!$A$6:$A$455,0))</f>
        <v>42.7298822568807</v>
      </c>
      <c r="V130" s="3">
        <f>INDEX(Locations!$E$6:$E$455,MATCH(C130,Locations!$A$6:$A$455,0))</f>
        <v>-73.681699868052604</v>
      </c>
    </row>
    <row r="131" spans="1:22" ht="23.1" customHeight="1">
      <c r="A131" s="1" t="s">
        <v>739</v>
      </c>
      <c r="B131" s="1" t="s">
        <v>297</v>
      </c>
      <c r="C131" s="1" t="s">
        <v>303</v>
      </c>
      <c r="D131" s="1" t="s">
        <v>612</v>
      </c>
      <c r="E131" s="13">
        <f t="shared" si="1"/>
        <v>7.2235805940583449</v>
      </c>
      <c r="F131" s="11" t="s">
        <v>70</v>
      </c>
      <c r="G131" s="11" t="s">
        <v>69</v>
      </c>
      <c r="H131" s="11" t="s">
        <v>69</v>
      </c>
      <c r="I131" s="11" t="s">
        <v>69</v>
      </c>
      <c r="J131" s="11" t="s">
        <v>69</v>
      </c>
      <c r="K131" s="14"/>
      <c r="L131" s="14"/>
      <c r="M131" s="11"/>
      <c r="N131" s="12"/>
      <c r="O131" s="11"/>
      <c r="P131" s="11"/>
      <c r="Q131" s="1">
        <v>127</v>
      </c>
      <c r="R131" s="1"/>
      <c r="S131" s="3">
        <f>INDEX(Locations!$D$6:$D$455,MATCH(B131,Locations!$A$6:$A$455,0))</f>
        <v>42.729839724895001</v>
      </c>
      <c r="T131" s="3">
        <f>INDEX(Locations!$E$6:$E$455,MATCH(B131,Locations!$A$6:$A$455,0))</f>
        <v>-73.6816330193097</v>
      </c>
      <c r="U131" s="3">
        <f>INDEX(Locations!$D$6:$D$455,MATCH(C131,Locations!$A$6:$A$455,0))</f>
        <v>42.7298822568807</v>
      </c>
      <c r="V131" s="3">
        <f>INDEX(Locations!$E$6:$E$455,MATCH(C131,Locations!$A$6:$A$455,0))</f>
        <v>-73.681699868052604</v>
      </c>
    </row>
    <row r="132" spans="1:22" ht="23.1" customHeight="1">
      <c r="A132" s="1" t="s">
        <v>740</v>
      </c>
      <c r="B132" s="1" t="s">
        <v>301</v>
      </c>
      <c r="C132" s="1" t="s">
        <v>303</v>
      </c>
      <c r="D132" s="1" t="s">
        <v>612</v>
      </c>
      <c r="E132" s="13">
        <f t="shared" si="1"/>
        <v>14.446003192729661</v>
      </c>
      <c r="F132" s="11" t="s">
        <v>70</v>
      </c>
      <c r="G132" s="11" t="s">
        <v>69</v>
      </c>
      <c r="H132" s="11" t="s">
        <v>69</v>
      </c>
      <c r="I132" s="11" t="s">
        <v>69</v>
      </c>
      <c r="J132" s="11" t="s">
        <v>69</v>
      </c>
      <c r="K132" s="14"/>
      <c r="L132" s="14"/>
      <c r="M132" s="11"/>
      <c r="N132" s="12"/>
      <c r="O132" s="11"/>
      <c r="P132" s="11"/>
      <c r="Q132" s="1">
        <v>128</v>
      </c>
      <c r="R132" s="1"/>
      <c r="S132" s="3">
        <f>INDEX(Locations!$D$6:$D$455,MATCH(B132,Locations!$A$6:$A$455,0))</f>
        <v>42.730012151863797</v>
      </c>
      <c r="T132" s="3">
        <f>INDEX(Locations!$E$6:$E$455,MATCH(B132,Locations!$A$6:$A$455,0))</f>
        <v>-73.681696684779098</v>
      </c>
      <c r="U132" s="3">
        <f>INDEX(Locations!$D$6:$D$455,MATCH(C132,Locations!$A$6:$A$455,0))</f>
        <v>42.7298822568807</v>
      </c>
      <c r="V132" s="3">
        <f>INDEX(Locations!$E$6:$E$455,MATCH(C132,Locations!$A$6:$A$455,0))</f>
        <v>-73.681699868052604</v>
      </c>
    </row>
    <row r="133" spans="1:22" ht="23.1" customHeight="1">
      <c r="A133" s="1" t="s">
        <v>741</v>
      </c>
      <c r="B133" s="1" t="s">
        <v>302</v>
      </c>
      <c r="C133" s="1" t="s">
        <v>301</v>
      </c>
      <c r="D133" s="1" t="s">
        <v>612</v>
      </c>
      <c r="E133" s="13">
        <f t="shared" si="1"/>
        <v>18.451938106799297</v>
      </c>
      <c r="F133" s="11" t="s">
        <v>70</v>
      </c>
      <c r="G133" s="11" t="s">
        <v>69</v>
      </c>
      <c r="H133" s="11" t="s">
        <v>69</v>
      </c>
      <c r="I133" s="11" t="s">
        <v>69</v>
      </c>
      <c r="J133" s="11" t="s">
        <v>69</v>
      </c>
      <c r="K133" s="14"/>
      <c r="L133" s="14"/>
      <c r="M133" s="11"/>
      <c r="N133" s="12"/>
      <c r="O133" s="11"/>
      <c r="P133" s="11"/>
      <c r="Q133" s="1">
        <v>129</v>
      </c>
      <c r="R133" s="1"/>
      <c r="S133" s="3">
        <f>INDEX(Locations!$D$6:$D$455,MATCH(B133,Locations!$A$6:$A$455,0))</f>
        <v>42.730177681753901</v>
      </c>
      <c r="T133" s="3">
        <f>INDEX(Locations!$E$6:$E$455,MATCH(B133,Locations!$A$6:$A$455,0))</f>
        <v>-73.681712601146501</v>
      </c>
      <c r="U133" s="3">
        <f>INDEX(Locations!$D$6:$D$455,MATCH(C133,Locations!$A$6:$A$455,0))</f>
        <v>42.730012151863797</v>
      </c>
      <c r="V133" s="3">
        <f>INDEX(Locations!$E$6:$E$455,MATCH(C133,Locations!$A$6:$A$455,0))</f>
        <v>-73.681696684779098</v>
      </c>
    </row>
    <row r="134" spans="1:22" ht="23.1" customHeight="1">
      <c r="A134" s="1" t="s">
        <v>742</v>
      </c>
      <c r="B134" s="1" t="s">
        <v>147</v>
      </c>
      <c r="C134" s="1" t="s">
        <v>301</v>
      </c>
      <c r="D134" s="1" t="s">
        <v>612</v>
      </c>
      <c r="E134" s="13">
        <f t="shared" ref="E134:E197" si="2">2*6371000*ASIN(SQRT(MIN(1,SIN(RADIANS(U134-S134)/2)^2+COS(RADIANS(S134))*COS(RADIANS(U134))*SIN(RADIANS(V134-T134)/2)^2)))</f>
        <v>21.203947714025109</v>
      </c>
      <c r="F134" s="11" t="s">
        <v>70</v>
      </c>
      <c r="G134" s="11" t="s">
        <v>69</v>
      </c>
      <c r="H134" s="11" t="s">
        <v>69</v>
      </c>
      <c r="I134" s="11" t="s">
        <v>69</v>
      </c>
      <c r="J134" s="11" t="s">
        <v>69</v>
      </c>
      <c r="K134" s="14"/>
      <c r="L134" s="14"/>
      <c r="M134" s="11"/>
      <c r="N134" s="12"/>
      <c r="O134" s="11"/>
      <c r="P134" s="11"/>
      <c r="Q134" s="1">
        <v>130</v>
      </c>
      <c r="R134" s="1"/>
      <c r="S134" s="3">
        <f>INDEX(Locations!$D$6:$D$455,MATCH(B134,Locations!$A$6:$A$455,0))</f>
        <v>42.730139609469902</v>
      </c>
      <c r="T134" s="3">
        <f>INDEX(Locations!$E$6:$E$455,MATCH(B134,Locations!$A$6:$A$455,0))</f>
        <v>-73.681889776954193</v>
      </c>
      <c r="U134" s="3">
        <f>INDEX(Locations!$D$6:$D$455,MATCH(C134,Locations!$A$6:$A$455,0))</f>
        <v>42.730012151863797</v>
      </c>
      <c r="V134" s="3">
        <f>INDEX(Locations!$E$6:$E$455,MATCH(C134,Locations!$A$6:$A$455,0))</f>
        <v>-73.681696684779098</v>
      </c>
    </row>
    <row r="135" spans="1:22" ht="23.1" customHeight="1">
      <c r="A135" s="1" t="s">
        <v>743</v>
      </c>
      <c r="B135" s="1" t="s">
        <v>307</v>
      </c>
      <c r="C135" s="1" t="s">
        <v>302</v>
      </c>
      <c r="D135" s="1" t="s">
        <v>612</v>
      </c>
      <c r="E135" s="13">
        <f t="shared" si="2"/>
        <v>39.541923183990598</v>
      </c>
      <c r="F135" s="11" t="s">
        <v>70</v>
      </c>
      <c r="G135" s="11" t="s">
        <v>69</v>
      </c>
      <c r="H135" s="11" t="s">
        <v>69</v>
      </c>
      <c r="I135" s="11" t="s">
        <v>69</v>
      </c>
      <c r="J135" s="11" t="s">
        <v>69</v>
      </c>
      <c r="K135" s="14"/>
      <c r="L135" s="14"/>
      <c r="M135" s="11"/>
      <c r="N135" s="12"/>
      <c r="O135" s="11"/>
      <c r="P135" s="11"/>
      <c r="Q135" s="1">
        <v>131</v>
      </c>
      <c r="R135" s="1"/>
      <c r="S135" s="3">
        <f>INDEX(Locations!$D$6:$D$455,MATCH(B135,Locations!$A$6:$A$455,0))</f>
        <v>42.730146644899499</v>
      </c>
      <c r="T135" s="3">
        <f>INDEX(Locations!$E$6:$E$455,MATCH(B135,Locations!$A$6:$A$455,0))</f>
        <v>-73.681230335215702</v>
      </c>
      <c r="U135" s="3">
        <f>INDEX(Locations!$D$6:$D$455,MATCH(C135,Locations!$A$6:$A$455,0))</f>
        <v>42.730177681753901</v>
      </c>
      <c r="V135" s="3">
        <f>INDEX(Locations!$E$6:$E$455,MATCH(C135,Locations!$A$6:$A$455,0))</f>
        <v>-73.681712601146501</v>
      </c>
    </row>
    <row r="136" spans="1:22" ht="23.1" customHeight="1">
      <c r="A136" s="1" t="s">
        <v>744</v>
      </c>
      <c r="B136" s="1" t="s">
        <v>306</v>
      </c>
      <c r="C136" s="1" t="s">
        <v>302</v>
      </c>
      <c r="D136" s="1" t="s">
        <v>612</v>
      </c>
      <c r="E136" s="13">
        <f t="shared" si="2"/>
        <v>25.372894335793315</v>
      </c>
      <c r="F136" s="11" t="s">
        <v>70</v>
      </c>
      <c r="G136" s="11" t="s">
        <v>69</v>
      </c>
      <c r="H136" s="11" t="s">
        <v>69</v>
      </c>
      <c r="I136" s="11" t="s">
        <v>69</v>
      </c>
      <c r="J136" s="11" t="s">
        <v>69</v>
      </c>
      <c r="K136" s="14"/>
      <c r="L136" s="14"/>
      <c r="M136" s="11"/>
      <c r="N136" s="12"/>
      <c r="O136" s="11"/>
      <c r="P136" s="11"/>
      <c r="Q136" s="1">
        <v>132</v>
      </c>
      <c r="R136" s="1"/>
      <c r="S136" s="3">
        <f>INDEX(Locations!$D$6:$D$455,MATCH(B136,Locations!$A$6:$A$455,0))</f>
        <v>42.7303236699208</v>
      </c>
      <c r="T136" s="3">
        <f>INDEX(Locations!$E$6:$E$455,MATCH(B136,Locations!$A$6:$A$455,0))</f>
        <v>-73.681473855636199</v>
      </c>
      <c r="U136" s="3">
        <f>INDEX(Locations!$D$6:$D$455,MATCH(C136,Locations!$A$6:$A$455,0))</f>
        <v>42.730177681753901</v>
      </c>
      <c r="V136" s="3">
        <f>INDEX(Locations!$E$6:$E$455,MATCH(C136,Locations!$A$6:$A$455,0))</f>
        <v>-73.681712601146501</v>
      </c>
    </row>
    <row r="137" spans="1:22" ht="23.1" customHeight="1">
      <c r="A137" s="1" t="s">
        <v>745</v>
      </c>
      <c r="B137" s="1" t="s">
        <v>307</v>
      </c>
      <c r="C137" s="1" t="s">
        <v>306</v>
      </c>
      <c r="D137" s="1" t="s">
        <v>612</v>
      </c>
      <c r="E137" s="13">
        <f t="shared" si="2"/>
        <v>27.983976196008534</v>
      </c>
      <c r="F137" s="11" t="s">
        <v>70</v>
      </c>
      <c r="G137" s="11" t="s">
        <v>69</v>
      </c>
      <c r="H137" s="11" t="s">
        <v>69</v>
      </c>
      <c r="I137" s="11" t="s">
        <v>69</v>
      </c>
      <c r="J137" s="11" t="s">
        <v>69</v>
      </c>
      <c r="K137" s="14"/>
      <c r="L137" s="14"/>
      <c r="M137" s="11"/>
      <c r="N137" s="12"/>
      <c r="O137" s="11"/>
      <c r="P137" s="11"/>
      <c r="Q137" s="1">
        <v>133</v>
      </c>
      <c r="R137" s="1"/>
      <c r="S137" s="3">
        <f>INDEX(Locations!$D$6:$D$455,MATCH(B137,Locations!$A$6:$A$455,0))</f>
        <v>42.730146644899499</v>
      </c>
      <c r="T137" s="3">
        <f>INDEX(Locations!$E$6:$E$455,MATCH(B137,Locations!$A$6:$A$455,0))</f>
        <v>-73.681230335215702</v>
      </c>
      <c r="U137" s="3">
        <f>INDEX(Locations!$D$6:$D$455,MATCH(C137,Locations!$A$6:$A$455,0))</f>
        <v>42.7303236699208</v>
      </c>
      <c r="V137" s="3">
        <f>INDEX(Locations!$E$6:$E$455,MATCH(C137,Locations!$A$6:$A$455,0))</f>
        <v>-73.681473855636199</v>
      </c>
    </row>
    <row r="138" spans="1:22" ht="23.1" customHeight="1">
      <c r="A138" s="1" t="s">
        <v>746</v>
      </c>
      <c r="B138" s="1" t="s">
        <v>308</v>
      </c>
      <c r="C138" s="1" t="s">
        <v>284</v>
      </c>
      <c r="D138" s="1" t="s">
        <v>667</v>
      </c>
      <c r="E138" s="13">
        <f t="shared" si="2"/>
        <v>25.626209533991425</v>
      </c>
      <c r="F138" s="11" t="s">
        <v>70</v>
      </c>
      <c r="G138" s="11" t="s">
        <v>69</v>
      </c>
      <c r="H138" s="11" t="s">
        <v>69</v>
      </c>
      <c r="I138" s="11" t="s">
        <v>69</v>
      </c>
      <c r="J138" s="11" t="s">
        <v>69</v>
      </c>
      <c r="K138" s="14"/>
      <c r="L138" s="14"/>
      <c r="M138" s="11"/>
      <c r="N138" s="12"/>
      <c r="O138" s="11"/>
      <c r="P138" s="11"/>
      <c r="Q138" s="1">
        <v>134</v>
      </c>
      <c r="R138" s="1"/>
      <c r="S138" s="3">
        <f>INDEX(Locations!$D$6:$D$455,MATCH(B138,Locations!$A$6:$A$455,0))</f>
        <v>42.730373098985197</v>
      </c>
      <c r="T138" s="3">
        <f>INDEX(Locations!$E$6:$E$455,MATCH(B138,Locations!$A$6:$A$455,0))</f>
        <v>-73.681182586113593</v>
      </c>
      <c r="U138" s="3">
        <f>INDEX(Locations!$D$6:$D$455,MATCH(C138,Locations!$A$6:$A$455,0))</f>
        <v>42.730365052393303</v>
      </c>
      <c r="V138" s="3">
        <f>INDEX(Locations!$E$6:$E$455,MATCH(C138,Locations!$A$6:$A$455,0))</f>
        <v>-73.6808690336768</v>
      </c>
    </row>
    <row r="139" spans="1:22" ht="23.1" customHeight="1">
      <c r="A139" s="1" t="s">
        <v>747</v>
      </c>
      <c r="B139" s="1" t="s">
        <v>295</v>
      </c>
      <c r="C139" s="1" t="s">
        <v>308</v>
      </c>
      <c r="D139" s="1" t="s">
        <v>612</v>
      </c>
      <c r="E139" s="13">
        <f t="shared" si="2"/>
        <v>26.36299904060845</v>
      </c>
      <c r="F139" s="11" t="s">
        <v>70</v>
      </c>
      <c r="G139" s="11" t="s">
        <v>69</v>
      </c>
      <c r="H139" s="11" t="s">
        <v>69</v>
      </c>
      <c r="I139" s="11" t="s">
        <v>69</v>
      </c>
      <c r="J139" s="11" t="s">
        <v>69</v>
      </c>
      <c r="K139" s="14"/>
      <c r="L139" s="14"/>
      <c r="M139" s="11"/>
      <c r="N139" s="12"/>
      <c r="O139" s="11"/>
      <c r="P139" s="11"/>
      <c r="Q139" s="1">
        <v>135</v>
      </c>
      <c r="R139" s="1"/>
      <c r="S139" s="3">
        <f>INDEX(Locations!$D$6:$D$455,MATCH(B139,Locations!$A$6:$A$455,0))</f>
        <v>42.730609898689004</v>
      </c>
      <c r="T139" s="3">
        <f>INDEX(Locations!$E$6:$E$455,MATCH(B139,Locations!$A$6:$A$455,0))</f>
        <v>-73.681166669746304</v>
      </c>
      <c r="U139" s="3">
        <f>INDEX(Locations!$D$6:$D$455,MATCH(C139,Locations!$A$6:$A$455,0))</f>
        <v>42.730373098985197</v>
      </c>
      <c r="V139" s="3">
        <f>INDEX(Locations!$E$6:$E$455,MATCH(C139,Locations!$A$6:$A$455,0))</f>
        <v>-73.681182586113593</v>
      </c>
    </row>
    <row r="140" spans="1:22" ht="23.1" customHeight="1">
      <c r="A140" s="1" t="s">
        <v>748</v>
      </c>
      <c r="B140" s="1" t="s">
        <v>307</v>
      </c>
      <c r="C140" s="1" t="s">
        <v>308</v>
      </c>
      <c r="D140" s="1" t="s">
        <v>612</v>
      </c>
      <c r="E140" s="13">
        <f t="shared" si="2"/>
        <v>25.480789181461986</v>
      </c>
      <c r="F140" s="11" t="s">
        <v>70</v>
      </c>
      <c r="G140" s="11" t="s">
        <v>69</v>
      </c>
      <c r="H140" s="11" t="s">
        <v>69</v>
      </c>
      <c r="I140" s="11" t="s">
        <v>69</v>
      </c>
      <c r="J140" s="11" t="s">
        <v>69</v>
      </c>
      <c r="K140" s="14"/>
      <c r="L140" s="14"/>
      <c r="M140" s="11"/>
      <c r="N140" s="12"/>
      <c r="O140" s="11"/>
      <c r="P140" s="11"/>
      <c r="Q140" s="1">
        <v>136</v>
      </c>
      <c r="R140" s="1"/>
      <c r="S140" s="3">
        <f>INDEX(Locations!$D$6:$D$455,MATCH(B140,Locations!$A$6:$A$455,0))</f>
        <v>42.730146644899499</v>
      </c>
      <c r="T140" s="3">
        <f>INDEX(Locations!$E$6:$E$455,MATCH(B140,Locations!$A$6:$A$455,0))</f>
        <v>-73.681230335215702</v>
      </c>
      <c r="U140" s="3">
        <f>INDEX(Locations!$D$6:$D$455,MATCH(C140,Locations!$A$6:$A$455,0))</f>
        <v>42.730373098985197</v>
      </c>
      <c r="V140" s="3">
        <f>INDEX(Locations!$E$6:$E$455,MATCH(C140,Locations!$A$6:$A$455,0))</f>
        <v>-73.681182586113593</v>
      </c>
    </row>
    <row r="141" spans="1:22" ht="23.1" customHeight="1">
      <c r="A141" s="1" t="s">
        <v>749</v>
      </c>
      <c r="B141" s="1" t="s">
        <v>305</v>
      </c>
      <c r="C141" s="1" t="s">
        <v>306</v>
      </c>
      <c r="D141" s="1" t="s">
        <v>612</v>
      </c>
      <c r="E141" s="13">
        <f t="shared" si="2"/>
        <v>13.942006027517003</v>
      </c>
      <c r="F141" s="11" t="s">
        <v>70</v>
      </c>
      <c r="G141" s="11" t="s">
        <v>69</v>
      </c>
      <c r="H141" s="11" t="s">
        <v>69</v>
      </c>
      <c r="I141" s="11" t="s">
        <v>69</v>
      </c>
      <c r="J141" s="11" t="s">
        <v>69</v>
      </c>
      <c r="K141" s="14"/>
      <c r="L141" s="14"/>
      <c r="M141" s="11"/>
      <c r="N141" s="12"/>
      <c r="O141" s="11"/>
      <c r="P141" s="11"/>
      <c r="Q141" s="1">
        <v>137</v>
      </c>
      <c r="R141" s="1"/>
      <c r="S141" s="3">
        <f>INDEX(Locations!$D$6:$D$455,MATCH(B141,Locations!$A$6:$A$455,0))</f>
        <v>42.730425976588997</v>
      </c>
      <c r="T141" s="3">
        <f>INDEX(Locations!$E$6:$E$455,MATCH(B141,Locations!$A$6:$A$455,0))</f>
        <v>-73.681572537113794</v>
      </c>
      <c r="U141" s="3">
        <f>INDEX(Locations!$D$6:$D$455,MATCH(C141,Locations!$A$6:$A$455,0))</f>
        <v>42.7303236699208</v>
      </c>
      <c r="V141" s="3">
        <f>INDEX(Locations!$E$6:$E$455,MATCH(C141,Locations!$A$6:$A$455,0))</f>
        <v>-73.681473855636199</v>
      </c>
    </row>
    <row r="142" spans="1:22" ht="23.1" customHeight="1">
      <c r="A142" s="1" t="s">
        <v>750</v>
      </c>
      <c r="B142" s="1" t="s">
        <v>295</v>
      </c>
      <c r="C142" s="1" t="s">
        <v>305</v>
      </c>
      <c r="D142" s="1" t="s">
        <v>612</v>
      </c>
      <c r="E142" s="13">
        <f t="shared" si="2"/>
        <v>38.951497756683132</v>
      </c>
      <c r="F142" s="11" t="s">
        <v>70</v>
      </c>
      <c r="G142" s="11" t="s">
        <v>69</v>
      </c>
      <c r="H142" s="11" t="s">
        <v>69</v>
      </c>
      <c r="I142" s="11" t="s">
        <v>69</v>
      </c>
      <c r="J142" s="11" t="s">
        <v>69</v>
      </c>
      <c r="K142" s="14"/>
      <c r="L142" s="14"/>
      <c r="M142" s="11"/>
      <c r="N142" s="12"/>
      <c r="O142" s="11"/>
      <c r="P142" s="11"/>
      <c r="Q142" s="1">
        <v>138</v>
      </c>
      <c r="R142" s="1"/>
      <c r="S142" s="3">
        <f>INDEX(Locations!$D$6:$D$455,MATCH(B142,Locations!$A$6:$A$455,0))</f>
        <v>42.730609898689004</v>
      </c>
      <c r="T142" s="3">
        <f>INDEX(Locations!$E$6:$E$455,MATCH(B142,Locations!$A$6:$A$455,0))</f>
        <v>-73.681166669746304</v>
      </c>
      <c r="U142" s="3">
        <f>INDEX(Locations!$D$6:$D$455,MATCH(C142,Locations!$A$6:$A$455,0))</f>
        <v>42.730425976588997</v>
      </c>
      <c r="V142" s="3">
        <f>INDEX(Locations!$E$6:$E$455,MATCH(C142,Locations!$A$6:$A$455,0))</f>
        <v>-73.681572537113794</v>
      </c>
    </row>
    <row r="143" spans="1:22" ht="23.1" customHeight="1">
      <c r="A143" s="1" t="s">
        <v>751</v>
      </c>
      <c r="B143" s="1" t="s">
        <v>295</v>
      </c>
      <c r="C143" s="1" t="s">
        <v>306</v>
      </c>
      <c r="D143" s="1" t="s">
        <v>612</v>
      </c>
      <c r="E143" s="13">
        <f t="shared" si="2"/>
        <v>40.527826152378104</v>
      </c>
      <c r="F143" s="11" t="s">
        <v>70</v>
      </c>
      <c r="G143" s="11" t="s">
        <v>69</v>
      </c>
      <c r="H143" s="11" t="s">
        <v>69</v>
      </c>
      <c r="I143" s="11" t="s">
        <v>69</v>
      </c>
      <c r="J143" s="11" t="s">
        <v>69</v>
      </c>
      <c r="K143" s="14"/>
      <c r="L143" s="14"/>
      <c r="M143" s="11"/>
      <c r="N143" s="12"/>
      <c r="O143" s="11"/>
      <c r="P143" s="11"/>
      <c r="Q143" s="1">
        <v>139</v>
      </c>
      <c r="R143" s="1"/>
      <c r="S143" s="3">
        <f>INDEX(Locations!$D$6:$D$455,MATCH(B143,Locations!$A$6:$A$455,0))</f>
        <v>42.730609898689004</v>
      </c>
      <c r="T143" s="3">
        <f>INDEX(Locations!$E$6:$E$455,MATCH(B143,Locations!$A$6:$A$455,0))</f>
        <v>-73.681166669746304</v>
      </c>
      <c r="U143" s="3">
        <f>INDEX(Locations!$D$6:$D$455,MATCH(C143,Locations!$A$6:$A$455,0))</f>
        <v>42.7303236699208</v>
      </c>
      <c r="V143" s="3">
        <f>INDEX(Locations!$E$6:$E$455,MATCH(C143,Locations!$A$6:$A$455,0))</f>
        <v>-73.681473855636199</v>
      </c>
    </row>
    <row r="144" spans="1:22" ht="23.1" customHeight="1">
      <c r="A144" s="1" t="s">
        <v>752</v>
      </c>
      <c r="B144" s="1" t="s">
        <v>309</v>
      </c>
      <c r="C144" s="1" t="s">
        <v>305</v>
      </c>
      <c r="D144" s="1" t="s">
        <v>612</v>
      </c>
      <c r="E144" s="13">
        <f t="shared" si="2"/>
        <v>28.970651742304486</v>
      </c>
      <c r="F144" s="11" t="s">
        <v>70</v>
      </c>
      <c r="G144" s="11" t="s">
        <v>69</v>
      </c>
      <c r="H144" s="11" t="s">
        <v>69</v>
      </c>
      <c r="I144" s="11" t="s">
        <v>69</v>
      </c>
      <c r="J144" s="11" t="s">
        <v>69</v>
      </c>
      <c r="K144" s="14"/>
      <c r="L144" s="14"/>
      <c r="M144" s="11"/>
      <c r="N144" s="12"/>
      <c r="O144" s="11"/>
      <c r="P144" s="11"/>
      <c r="Q144" s="1">
        <v>140</v>
      </c>
      <c r="R144" s="1"/>
      <c r="S144" s="3">
        <f>INDEX(Locations!$D$6:$D$455,MATCH(B144,Locations!$A$6:$A$455,0))</f>
        <v>42.730643234569598</v>
      </c>
      <c r="T144" s="3">
        <f>INDEX(Locations!$E$6:$E$455,MATCH(B144,Locations!$A$6:$A$455,0))</f>
        <v>-73.681768308432197</v>
      </c>
      <c r="U144" s="3">
        <f>INDEX(Locations!$D$6:$D$455,MATCH(C144,Locations!$A$6:$A$455,0))</f>
        <v>42.730425976588997</v>
      </c>
      <c r="V144" s="3">
        <f>INDEX(Locations!$E$6:$E$455,MATCH(C144,Locations!$A$6:$A$455,0))</f>
        <v>-73.681572537113794</v>
      </c>
    </row>
    <row r="145" spans="1:22" ht="23.1" customHeight="1">
      <c r="A145" s="1" t="s">
        <v>753</v>
      </c>
      <c r="B145" s="1" t="s">
        <v>309</v>
      </c>
      <c r="C145" s="1" t="s">
        <v>304</v>
      </c>
      <c r="D145" s="1" t="s">
        <v>612</v>
      </c>
      <c r="E145" s="13">
        <f t="shared" si="2"/>
        <v>30.22849064473051</v>
      </c>
      <c r="F145" s="11" t="s">
        <v>70</v>
      </c>
      <c r="G145" s="11" t="s">
        <v>69</v>
      </c>
      <c r="H145" s="11" t="s">
        <v>69</v>
      </c>
      <c r="I145" s="11" t="s">
        <v>69</v>
      </c>
      <c r="J145" s="11" t="s">
        <v>69</v>
      </c>
      <c r="K145" s="14"/>
      <c r="L145" s="14"/>
      <c r="M145" s="11"/>
      <c r="N145" s="12"/>
      <c r="O145" s="11"/>
      <c r="P145" s="11"/>
      <c r="Q145" s="1">
        <v>141</v>
      </c>
      <c r="R145" s="1"/>
      <c r="S145" s="3">
        <f>INDEX(Locations!$D$6:$D$455,MATCH(B145,Locations!$A$6:$A$455,0))</f>
        <v>42.730643234569598</v>
      </c>
      <c r="T145" s="3">
        <f>INDEX(Locations!$E$6:$E$455,MATCH(B145,Locations!$A$6:$A$455,0))</f>
        <v>-73.681768308432197</v>
      </c>
      <c r="U145" s="3">
        <f>INDEX(Locations!$D$6:$D$455,MATCH(C145,Locations!$A$6:$A$455,0))</f>
        <v>42.730371949472101</v>
      </c>
      <c r="V145" s="3">
        <f>INDEX(Locations!$E$6:$E$455,MATCH(C145,Locations!$A$6:$A$455,0))</f>
        <v>-73.681744433881207</v>
      </c>
    </row>
    <row r="146" spans="1:22" ht="23.1" customHeight="1">
      <c r="A146" s="1" t="s">
        <v>754</v>
      </c>
      <c r="B146" s="1" t="s">
        <v>302</v>
      </c>
      <c r="C146" s="1" t="s">
        <v>304</v>
      </c>
      <c r="D146" s="1" t="s">
        <v>612</v>
      </c>
      <c r="E146" s="13">
        <f t="shared" si="2"/>
        <v>21.757499620825051</v>
      </c>
      <c r="F146" s="11" t="s">
        <v>70</v>
      </c>
      <c r="G146" s="11" t="s">
        <v>69</v>
      </c>
      <c r="H146" s="11" t="s">
        <v>69</v>
      </c>
      <c r="I146" s="11" t="s">
        <v>69</v>
      </c>
      <c r="J146" s="11" t="s">
        <v>69</v>
      </c>
      <c r="K146" s="14"/>
      <c r="L146" s="14"/>
      <c r="M146" s="11"/>
      <c r="N146" s="12"/>
      <c r="O146" s="11"/>
      <c r="P146" s="11"/>
      <c r="Q146" s="1">
        <v>142</v>
      </c>
      <c r="R146" s="1"/>
      <c r="S146" s="3">
        <f>INDEX(Locations!$D$6:$D$455,MATCH(B146,Locations!$A$6:$A$455,0))</f>
        <v>42.730177681753901</v>
      </c>
      <c r="T146" s="3">
        <f>INDEX(Locations!$E$6:$E$455,MATCH(B146,Locations!$A$6:$A$455,0))</f>
        <v>-73.681712601146501</v>
      </c>
      <c r="U146" s="3">
        <f>INDEX(Locations!$D$6:$D$455,MATCH(C146,Locations!$A$6:$A$455,0))</f>
        <v>42.730371949472101</v>
      </c>
      <c r="V146" s="3">
        <f>INDEX(Locations!$E$6:$E$455,MATCH(C146,Locations!$A$6:$A$455,0))</f>
        <v>-73.681744433881207</v>
      </c>
    </row>
    <row r="147" spans="1:22" ht="23.1" customHeight="1">
      <c r="A147" s="1" t="s">
        <v>755</v>
      </c>
      <c r="B147" s="1" t="s">
        <v>295</v>
      </c>
      <c r="C147" s="1" t="s">
        <v>309</v>
      </c>
      <c r="D147" s="1" t="s">
        <v>612</v>
      </c>
      <c r="E147" s="13">
        <f t="shared" si="2"/>
        <v>49.280524150574976</v>
      </c>
      <c r="F147" s="11" t="s">
        <v>70</v>
      </c>
      <c r="G147" s="11" t="s">
        <v>69</v>
      </c>
      <c r="H147" s="11" t="s">
        <v>69</v>
      </c>
      <c r="I147" s="11" t="s">
        <v>69</v>
      </c>
      <c r="J147" s="11" t="s">
        <v>69</v>
      </c>
      <c r="K147" s="14"/>
      <c r="L147" s="14"/>
      <c r="M147" s="11"/>
      <c r="N147" s="12"/>
      <c r="O147" s="11"/>
      <c r="P147" s="11"/>
      <c r="Q147" s="1">
        <v>143</v>
      </c>
      <c r="R147" s="1"/>
      <c r="S147" s="3">
        <f>INDEX(Locations!$D$6:$D$455,MATCH(B147,Locations!$A$6:$A$455,0))</f>
        <v>42.730609898689004</v>
      </c>
      <c r="T147" s="3">
        <f>INDEX(Locations!$E$6:$E$455,MATCH(B147,Locations!$A$6:$A$455,0))</f>
        <v>-73.681166669746304</v>
      </c>
      <c r="U147" s="3">
        <f>INDEX(Locations!$D$6:$D$455,MATCH(C147,Locations!$A$6:$A$455,0))</f>
        <v>42.730643234569598</v>
      </c>
      <c r="V147" s="3">
        <f>INDEX(Locations!$E$6:$E$455,MATCH(C147,Locations!$A$6:$A$455,0))</f>
        <v>-73.681768308432197</v>
      </c>
    </row>
    <row r="148" spans="1:22" ht="23.1" customHeight="1">
      <c r="A148" s="1" t="s">
        <v>756</v>
      </c>
      <c r="B148" s="1" t="s">
        <v>310</v>
      </c>
      <c r="C148" s="1" t="s">
        <v>309</v>
      </c>
      <c r="D148" s="1" t="s">
        <v>612</v>
      </c>
      <c r="E148" s="13">
        <f t="shared" si="2"/>
        <v>37.791979137041075</v>
      </c>
      <c r="F148" s="11" t="s">
        <v>70</v>
      </c>
      <c r="G148" s="11" t="s">
        <v>69</v>
      </c>
      <c r="H148" s="11" t="s">
        <v>69</v>
      </c>
      <c r="I148" s="11" t="s">
        <v>69</v>
      </c>
      <c r="J148" s="11" t="s">
        <v>69</v>
      </c>
      <c r="K148" s="14"/>
      <c r="L148" s="14"/>
      <c r="M148" s="11"/>
      <c r="N148" s="12"/>
      <c r="O148" s="11"/>
      <c r="P148" s="11"/>
      <c r="Q148" s="1">
        <v>144</v>
      </c>
      <c r="R148" s="1"/>
      <c r="S148" s="3">
        <f>INDEX(Locations!$D$6:$D$455,MATCH(B148,Locations!$A$6:$A$455,0))</f>
        <v>42.7304144814577</v>
      </c>
      <c r="T148" s="3">
        <f>INDEX(Locations!$E$6:$E$455,MATCH(B148,Locations!$A$6:$A$455,0))</f>
        <v>-73.682110510330304</v>
      </c>
      <c r="U148" s="3">
        <f>INDEX(Locations!$D$6:$D$455,MATCH(C148,Locations!$A$6:$A$455,0))</f>
        <v>42.730643234569598</v>
      </c>
      <c r="V148" s="3">
        <f>INDEX(Locations!$E$6:$E$455,MATCH(C148,Locations!$A$6:$A$455,0))</f>
        <v>-73.681768308432197</v>
      </c>
    </row>
    <row r="149" spans="1:22" ht="23.1" customHeight="1">
      <c r="A149" s="1" t="s">
        <v>757</v>
      </c>
      <c r="B149" s="1" t="s">
        <v>311</v>
      </c>
      <c r="C149" s="1" t="s">
        <v>309</v>
      </c>
      <c r="D149" s="1" t="s">
        <v>612</v>
      </c>
      <c r="E149" s="13">
        <f t="shared" si="2"/>
        <v>34.885619724452219</v>
      </c>
      <c r="F149" s="11" t="s">
        <v>70</v>
      </c>
      <c r="G149" s="11" t="s">
        <v>69</v>
      </c>
      <c r="H149" s="11" t="s">
        <v>69</v>
      </c>
      <c r="I149" s="11" t="s">
        <v>69</v>
      </c>
      <c r="J149" s="11" t="s">
        <v>69</v>
      </c>
      <c r="K149" s="14"/>
      <c r="L149" s="14"/>
      <c r="M149" s="11"/>
      <c r="N149" s="12"/>
      <c r="O149" s="11"/>
      <c r="P149" s="11"/>
      <c r="Q149" s="1">
        <v>145</v>
      </c>
      <c r="R149" s="1"/>
      <c r="S149" s="3">
        <f>INDEX(Locations!$D$6:$D$455,MATCH(B149,Locations!$A$6:$A$455,0))</f>
        <v>42.730545525954</v>
      </c>
      <c r="T149" s="3">
        <f>INDEX(Locations!$E$6:$E$455,MATCH(B149,Locations!$A$6:$A$455,0))</f>
        <v>-73.682174175799702</v>
      </c>
      <c r="U149" s="3">
        <f>INDEX(Locations!$D$6:$D$455,MATCH(C149,Locations!$A$6:$A$455,0))</f>
        <v>42.730643234569598</v>
      </c>
      <c r="V149" s="3">
        <f>INDEX(Locations!$E$6:$E$455,MATCH(C149,Locations!$A$6:$A$455,0))</f>
        <v>-73.681768308432197</v>
      </c>
    </row>
    <row r="150" spans="1:22" ht="23.1" customHeight="1">
      <c r="A150" s="1" t="s">
        <v>758</v>
      </c>
      <c r="B150" s="1" t="s">
        <v>310</v>
      </c>
      <c r="C150" s="1" t="s">
        <v>311</v>
      </c>
      <c r="D150" s="1" t="s">
        <v>612</v>
      </c>
      <c r="E150" s="13">
        <f t="shared" si="2"/>
        <v>15.471562931164394</v>
      </c>
      <c r="F150" s="11" t="s">
        <v>70</v>
      </c>
      <c r="G150" s="11" t="s">
        <v>69</v>
      </c>
      <c r="H150" s="11" t="s">
        <v>69</v>
      </c>
      <c r="I150" s="11" t="s">
        <v>69</v>
      </c>
      <c r="J150" s="11" t="s">
        <v>69</v>
      </c>
      <c r="K150" s="14"/>
      <c r="L150" s="14"/>
      <c r="M150" s="11"/>
      <c r="N150" s="12"/>
      <c r="O150" s="11"/>
      <c r="P150" s="11"/>
      <c r="Q150" s="1">
        <v>146</v>
      </c>
      <c r="R150" s="1"/>
      <c r="S150" s="3">
        <f>INDEX(Locations!$D$6:$D$455,MATCH(B150,Locations!$A$6:$A$455,0))</f>
        <v>42.7304144814577</v>
      </c>
      <c r="T150" s="3">
        <f>INDEX(Locations!$E$6:$E$455,MATCH(B150,Locations!$A$6:$A$455,0))</f>
        <v>-73.682110510330304</v>
      </c>
      <c r="U150" s="3">
        <f>INDEX(Locations!$D$6:$D$455,MATCH(C150,Locations!$A$6:$A$455,0))</f>
        <v>42.730545525954</v>
      </c>
      <c r="V150" s="3">
        <f>INDEX(Locations!$E$6:$E$455,MATCH(C150,Locations!$A$6:$A$455,0))</f>
        <v>-73.682174175799702</v>
      </c>
    </row>
    <row r="151" spans="1:22" ht="23.1" customHeight="1">
      <c r="A151" s="1" t="s">
        <v>759</v>
      </c>
      <c r="B151" s="1" t="s">
        <v>312</v>
      </c>
      <c r="C151" s="1" t="s">
        <v>311</v>
      </c>
      <c r="D151" s="1" t="s">
        <v>612</v>
      </c>
      <c r="E151" s="13">
        <f t="shared" si="2"/>
        <v>42.083554010140652</v>
      </c>
      <c r="F151" s="11" t="s">
        <v>70</v>
      </c>
      <c r="G151" s="11" t="s">
        <v>69</v>
      </c>
      <c r="H151" s="11" t="s">
        <v>69</v>
      </c>
      <c r="I151" s="11" t="s">
        <v>69</v>
      </c>
      <c r="J151" s="11" t="s">
        <v>69</v>
      </c>
      <c r="K151" s="14"/>
      <c r="L151" s="14"/>
      <c r="M151" s="11"/>
      <c r="N151" s="12"/>
      <c r="O151" s="11"/>
      <c r="P151" s="11"/>
      <c r="Q151" s="1">
        <v>147</v>
      </c>
      <c r="R151" s="1"/>
      <c r="S151" s="3">
        <f>INDEX(Locations!$D$6:$D$455,MATCH(B151,Locations!$A$6:$A$455,0))</f>
        <v>42.730448966851498</v>
      </c>
      <c r="T151" s="3">
        <f>INDEX(Locations!$E$6:$E$455,MATCH(B151,Locations!$A$6:$A$455,0))</f>
        <v>-73.682672358097903</v>
      </c>
      <c r="U151" s="3">
        <f>INDEX(Locations!$D$6:$D$455,MATCH(C151,Locations!$A$6:$A$455,0))</f>
        <v>42.730545525954</v>
      </c>
      <c r="V151" s="3">
        <f>INDEX(Locations!$E$6:$E$455,MATCH(C151,Locations!$A$6:$A$455,0))</f>
        <v>-73.682174175799702</v>
      </c>
    </row>
    <row r="152" spans="1:22" ht="23.1" customHeight="1">
      <c r="A152" s="1" t="s">
        <v>760</v>
      </c>
      <c r="B152" s="1" t="s">
        <v>313</v>
      </c>
      <c r="C152" s="1" t="s">
        <v>310</v>
      </c>
      <c r="D152" s="1" t="s">
        <v>612</v>
      </c>
      <c r="E152" s="13">
        <f t="shared" si="2"/>
        <v>24.639679039122523</v>
      </c>
      <c r="F152" s="11" t="s">
        <v>70</v>
      </c>
      <c r="G152" s="11" t="s">
        <v>69</v>
      </c>
      <c r="H152" s="11" t="s">
        <v>69</v>
      </c>
      <c r="I152" s="11" t="s">
        <v>69</v>
      </c>
      <c r="J152" s="11" t="s">
        <v>69</v>
      </c>
      <c r="K152" s="14"/>
      <c r="L152" s="14"/>
      <c r="M152" s="11"/>
      <c r="N152" s="12"/>
      <c r="O152" s="11"/>
      <c r="P152" s="11"/>
      <c r="Q152" s="1">
        <v>148</v>
      </c>
      <c r="R152" s="1"/>
      <c r="S152" s="3">
        <f>INDEX(Locations!$D$6:$D$455,MATCH(B152,Locations!$A$6:$A$455,0))</f>
        <v>42.730237456436399</v>
      </c>
      <c r="T152" s="3">
        <f>INDEX(Locations!$E$6:$E$455,MATCH(B152,Locations!$A$6:$A$455,0))</f>
        <v>-73.682291956918107</v>
      </c>
      <c r="U152" s="3">
        <f>INDEX(Locations!$D$6:$D$455,MATCH(C152,Locations!$A$6:$A$455,0))</f>
        <v>42.7304144814577</v>
      </c>
      <c r="V152" s="3">
        <f>INDEX(Locations!$E$6:$E$455,MATCH(C152,Locations!$A$6:$A$455,0))</f>
        <v>-73.682110510330304</v>
      </c>
    </row>
    <row r="153" spans="1:22" ht="23.1" customHeight="1">
      <c r="A153" s="1" t="s">
        <v>761</v>
      </c>
      <c r="B153" s="1" t="s">
        <v>312</v>
      </c>
      <c r="C153" s="1" t="s">
        <v>313</v>
      </c>
      <c r="D153" s="1" t="s">
        <v>612</v>
      </c>
      <c r="E153" s="13">
        <f t="shared" si="2"/>
        <v>38.968291611040122</v>
      </c>
      <c r="F153" s="11" t="s">
        <v>70</v>
      </c>
      <c r="G153" s="11" t="s">
        <v>69</v>
      </c>
      <c r="H153" s="11" t="s">
        <v>69</v>
      </c>
      <c r="I153" s="11" t="s">
        <v>69</v>
      </c>
      <c r="J153" s="11" t="s">
        <v>69</v>
      </c>
      <c r="K153" s="14"/>
      <c r="L153" s="14"/>
      <c r="M153" s="11"/>
      <c r="N153" s="12"/>
      <c r="O153" s="11"/>
      <c r="P153" s="11"/>
      <c r="Q153" s="1">
        <v>149</v>
      </c>
      <c r="R153" s="1"/>
      <c r="S153" s="3">
        <f>INDEX(Locations!$D$6:$D$455,MATCH(B153,Locations!$A$6:$A$455,0))</f>
        <v>42.730448966851498</v>
      </c>
      <c r="T153" s="3">
        <f>INDEX(Locations!$E$6:$E$455,MATCH(B153,Locations!$A$6:$A$455,0))</f>
        <v>-73.682672358097903</v>
      </c>
      <c r="U153" s="3">
        <f>INDEX(Locations!$D$6:$D$455,MATCH(C153,Locations!$A$6:$A$455,0))</f>
        <v>42.730237456436399</v>
      </c>
      <c r="V153" s="3">
        <f>INDEX(Locations!$E$6:$E$455,MATCH(C153,Locations!$A$6:$A$455,0))</f>
        <v>-73.682291956918107</v>
      </c>
    </row>
    <row r="154" spans="1:22" ht="23.1" customHeight="1">
      <c r="A154" s="1" t="s">
        <v>762</v>
      </c>
      <c r="B154" s="1" t="s">
        <v>302</v>
      </c>
      <c r="C154" s="1" t="s">
        <v>310</v>
      </c>
      <c r="D154" s="1" t="s">
        <v>612</v>
      </c>
      <c r="E154" s="13">
        <f t="shared" si="2"/>
        <v>41.828439793279756</v>
      </c>
      <c r="F154" s="11" t="s">
        <v>70</v>
      </c>
      <c r="G154" s="11" t="s">
        <v>69</v>
      </c>
      <c r="H154" s="11" t="s">
        <v>69</v>
      </c>
      <c r="I154" s="11" t="s">
        <v>69</v>
      </c>
      <c r="J154" s="11" t="s">
        <v>69</v>
      </c>
      <c r="K154" s="14"/>
      <c r="L154" s="14"/>
      <c r="M154" s="11"/>
      <c r="N154" s="12"/>
      <c r="O154" s="11"/>
      <c r="P154" s="11"/>
      <c r="Q154" s="1">
        <v>150</v>
      </c>
      <c r="R154" s="1"/>
      <c r="S154" s="3">
        <f>INDEX(Locations!$D$6:$D$455,MATCH(B154,Locations!$A$6:$A$455,0))</f>
        <v>42.730177681753901</v>
      </c>
      <c r="T154" s="3">
        <f>INDEX(Locations!$E$6:$E$455,MATCH(B154,Locations!$A$6:$A$455,0))</f>
        <v>-73.681712601146501</v>
      </c>
      <c r="U154" s="3">
        <f>INDEX(Locations!$D$6:$D$455,MATCH(C154,Locations!$A$6:$A$455,0))</f>
        <v>42.7304144814577</v>
      </c>
      <c r="V154" s="3">
        <f>INDEX(Locations!$E$6:$E$455,MATCH(C154,Locations!$A$6:$A$455,0))</f>
        <v>-73.682110510330304</v>
      </c>
    </row>
    <row r="155" spans="1:22" ht="23.1" customHeight="1">
      <c r="A155" s="1" t="s">
        <v>763</v>
      </c>
      <c r="B155" s="1" t="s">
        <v>307</v>
      </c>
      <c r="C155" s="1" t="s">
        <v>127</v>
      </c>
      <c r="D155" s="1" t="s">
        <v>612</v>
      </c>
      <c r="E155" s="13">
        <f t="shared" si="2"/>
        <v>15.145997138092989</v>
      </c>
      <c r="F155" s="11" t="s">
        <v>70</v>
      </c>
      <c r="G155" s="11" t="s">
        <v>69</v>
      </c>
      <c r="H155" s="11" t="s">
        <v>69</v>
      </c>
      <c r="I155" s="11" t="s">
        <v>69</v>
      </c>
      <c r="J155" s="11" t="s">
        <v>69</v>
      </c>
      <c r="K155" s="14"/>
      <c r="L155" s="14"/>
      <c r="M155" s="11"/>
      <c r="N155" s="12"/>
      <c r="O155" s="11"/>
      <c r="P155" s="11"/>
      <c r="Q155" s="1">
        <v>151</v>
      </c>
      <c r="R155" s="1"/>
      <c r="S155" s="3">
        <f>INDEX(Locations!$D$6:$D$455,MATCH(B155,Locations!$A$6:$A$455,0))</f>
        <v>42.730146644899499</v>
      </c>
      <c r="T155" s="3">
        <f>INDEX(Locations!$E$6:$E$455,MATCH(B155,Locations!$A$6:$A$455,0))</f>
        <v>-73.681230335215702</v>
      </c>
      <c r="U155" s="3">
        <f>INDEX(Locations!$D$6:$D$455,MATCH(C155,Locations!$A$6:$A$455,0))</f>
        <v>42.730018014374501</v>
      </c>
      <c r="V155" s="3">
        <f>INDEX(Locations!$E$6:$E$455,MATCH(C155,Locations!$A$6:$A$455,0))</f>
        <v>-73.681169336383604</v>
      </c>
    </row>
    <row r="156" spans="1:22" ht="23.1" customHeight="1">
      <c r="A156" s="1" t="s">
        <v>764</v>
      </c>
      <c r="B156" s="1" t="s">
        <v>285</v>
      </c>
      <c r="C156" s="1" t="s">
        <v>314</v>
      </c>
      <c r="D156" s="1" t="s">
        <v>612</v>
      </c>
      <c r="E156" s="13">
        <f t="shared" si="2"/>
        <v>34.952174003839581</v>
      </c>
      <c r="F156" s="11" t="s">
        <v>70</v>
      </c>
      <c r="G156" s="11" t="s">
        <v>69</v>
      </c>
      <c r="H156" s="11" t="s">
        <v>69</v>
      </c>
      <c r="I156" s="11" t="s">
        <v>69</v>
      </c>
      <c r="J156" s="11" t="s">
        <v>69</v>
      </c>
      <c r="K156" s="14"/>
      <c r="L156" s="14"/>
      <c r="M156" s="11"/>
      <c r="N156" s="12"/>
      <c r="O156" s="11"/>
      <c r="P156" s="11"/>
      <c r="Q156" s="1">
        <v>152</v>
      </c>
      <c r="R156" s="1"/>
      <c r="S156" s="3">
        <f>INDEX(Locations!$D$6:$D$455,MATCH(B156,Locations!$A$6:$A$455,0))</f>
        <v>42.7307524383165</v>
      </c>
      <c r="T156" s="3">
        <f>INDEX(Locations!$E$6:$E$455,MATCH(B156,Locations!$A$6:$A$455,0))</f>
        <v>-73.680327877186798</v>
      </c>
      <c r="U156" s="3">
        <f>INDEX(Locations!$D$6:$D$455,MATCH(C156,Locations!$A$6:$A$455,0))</f>
        <v>42.730628290898999</v>
      </c>
      <c r="V156" s="3">
        <f>INDEX(Locations!$E$6:$E$455,MATCH(C156,Locations!$A$6:$A$455,0))</f>
        <v>-73.680721011460406</v>
      </c>
    </row>
    <row r="157" spans="1:22" ht="23.1" customHeight="1">
      <c r="A157" s="1" t="s">
        <v>765</v>
      </c>
      <c r="B157" s="1" t="s">
        <v>286</v>
      </c>
      <c r="C157" s="1" t="s">
        <v>314</v>
      </c>
      <c r="D157" s="1" t="s">
        <v>612</v>
      </c>
      <c r="E157" s="13">
        <f t="shared" si="2"/>
        <v>26.365026481715145</v>
      </c>
      <c r="F157" s="11" t="s">
        <v>70</v>
      </c>
      <c r="G157" s="11" t="s">
        <v>69</v>
      </c>
      <c r="H157" s="11" t="s">
        <v>69</v>
      </c>
      <c r="I157" s="11" t="s">
        <v>69</v>
      </c>
      <c r="J157" s="11" t="s">
        <v>69</v>
      </c>
      <c r="K157" s="14"/>
      <c r="L157" s="14"/>
      <c r="M157" s="11"/>
      <c r="N157" s="12"/>
      <c r="O157" s="11"/>
      <c r="P157" s="11"/>
      <c r="Q157" s="1">
        <v>153</v>
      </c>
      <c r="R157" s="1"/>
      <c r="S157" s="3">
        <f>INDEX(Locations!$D$6:$D$455,MATCH(B157,Locations!$A$6:$A$455,0))</f>
        <v>42.730816811051596</v>
      </c>
      <c r="T157" s="3">
        <f>INDEX(Locations!$E$6:$E$455,MATCH(B157,Locations!$A$6:$A$455,0))</f>
        <v>-73.680916782778894</v>
      </c>
      <c r="U157" s="3">
        <f>INDEX(Locations!$D$6:$D$455,MATCH(C157,Locations!$A$6:$A$455,0))</f>
        <v>42.730628290898999</v>
      </c>
      <c r="V157" s="3">
        <f>INDEX(Locations!$E$6:$E$455,MATCH(C157,Locations!$A$6:$A$455,0))</f>
        <v>-73.680721011460406</v>
      </c>
    </row>
    <row r="158" spans="1:22" ht="23.1" customHeight="1">
      <c r="A158" s="1" t="s">
        <v>766</v>
      </c>
      <c r="B158" s="1" t="s">
        <v>284</v>
      </c>
      <c r="C158" s="1" t="s">
        <v>314</v>
      </c>
      <c r="D158" s="1" t="s">
        <v>612</v>
      </c>
      <c r="E158" s="13">
        <f t="shared" si="2"/>
        <v>31.669434900128547</v>
      </c>
      <c r="F158" s="11" t="s">
        <v>70</v>
      </c>
      <c r="G158" s="11" t="s">
        <v>69</v>
      </c>
      <c r="H158" s="11" t="s">
        <v>69</v>
      </c>
      <c r="I158" s="11" t="s">
        <v>69</v>
      </c>
      <c r="J158" s="11" t="s">
        <v>69</v>
      </c>
      <c r="K158" s="14"/>
      <c r="L158" s="14"/>
      <c r="M158" s="11"/>
      <c r="N158" s="12"/>
      <c r="O158" s="11"/>
      <c r="P158" s="11"/>
      <c r="Q158" s="1">
        <v>154</v>
      </c>
      <c r="R158" s="1"/>
      <c r="S158" s="3">
        <f>INDEX(Locations!$D$6:$D$455,MATCH(B158,Locations!$A$6:$A$455,0))</f>
        <v>42.730365052393303</v>
      </c>
      <c r="T158" s="3">
        <f>INDEX(Locations!$E$6:$E$455,MATCH(B158,Locations!$A$6:$A$455,0))</f>
        <v>-73.6808690336768</v>
      </c>
      <c r="U158" s="3">
        <f>INDEX(Locations!$D$6:$D$455,MATCH(C158,Locations!$A$6:$A$455,0))</f>
        <v>42.730628290898999</v>
      </c>
      <c r="V158" s="3">
        <f>INDEX(Locations!$E$6:$E$455,MATCH(C158,Locations!$A$6:$A$455,0))</f>
        <v>-73.680721011460406</v>
      </c>
    </row>
    <row r="159" spans="1:22" ht="23.1" customHeight="1">
      <c r="A159" s="1" t="s">
        <v>767</v>
      </c>
      <c r="B159" s="1" t="s">
        <v>291</v>
      </c>
      <c r="C159" s="1" t="s">
        <v>316</v>
      </c>
      <c r="D159" s="1" t="s">
        <v>612</v>
      </c>
      <c r="E159" s="13">
        <f t="shared" si="2"/>
        <v>32.182337591824215</v>
      </c>
      <c r="F159" s="11" t="s">
        <v>70</v>
      </c>
      <c r="G159" s="11" t="s">
        <v>69</v>
      </c>
      <c r="H159" s="11" t="s">
        <v>69</v>
      </c>
      <c r="I159" s="11" t="s">
        <v>69</v>
      </c>
      <c r="J159" s="11" t="s">
        <v>69</v>
      </c>
      <c r="K159" s="14"/>
      <c r="L159" s="14"/>
      <c r="M159" s="11"/>
      <c r="N159" s="12"/>
      <c r="O159" s="11"/>
      <c r="P159" s="11"/>
      <c r="Q159" s="1">
        <v>155</v>
      </c>
      <c r="R159" s="1"/>
      <c r="S159" s="3">
        <f>INDEX(Locations!$D$6:$D$455,MATCH(B159,Locations!$A$6:$A$455,0))</f>
        <v>42.729790295830703</v>
      </c>
      <c r="T159" s="3">
        <f>INDEX(Locations!$E$6:$E$455,MATCH(B159,Locations!$A$6:$A$455,0))</f>
        <v>-73.680959756970694</v>
      </c>
      <c r="U159" s="3">
        <f>INDEX(Locations!$D$6:$D$455,MATCH(C159,Locations!$A$6:$A$455,0))</f>
        <v>42.7295063660887</v>
      </c>
      <c r="V159" s="3">
        <f>INDEX(Locations!$E$6:$E$455,MATCH(C159,Locations!$A$6:$A$455,0))</f>
        <v>-73.681036155534002</v>
      </c>
    </row>
    <row r="160" spans="1:22" ht="23.1" customHeight="1">
      <c r="A160" s="1" t="s">
        <v>768</v>
      </c>
      <c r="B160" s="1" t="s">
        <v>315</v>
      </c>
      <c r="C160" s="1" t="s">
        <v>316</v>
      </c>
      <c r="D160" s="1" t="s">
        <v>612</v>
      </c>
      <c r="E160" s="13">
        <f t="shared" si="2"/>
        <v>32.454836782566439</v>
      </c>
      <c r="F160" s="11" t="s">
        <v>70</v>
      </c>
      <c r="G160" s="11" t="s">
        <v>69</v>
      </c>
      <c r="H160" s="11" t="s">
        <v>69</v>
      </c>
      <c r="I160" s="11" t="s">
        <v>69</v>
      </c>
      <c r="J160" s="11" t="s">
        <v>69</v>
      </c>
      <c r="K160" s="14"/>
      <c r="L160" s="14"/>
      <c r="M160" s="11"/>
      <c r="N160" s="12"/>
      <c r="O160" s="11"/>
      <c r="P160" s="11"/>
      <c r="Q160" s="1">
        <v>156</v>
      </c>
      <c r="R160" s="1"/>
      <c r="S160" s="3">
        <f>INDEX(Locations!$D$6:$D$455,MATCH(B160,Locations!$A$6:$A$455,0))</f>
        <v>42.729379919644899</v>
      </c>
      <c r="T160" s="3">
        <f>INDEX(Locations!$E$6:$E$455,MATCH(B160,Locations!$A$6:$A$455,0))</f>
        <v>-73.681394273799398</v>
      </c>
      <c r="U160" s="3">
        <f>INDEX(Locations!$D$6:$D$455,MATCH(C160,Locations!$A$6:$A$455,0))</f>
        <v>42.7295063660887</v>
      </c>
      <c r="V160" s="3">
        <f>INDEX(Locations!$E$6:$E$455,MATCH(C160,Locations!$A$6:$A$455,0))</f>
        <v>-73.681036155534002</v>
      </c>
    </row>
    <row r="161" spans="1:22" ht="23.1" customHeight="1">
      <c r="A161" s="1" t="s">
        <v>769</v>
      </c>
      <c r="B161" s="1" t="s">
        <v>143</v>
      </c>
      <c r="C161" s="1" t="s">
        <v>316</v>
      </c>
      <c r="D161" s="1" t="s">
        <v>612</v>
      </c>
      <c r="E161" s="13">
        <f t="shared" si="2"/>
        <v>70.126409541398587</v>
      </c>
      <c r="F161" s="11" t="s">
        <v>70</v>
      </c>
      <c r="G161" s="11" t="s">
        <v>69</v>
      </c>
      <c r="H161" s="11" t="s">
        <v>69</v>
      </c>
      <c r="I161" s="11" t="s">
        <v>69</v>
      </c>
      <c r="J161" s="11" t="s">
        <v>69</v>
      </c>
      <c r="K161" s="14"/>
      <c r="L161" s="14"/>
      <c r="M161" s="11"/>
      <c r="N161" s="12"/>
      <c r="O161" s="11"/>
      <c r="P161" s="11"/>
      <c r="Q161" s="1">
        <v>157</v>
      </c>
      <c r="R161" s="1"/>
      <c r="S161" s="3">
        <f>INDEX(Locations!$D$6:$D$455,MATCH(B161,Locations!$A$6:$A$455,0))</f>
        <v>42.729602379214398</v>
      </c>
      <c r="T161" s="3">
        <f>INDEX(Locations!$E$6:$E$455,MATCH(B161,Locations!$A$6:$A$455,0))</f>
        <v>-73.680187611479596</v>
      </c>
      <c r="U161" s="3">
        <f>INDEX(Locations!$D$6:$D$455,MATCH(C161,Locations!$A$6:$A$455,0))</f>
        <v>42.7295063660887</v>
      </c>
      <c r="V161" s="3">
        <f>INDEX(Locations!$E$6:$E$455,MATCH(C161,Locations!$A$6:$A$455,0))</f>
        <v>-73.681036155534002</v>
      </c>
    </row>
    <row r="162" spans="1:22" ht="23.1" customHeight="1">
      <c r="A162" s="1" t="s">
        <v>770</v>
      </c>
      <c r="B162" s="1" t="s">
        <v>298</v>
      </c>
      <c r="C162" s="1" t="s">
        <v>315</v>
      </c>
      <c r="D162" s="1" t="s">
        <v>612</v>
      </c>
      <c r="E162" s="13">
        <f t="shared" si="2"/>
        <v>41.905213502324443</v>
      </c>
      <c r="F162" s="11" t="s">
        <v>70</v>
      </c>
      <c r="G162" s="11" t="s">
        <v>69</v>
      </c>
      <c r="H162" s="11" t="s">
        <v>69</v>
      </c>
      <c r="I162" s="11" t="s">
        <v>69</v>
      </c>
      <c r="J162" s="11" t="s">
        <v>69</v>
      </c>
      <c r="K162" s="14"/>
      <c r="L162" s="14"/>
      <c r="M162" s="11"/>
      <c r="N162" s="12"/>
      <c r="O162" s="11"/>
      <c r="P162" s="11"/>
      <c r="Q162" s="1">
        <v>158</v>
      </c>
      <c r="R162" s="1"/>
      <c r="S162" s="3">
        <f>INDEX(Locations!$D$6:$D$455,MATCH(B162,Locations!$A$6:$A$455,0))</f>
        <v>42.729724773582497</v>
      </c>
      <c r="T162" s="3">
        <f>INDEX(Locations!$E$6:$E$455,MATCH(B162,Locations!$A$6:$A$455,0))</f>
        <v>-73.681601186574994</v>
      </c>
      <c r="U162" s="3">
        <f>INDEX(Locations!$D$6:$D$455,MATCH(C162,Locations!$A$6:$A$455,0))</f>
        <v>42.729379919644899</v>
      </c>
      <c r="V162" s="3">
        <f>INDEX(Locations!$E$6:$E$455,MATCH(C162,Locations!$A$6:$A$455,0))</f>
        <v>-73.681394273799398</v>
      </c>
    </row>
    <row r="163" spans="1:22" ht="23.1" customHeight="1">
      <c r="A163" s="1" t="s">
        <v>771</v>
      </c>
      <c r="B163" s="1" t="s">
        <v>299</v>
      </c>
      <c r="C163" s="1" t="s">
        <v>125</v>
      </c>
      <c r="D163" s="1" t="s">
        <v>612</v>
      </c>
      <c r="E163" s="13">
        <f t="shared" si="2"/>
        <v>74.693927100675722</v>
      </c>
      <c r="F163" s="11" t="s">
        <v>70</v>
      </c>
      <c r="G163" s="11" t="s">
        <v>69</v>
      </c>
      <c r="H163" s="11" t="s">
        <v>69</v>
      </c>
      <c r="I163" s="11" t="s">
        <v>69</v>
      </c>
      <c r="J163" s="11" t="s">
        <v>69</v>
      </c>
      <c r="K163" s="14"/>
      <c r="L163" s="14"/>
      <c r="M163" s="11"/>
      <c r="N163" s="12"/>
      <c r="O163" s="11"/>
      <c r="P163" s="11"/>
      <c r="Q163" s="1">
        <v>159</v>
      </c>
      <c r="R163" s="1"/>
      <c r="S163" s="3">
        <f>INDEX(Locations!$D$6:$D$455,MATCH(B163,Locations!$A$6:$A$455,0))</f>
        <v>42.729724773582497</v>
      </c>
      <c r="T163" s="3">
        <f>INDEX(Locations!$E$6:$E$455,MATCH(B163,Locations!$A$6:$A$455,0))</f>
        <v>-73.681792182983301</v>
      </c>
      <c r="U163" s="3">
        <f>INDEX(Locations!$D$6:$D$455,MATCH(C163,Locations!$A$6:$A$455,0))</f>
        <v>42.729346823390202</v>
      </c>
      <c r="V163" s="3">
        <f>INDEX(Locations!$E$6:$E$455,MATCH(C163,Locations!$A$6:$A$455,0))</f>
        <v>-73.682548175425595</v>
      </c>
    </row>
    <row r="164" spans="1:22" ht="23.1" customHeight="1">
      <c r="A164" s="1" t="s">
        <v>772</v>
      </c>
      <c r="B164" s="1" t="s">
        <v>315</v>
      </c>
      <c r="C164" s="1" t="s">
        <v>317</v>
      </c>
      <c r="D164" s="1" t="s">
        <v>612</v>
      </c>
      <c r="E164" s="13">
        <f t="shared" si="2"/>
        <v>45.501764673324168</v>
      </c>
      <c r="F164" s="11" t="s">
        <v>70</v>
      </c>
      <c r="G164" s="11" t="s">
        <v>69</v>
      </c>
      <c r="H164" s="11" t="s">
        <v>69</v>
      </c>
      <c r="I164" s="11" t="s">
        <v>69</v>
      </c>
      <c r="J164" s="11" t="s">
        <v>69</v>
      </c>
      <c r="K164" s="14"/>
      <c r="L164" s="14"/>
      <c r="M164" s="11"/>
      <c r="N164" s="12"/>
      <c r="O164" s="11"/>
      <c r="P164" s="11"/>
      <c r="Q164" s="1">
        <v>160</v>
      </c>
      <c r="R164" s="1"/>
      <c r="S164" s="3">
        <f>INDEX(Locations!$D$6:$D$455,MATCH(B164,Locations!$A$6:$A$455,0))</f>
        <v>42.729379919644899</v>
      </c>
      <c r="T164" s="3">
        <f>INDEX(Locations!$E$6:$E$455,MATCH(B164,Locations!$A$6:$A$455,0))</f>
        <v>-73.681394273799398</v>
      </c>
      <c r="U164" s="3">
        <f>INDEX(Locations!$D$6:$D$455,MATCH(C164,Locations!$A$6:$A$455,0))</f>
        <v>42.729379919644899</v>
      </c>
      <c r="V164" s="3">
        <f>INDEX(Locations!$E$6:$E$455,MATCH(C164,Locations!$A$6:$A$455,0))</f>
        <v>-73.681951346656803</v>
      </c>
    </row>
    <row r="165" spans="1:22" ht="23.1" customHeight="1">
      <c r="A165" s="1" t="s">
        <v>773</v>
      </c>
      <c r="B165" s="1" t="s">
        <v>125</v>
      </c>
      <c r="C165" s="1" t="s">
        <v>317</v>
      </c>
      <c r="D165" s="1" t="s">
        <v>612</v>
      </c>
      <c r="E165" s="13">
        <f t="shared" si="2"/>
        <v>48.88775637495938</v>
      </c>
      <c r="F165" s="11" t="s">
        <v>70</v>
      </c>
      <c r="G165" s="11" t="s">
        <v>69</v>
      </c>
      <c r="H165" s="11" t="s">
        <v>69</v>
      </c>
      <c r="I165" s="11" t="s">
        <v>69</v>
      </c>
      <c r="J165" s="11" t="s">
        <v>69</v>
      </c>
      <c r="K165" s="14"/>
      <c r="L165" s="14"/>
      <c r="M165" s="11"/>
      <c r="N165" s="12"/>
      <c r="O165" s="11"/>
      <c r="P165" s="11"/>
      <c r="Q165" s="1">
        <v>161</v>
      </c>
      <c r="R165" s="1"/>
      <c r="S165" s="3">
        <f>INDEX(Locations!$D$6:$D$455,MATCH(B165,Locations!$A$6:$A$455,0))</f>
        <v>42.729346823390202</v>
      </c>
      <c r="T165" s="3">
        <f>INDEX(Locations!$E$6:$E$455,MATCH(B165,Locations!$A$6:$A$455,0))</f>
        <v>-73.682548175425595</v>
      </c>
      <c r="U165" s="3">
        <f>INDEX(Locations!$D$6:$D$455,MATCH(C165,Locations!$A$6:$A$455,0))</f>
        <v>42.729379919644899</v>
      </c>
      <c r="V165" s="3">
        <f>INDEX(Locations!$E$6:$E$455,MATCH(C165,Locations!$A$6:$A$455,0))</f>
        <v>-73.681951346656803</v>
      </c>
    </row>
    <row r="166" spans="1:22" ht="23.1" customHeight="1">
      <c r="A166" s="1" t="s">
        <v>774</v>
      </c>
      <c r="B166" s="1" t="s">
        <v>201</v>
      </c>
      <c r="C166" s="1" t="s">
        <v>317</v>
      </c>
      <c r="D166" s="1" t="s">
        <v>612</v>
      </c>
      <c r="E166" s="13">
        <f t="shared" si="2"/>
        <v>14.905920366049136</v>
      </c>
      <c r="F166" s="11" t="s">
        <v>70</v>
      </c>
      <c r="G166" s="11" t="s">
        <v>69</v>
      </c>
      <c r="H166" s="11" t="s">
        <v>69</v>
      </c>
      <c r="I166" s="11" t="s">
        <v>69</v>
      </c>
      <c r="J166" s="11" t="s">
        <v>69</v>
      </c>
      <c r="K166" s="14"/>
      <c r="L166" s="14"/>
      <c r="M166" s="11"/>
      <c r="N166" s="12"/>
      <c r="O166" s="11"/>
      <c r="P166" s="11"/>
      <c r="Q166" s="1">
        <v>162</v>
      </c>
      <c r="R166" s="1"/>
      <c r="S166" s="3">
        <f>INDEX(Locations!$D$6:$D$455,MATCH(B166,Locations!$A$6:$A$455,0))</f>
        <v>42.729247288086697</v>
      </c>
      <c r="T166" s="3">
        <f>INDEX(Locations!$E$6:$E$455,MATCH(B166,Locations!$A$6:$A$455,0))</f>
        <v>-73.681924849268597</v>
      </c>
      <c r="U166" s="3">
        <f>INDEX(Locations!$D$6:$D$455,MATCH(C166,Locations!$A$6:$A$455,0))</f>
        <v>42.729379919644899</v>
      </c>
      <c r="V166" s="3">
        <f>INDEX(Locations!$E$6:$E$455,MATCH(C166,Locations!$A$6:$A$455,0))</f>
        <v>-73.681951346656803</v>
      </c>
    </row>
    <row r="167" spans="1:22" ht="23.1" customHeight="1">
      <c r="A167" s="1" t="s">
        <v>775</v>
      </c>
      <c r="B167" s="1" t="s">
        <v>274</v>
      </c>
      <c r="C167" s="1" t="s">
        <v>319</v>
      </c>
      <c r="D167" s="1" t="s">
        <v>612</v>
      </c>
      <c r="E167" s="13">
        <f t="shared" si="2"/>
        <v>13.442268418118859</v>
      </c>
      <c r="F167" s="11" t="s">
        <v>70</v>
      </c>
      <c r="G167" s="11" t="s">
        <v>69</v>
      </c>
      <c r="H167" s="11" t="s">
        <v>69</v>
      </c>
      <c r="I167" s="11" t="s">
        <v>69</v>
      </c>
      <c r="J167" s="11" t="s">
        <v>69</v>
      </c>
      <c r="K167" s="14"/>
      <c r="L167" s="14"/>
      <c r="M167" s="11"/>
      <c r="N167" s="12"/>
      <c r="O167" s="11"/>
      <c r="P167" s="11"/>
      <c r="Q167" s="1">
        <v>163</v>
      </c>
      <c r="R167" s="1"/>
      <c r="S167" s="3">
        <f>INDEX(Locations!$D$6:$D$455,MATCH(B167,Locations!$A$6:$A$455,0))</f>
        <v>42.729575336876202</v>
      </c>
      <c r="T167" s="3">
        <f>INDEX(Locations!$E$6:$E$455,MATCH(B167,Locations!$A$6:$A$455,0))</f>
        <v>-73.678592993145401</v>
      </c>
      <c r="U167" s="3">
        <f>INDEX(Locations!$D$6:$D$455,MATCH(C167,Locations!$A$6:$A$455,0))</f>
        <v>42.729520160246203</v>
      </c>
      <c r="V167" s="3">
        <f>INDEX(Locations!$E$6:$E$455,MATCH(C167,Locations!$A$6:$A$455,0))</f>
        <v>-73.678446562565696</v>
      </c>
    </row>
    <row r="168" spans="1:22" ht="23.1" customHeight="1">
      <c r="A168" s="1" t="s">
        <v>776</v>
      </c>
      <c r="B168" s="1" t="s">
        <v>275</v>
      </c>
      <c r="C168" s="1" t="s">
        <v>321</v>
      </c>
      <c r="D168" s="1" t="s">
        <v>612</v>
      </c>
      <c r="E168" s="13">
        <f t="shared" si="2"/>
        <v>22.533957024585852</v>
      </c>
      <c r="F168" s="11" t="s">
        <v>70</v>
      </c>
      <c r="G168" s="11" t="s">
        <v>69</v>
      </c>
      <c r="H168" s="11" t="s">
        <v>69</v>
      </c>
      <c r="I168" s="11" t="s">
        <v>69</v>
      </c>
      <c r="J168" s="11" t="s">
        <v>69</v>
      </c>
      <c r="K168" s="14"/>
      <c r="L168" s="14"/>
      <c r="M168" s="11"/>
      <c r="N168" s="12"/>
      <c r="O168" s="11"/>
      <c r="P168" s="11"/>
      <c r="Q168" s="1">
        <v>164</v>
      </c>
      <c r="R168" s="1"/>
      <c r="S168" s="3">
        <f>INDEX(Locations!$D$6:$D$455,MATCH(B168,Locations!$A$6:$A$455,0))</f>
        <v>42.729379919644899</v>
      </c>
      <c r="T168" s="3">
        <f>INDEX(Locations!$E$6:$E$455,MATCH(B168,Locations!$A$6:$A$455,0))</f>
        <v>-73.677972254818599</v>
      </c>
      <c r="U168" s="3">
        <f>INDEX(Locations!$D$6:$D$455,MATCH(C168,Locations!$A$6:$A$455,0))</f>
        <v>42.729441993353703</v>
      </c>
      <c r="V168" s="3">
        <f>INDEX(Locations!$E$6:$E$455,MATCH(C168,Locations!$A$6:$A$455,0))</f>
        <v>-73.678234874879905</v>
      </c>
    </row>
    <row r="169" spans="1:22" ht="23.1" customHeight="1">
      <c r="A169" s="1" t="s">
        <v>777</v>
      </c>
      <c r="B169" s="1" t="s">
        <v>319</v>
      </c>
      <c r="C169" s="1" t="s">
        <v>321</v>
      </c>
      <c r="D169" s="1" t="s">
        <v>612</v>
      </c>
      <c r="E169" s="13">
        <f t="shared" si="2"/>
        <v>19.352339349312974</v>
      </c>
      <c r="F169" s="11" t="s">
        <v>70</v>
      </c>
      <c r="G169" s="11" t="s">
        <v>69</v>
      </c>
      <c r="H169" s="11" t="s">
        <v>69</v>
      </c>
      <c r="I169" s="11" t="s">
        <v>69</v>
      </c>
      <c r="J169" s="11" t="s">
        <v>69</v>
      </c>
      <c r="K169" s="14"/>
      <c r="L169" s="14"/>
      <c r="M169" s="11"/>
      <c r="N169" s="12"/>
      <c r="O169" s="11"/>
      <c r="P169" s="11"/>
      <c r="Q169" s="1">
        <v>165</v>
      </c>
      <c r="R169" s="1"/>
      <c r="S169" s="3">
        <f>INDEX(Locations!$D$6:$D$455,MATCH(B169,Locations!$A$6:$A$455,0))</f>
        <v>42.729520160246203</v>
      </c>
      <c r="T169" s="3">
        <f>INDEX(Locations!$E$6:$E$455,MATCH(B169,Locations!$A$6:$A$455,0))</f>
        <v>-73.678446562565696</v>
      </c>
      <c r="U169" s="3">
        <f>INDEX(Locations!$D$6:$D$455,MATCH(C169,Locations!$A$6:$A$455,0))</f>
        <v>42.729441993353703</v>
      </c>
      <c r="V169" s="3">
        <f>INDEX(Locations!$E$6:$E$455,MATCH(C169,Locations!$A$6:$A$455,0))</f>
        <v>-73.678234874879905</v>
      </c>
    </row>
    <row r="170" spans="1:22" ht="23.1" customHeight="1">
      <c r="A170" s="1" t="s">
        <v>778</v>
      </c>
      <c r="B170" s="1" t="s">
        <v>183</v>
      </c>
      <c r="C170" s="1" t="s">
        <v>321</v>
      </c>
      <c r="D170" s="1" t="s">
        <v>612</v>
      </c>
      <c r="E170" s="13">
        <f t="shared" si="2"/>
        <v>26.522872030131548</v>
      </c>
      <c r="F170" s="11" t="s">
        <v>70</v>
      </c>
      <c r="G170" s="11" t="s">
        <v>69</v>
      </c>
      <c r="H170" s="11" t="s">
        <v>69</v>
      </c>
      <c r="I170" s="11" t="s">
        <v>69</v>
      </c>
      <c r="J170" s="11" t="s">
        <v>69</v>
      </c>
      <c r="K170" s="14"/>
      <c r="L170" s="14"/>
      <c r="M170" s="11"/>
      <c r="N170" s="12"/>
      <c r="O170" s="11"/>
      <c r="P170" s="11"/>
      <c r="Q170" s="1">
        <v>166</v>
      </c>
      <c r="R170" s="1"/>
      <c r="S170" s="3">
        <f>INDEX(Locations!$D$6:$D$455,MATCH(B170,Locations!$A$6:$A$455,0))</f>
        <v>42.7292099242771</v>
      </c>
      <c r="T170" s="3">
        <f>INDEX(Locations!$E$6:$E$455,MATCH(B170,Locations!$A$6:$A$455,0))</f>
        <v>-73.678159833279494</v>
      </c>
      <c r="U170" s="3">
        <f>INDEX(Locations!$D$6:$D$455,MATCH(C170,Locations!$A$6:$A$455,0))</f>
        <v>42.729441993353703</v>
      </c>
      <c r="V170" s="3">
        <f>INDEX(Locations!$E$6:$E$455,MATCH(C170,Locations!$A$6:$A$455,0))</f>
        <v>-73.678234874879905</v>
      </c>
    </row>
    <row r="171" spans="1:22" ht="23.1" customHeight="1">
      <c r="A171" s="1" t="s">
        <v>779</v>
      </c>
      <c r="B171" s="1" t="s">
        <v>319</v>
      </c>
      <c r="C171" s="1" t="s">
        <v>320</v>
      </c>
      <c r="D171" s="1" t="s">
        <v>612</v>
      </c>
      <c r="E171" s="13">
        <f t="shared" si="2"/>
        <v>58.070093482516484</v>
      </c>
      <c r="F171" s="11" t="s">
        <v>70</v>
      </c>
      <c r="G171" s="11" t="s">
        <v>69</v>
      </c>
      <c r="H171" s="11" t="s">
        <v>69</v>
      </c>
      <c r="I171" s="11" t="s">
        <v>69</v>
      </c>
      <c r="J171" s="11" t="s">
        <v>69</v>
      </c>
      <c r="K171" s="14"/>
      <c r="L171" s="14"/>
      <c r="M171" s="11"/>
      <c r="N171" s="12"/>
      <c r="O171" s="11"/>
      <c r="P171" s="11"/>
      <c r="Q171" s="1">
        <v>167</v>
      </c>
      <c r="R171" s="1"/>
      <c r="S171" s="3">
        <f>INDEX(Locations!$D$6:$D$455,MATCH(B171,Locations!$A$6:$A$455,0))</f>
        <v>42.729520160246203</v>
      </c>
      <c r="T171" s="3">
        <f>INDEX(Locations!$E$6:$E$455,MATCH(B171,Locations!$A$6:$A$455,0))</f>
        <v>-73.678446562565696</v>
      </c>
      <c r="U171" s="3">
        <f>INDEX(Locations!$D$6:$D$455,MATCH(C171,Locations!$A$6:$A$455,0))</f>
        <v>42.729000580313603</v>
      </c>
      <c r="V171" s="3">
        <f>INDEX(Locations!$E$6:$E$455,MATCH(C171,Locations!$A$6:$A$455,0))</f>
        <v>-73.678518186218795</v>
      </c>
    </row>
    <row r="172" spans="1:22" ht="23.1" customHeight="1">
      <c r="A172" s="1" t="s">
        <v>780</v>
      </c>
      <c r="B172" s="1" t="s">
        <v>322</v>
      </c>
      <c r="C172" s="1" t="s">
        <v>320</v>
      </c>
      <c r="D172" s="1" t="s">
        <v>612</v>
      </c>
      <c r="E172" s="13">
        <f t="shared" si="2"/>
        <v>54.758118231221779</v>
      </c>
      <c r="F172" s="11" t="s">
        <v>70</v>
      </c>
      <c r="G172" s="11" t="s">
        <v>69</v>
      </c>
      <c r="H172" s="11" t="s">
        <v>69</v>
      </c>
      <c r="I172" s="11" t="s">
        <v>69</v>
      </c>
      <c r="J172" s="11" t="s">
        <v>69</v>
      </c>
      <c r="K172" s="14"/>
      <c r="L172" s="14"/>
      <c r="M172" s="11"/>
      <c r="N172" s="12"/>
      <c r="O172" s="11"/>
      <c r="P172" s="11"/>
      <c r="Q172" s="1">
        <v>168</v>
      </c>
      <c r="R172" s="1"/>
      <c r="S172" s="3">
        <f>INDEX(Locations!$D$6:$D$455,MATCH(B172,Locations!$A$6:$A$455,0))</f>
        <v>42.7285177848009</v>
      </c>
      <c r="T172" s="3">
        <f>INDEX(Locations!$E$6:$E$455,MATCH(B172,Locations!$A$6:$A$455,0))</f>
        <v>-73.6786502920678</v>
      </c>
      <c r="U172" s="3">
        <f>INDEX(Locations!$D$6:$D$455,MATCH(C172,Locations!$A$6:$A$455,0))</f>
        <v>42.729000580313603</v>
      </c>
      <c r="V172" s="3">
        <f>INDEX(Locations!$E$6:$E$455,MATCH(C172,Locations!$A$6:$A$455,0))</f>
        <v>-73.678518186218795</v>
      </c>
    </row>
    <row r="173" spans="1:22" ht="23.1" customHeight="1">
      <c r="A173" s="1" t="s">
        <v>781</v>
      </c>
      <c r="B173" s="1" t="s">
        <v>323</v>
      </c>
      <c r="C173" s="1" t="s">
        <v>322</v>
      </c>
      <c r="D173" s="1" t="s">
        <v>612</v>
      </c>
      <c r="E173" s="13">
        <f t="shared" si="2"/>
        <v>101.98793227278566</v>
      </c>
      <c r="F173" s="11" t="s">
        <v>70</v>
      </c>
      <c r="G173" s="11" t="s">
        <v>69</v>
      </c>
      <c r="H173" s="11" t="s">
        <v>69</v>
      </c>
      <c r="I173" s="11" t="s">
        <v>69</v>
      </c>
      <c r="J173" s="11" t="s">
        <v>69</v>
      </c>
      <c r="K173" s="14"/>
      <c r="L173" s="14"/>
      <c r="M173" s="11"/>
      <c r="N173" s="12"/>
      <c r="O173" s="11"/>
      <c r="P173" s="11"/>
      <c r="Q173" s="1">
        <v>169</v>
      </c>
      <c r="R173" s="1"/>
      <c r="S173" s="3">
        <f>INDEX(Locations!$D$6:$D$455,MATCH(B173,Locations!$A$6:$A$455,0))</f>
        <v>42.728667221507202</v>
      </c>
      <c r="T173" s="3">
        <f>INDEX(Locations!$E$6:$E$455,MATCH(B173,Locations!$A$6:$A$455,0))</f>
        <v>-73.6798822189009</v>
      </c>
      <c r="U173" s="3">
        <f>INDEX(Locations!$D$6:$D$455,MATCH(C173,Locations!$A$6:$A$455,0))</f>
        <v>42.7285177848009</v>
      </c>
      <c r="V173" s="3">
        <f>INDEX(Locations!$E$6:$E$455,MATCH(C173,Locations!$A$6:$A$455,0))</f>
        <v>-73.6786502920678</v>
      </c>
    </row>
    <row r="174" spans="1:22" ht="23.1" customHeight="1">
      <c r="A174" s="1" t="s">
        <v>782</v>
      </c>
      <c r="B174" s="1" t="s">
        <v>315</v>
      </c>
      <c r="C174" s="1" t="s">
        <v>324</v>
      </c>
      <c r="D174" s="1" t="s">
        <v>612</v>
      </c>
      <c r="E174" s="13">
        <f t="shared" si="2"/>
        <v>36.388137561243688</v>
      </c>
      <c r="F174" s="11" t="s">
        <v>70</v>
      </c>
      <c r="G174" s="11" t="s">
        <v>69</v>
      </c>
      <c r="H174" s="11" t="s">
        <v>69</v>
      </c>
      <c r="I174" s="11" t="s">
        <v>69</v>
      </c>
      <c r="J174" s="11" t="s">
        <v>69</v>
      </c>
      <c r="K174" s="14"/>
      <c r="L174" s="14"/>
      <c r="M174" s="11"/>
      <c r="N174" s="12"/>
      <c r="O174" s="11"/>
      <c r="P174" s="11"/>
      <c r="Q174" s="1">
        <v>170</v>
      </c>
      <c r="R174" s="1"/>
      <c r="S174" s="3">
        <f>INDEX(Locations!$D$6:$D$455,MATCH(B174,Locations!$A$6:$A$455,0))</f>
        <v>42.729379919644899</v>
      </c>
      <c r="T174" s="3">
        <f>INDEX(Locations!$E$6:$E$455,MATCH(B174,Locations!$A$6:$A$455,0))</f>
        <v>-73.681394273799398</v>
      </c>
      <c r="U174" s="3">
        <f>INDEX(Locations!$D$6:$D$455,MATCH(C174,Locations!$A$6:$A$455,0))</f>
        <v>42.729081046232302</v>
      </c>
      <c r="V174" s="3">
        <f>INDEX(Locations!$E$6:$E$455,MATCH(C174,Locations!$A$6:$A$455,0))</f>
        <v>-73.681212827211596</v>
      </c>
    </row>
    <row r="175" spans="1:22" ht="23.1" customHeight="1">
      <c r="A175" s="1" t="s">
        <v>783</v>
      </c>
      <c r="B175" s="1" t="s">
        <v>325</v>
      </c>
      <c r="C175" s="1" t="s">
        <v>324</v>
      </c>
      <c r="D175" s="1" t="s">
        <v>612</v>
      </c>
      <c r="E175" s="13">
        <f t="shared" si="2"/>
        <v>41.197862552348965</v>
      </c>
      <c r="F175" s="11" t="s">
        <v>70</v>
      </c>
      <c r="G175" s="11" t="s">
        <v>69</v>
      </c>
      <c r="H175" s="11" t="s">
        <v>69</v>
      </c>
      <c r="I175" s="11" t="s">
        <v>69</v>
      </c>
      <c r="J175" s="11" t="s">
        <v>69</v>
      </c>
      <c r="K175" s="14"/>
      <c r="L175" s="14"/>
      <c r="M175" s="11"/>
      <c r="N175" s="12"/>
      <c r="O175" s="11"/>
      <c r="P175" s="11"/>
      <c r="Q175" s="1">
        <v>171</v>
      </c>
      <c r="R175" s="1"/>
      <c r="S175" s="3">
        <f>INDEX(Locations!$D$6:$D$455,MATCH(B175,Locations!$A$6:$A$455,0))</f>
        <v>42.728976440537899</v>
      </c>
      <c r="T175" s="3">
        <f>INDEX(Locations!$E$6:$E$455,MATCH(B175,Locations!$A$6:$A$455,0))</f>
        <v>-73.681696684779098</v>
      </c>
      <c r="U175" s="3">
        <f>INDEX(Locations!$D$6:$D$455,MATCH(C175,Locations!$A$6:$A$455,0))</f>
        <v>42.729081046232302</v>
      </c>
      <c r="V175" s="3">
        <f>INDEX(Locations!$E$6:$E$455,MATCH(C175,Locations!$A$6:$A$455,0))</f>
        <v>-73.681212827211596</v>
      </c>
    </row>
    <row r="176" spans="1:22" ht="23.1" customHeight="1">
      <c r="A176" s="1" t="s">
        <v>784</v>
      </c>
      <c r="B176" s="1" t="s">
        <v>201</v>
      </c>
      <c r="C176" s="1" t="s">
        <v>325</v>
      </c>
      <c r="D176" s="1" t="s">
        <v>612</v>
      </c>
      <c r="E176" s="13">
        <f t="shared" si="2"/>
        <v>35.416777086327635</v>
      </c>
      <c r="F176" s="11" t="s">
        <v>70</v>
      </c>
      <c r="G176" s="11" t="s">
        <v>69</v>
      </c>
      <c r="H176" s="11" t="s">
        <v>69</v>
      </c>
      <c r="I176" s="11" t="s">
        <v>69</v>
      </c>
      <c r="J176" s="11" t="s">
        <v>69</v>
      </c>
      <c r="K176" s="14"/>
      <c r="L176" s="14"/>
      <c r="M176" s="11"/>
      <c r="N176" s="12"/>
      <c r="O176" s="11"/>
      <c r="P176" s="11"/>
      <c r="Q176" s="1">
        <v>172</v>
      </c>
      <c r="R176" s="1"/>
      <c r="S176" s="3">
        <f>INDEX(Locations!$D$6:$D$455,MATCH(B176,Locations!$A$6:$A$455,0))</f>
        <v>42.729247288086697</v>
      </c>
      <c r="T176" s="3">
        <f>INDEX(Locations!$E$6:$E$455,MATCH(B176,Locations!$A$6:$A$455,0))</f>
        <v>-73.681924849268597</v>
      </c>
      <c r="U176" s="3">
        <f>INDEX(Locations!$D$6:$D$455,MATCH(C176,Locations!$A$6:$A$455,0))</f>
        <v>42.728976440537899</v>
      </c>
      <c r="V176" s="3">
        <f>INDEX(Locations!$E$6:$E$455,MATCH(C176,Locations!$A$6:$A$455,0))</f>
        <v>-73.681696684779098</v>
      </c>
    </row>
    <row r="177" spans="1:22" ht="23.1" customHeight="1">
      <c r="A177" s="1" t="s">
        <v>785</v>
      </c>
      <c r="B177" s="1" t="s">
        <v>326</v>
      </c>
      <c r="C177" s="1" t="s">
        <v>327</v>
      </c>
      <c r="D177" s="1" t="s">
        <v>612</v>
      </c>
      <c r="E177" s="13">
        <f t="shared" si="2"/>
        <v>45.495929198157405</v>
      </c>
      <c r="F177" s="11" t="s">
        <v>70</v>
      </c>
      <c r="G177" s="11" t="s">
        <v>69</v>
      </c>
      <c r="H177" s="11" t="s">
        <v>69</v>
      </c>
      <c r="I177" s="11" t="s">
        <v>69</v>
      </c>
      <c r="J177" s="11" t="s">
        <v>69</v>
      </c>
      <c r="K177" s="14"/>
      <c r="L177" s="14"/>
      <c r="M177" s="11"/>
      <c r="N177" s="12"/>
      <c r="O177" s="11"/>
      <c r="P177" s="11"/>
      <c r="Q177" s="1">
        <v>173</v>
      </c>
      <c r="R177" s="1"/>
      <c r="S177" s="3">
        <f>INDEX(Locations!$D$6:$D$455,MATCH(B177,Locations!$A$6:$A$455,0))</f>
        <v>42.729092541363599</v>
      </c>
      <c r="T177" s="3">
        <f>INDEX(Locations!$E$6:$E$455,MATCH(B177,Locations!$A$6:$A$455,0))</f>
        <v>-73.680402684113403</v>
      </c>
      <c r="U177" s="3">
        <f>INDEX(Locations!$D$6:$D$455,MATCH(C177,Locations!$A$6:$A$455,0))</f>
        <v>42.729184502413602</v>
      </c>
      <c r="V177" s="3">
        <f>INDEX(Locations!$E$6:$E$455,MATCH(C177,Locations!$A$6:$A$455,0))</f>
        <v>-73.679859935986599</v>
      </c>
    </row>
    <row r="178" spans="1:22" ht="23.1" customHeight="1">
      <c r="A178" s="1" t="s">
        <v>786</v>
      </c>
      <c r="B178" s="1" t="s">
        <v>323</v>
      </c>
      <c r="C178" s="1" t="s">
        <v>327</v>
      </c>
      <c r="D178" s="1" t="s">
        <v>612</v>
      </c>
      <c r="E178" s="13">
        <f t="shared" si="2"/>
        <v>57.547801849667245</v>
      </c>
      <c r="F178" s="11" t="s">
        <v>70</v>
      </c>
      <c r="G178" s="11" t="s">
        <v>69</v>
      </c>
      <c r="H178" s="11" t="s">
        <v>69</v>
      </c>
      <c r="I178" s="11" t="s">
        <v>69</v>
      </c>
      <c r="J178" s="11" t="s">
        <v>69</v>
      </c>
      <c r="K178" s="14"/>
      <c r="L178" s="14"/>
      <c r="M178" s="11"/>
      <c r="N178" s="12"/>
      <c r="O178" s="11"/>
      <c r="P178" s="11"/>
      <c r="Q178" s="1">
        <v>174</v>
      </c>
      <c r="R178" s="1"/>
      <c r="S178" s="3">
        <f>INDEX(Locations!$D$6:$D$455,MATCH(B178,Locations!$A$6:$A$455,0))</f>
        <v>42.728667221507202</v>
      </c>
      <c r="T178" s="3">
        <f>INDEX(Locations!$E$6:$E$455,MATCH(B178,Locations!$A$6:$A$455,0))</f>
        <v>-73.6798822189009</v>
      </c>
      <c r="U178" s="3">
        <f>INDEX(Locations!$D$6:$D$455,MATCH(C178,Locations!$A$6:$A$455,0))</f>
        <v>42.729184502413602</v>
      </c>
      <c r="V178" s="3">
        <f>INDEX(Locations!$E$6:$E$455,MATCH(C178,Locations!$A$6:$A$455,0))</f>
        <v>-73.679859935986599</v>
      </c>
    </row>
    <row r="179" spans="1:22" ht="23.1" customHeight="1">
      <c r="A179" s="1" t="s">
        <v>787</v>
      </c>
      <c r="B179" s="1" t="s">
        <v>326</v>
      </c>
      <c r="C179" s="1" t="s">
        <v>145</v>
      </c>
      <c r="D179" s="1" t="s">
        <v>612</v>
      </c>
      <c r="E179" s="13">
        <f t="shared" si="2"/>
        <v>30.403189228749692</v>
      </c>
      <c r="F179" s="11" t="s">
        <v>70</v>
      </c>
      <c r="G179" s="11" t="s">
        <v>69</v>
      </c>
      <c r="H179" s="11" t="s">
        <v>69</v>
      </c>
      <c r="I179" s="11" t="s">
        <v>69</v>
      </c>
      <c r="J179" s="11" t="s">
        <v>69</v>
      </c>
      <c r="K179" s="14"/>
      <c r="L179" s="14"/>
      <c r="M179" s="11"/>
      <c r="N179" s="12"/>
      <c r="O179" s="11"/>
      <c r="P179" s="11"/>
      <c r="Q179" s="1">
        <v>175</v>
      </c>
      <c r="R179" s="1"/>
      <c r="S179" s="3">
        <f>INDEX(Locations!$D$6:$D$455,MATCH(B179,Locations!$A$6:$A$455,0))</f>
        <v>42.729092541363599</v>
      </c>
      <c r="T179" s="3">
        <f>INDEX(Locations!$E$6:$E$455,MATCH(B179,Locations!$A$6:$A$455,0))</f>
        <v>-73.680402684113403</v>
      </c>
      <c r="U179" s="3">
        <f>INDEX(Locations!$D$6:$D$455,MATCH(C179,Locations!$A$6:$A$455,0))</f>
        <v>42.728819697693901</v>
      </c>
      <c r="V179" s="3">
        <f>INDEX(Locations!$E$6:$E$455,MATCH(C179,Locations!$A$6:$A$455,0))</f>
        <v>-73.680378478024394</v>
      </c>
    </row>
    <row r="180" spans="1:22" ht="23.1" customHeight="1">
      <c r="A180" s="1" t="s">
        <v>788</v>
      </c>
      <c r="B180" s="1" t="s">
        <v>316</v>
      </c>
      <c r="C180" s="1" t="s">
        <v>328</v>
      </c>
      <c r="D180" s="1" t="s">
        <v>612</v>
      </c>
      <c r="E180" s="13">
        <f t="shared" si="2"/>
        <v>33.501209743871989</v>
      </c>
      <c r="F180" s="11" t="s">
        <v>70</v>
      </c>
      <c r="G180" s="11" t="s">
        <v>69</v>
      </c>
      <c r="H180" s="11" t="s">
        <v>69</v>
      </c>
      <c r="I180" s="11" t="s">
        <v>69</v>
      </c>
      <c r="J180" s="11" t="s">
        <v>69</v>
      </c>
      <c r="K180" s="14"/>
      <c r="L180" s="14"/>
      <c r="M180" s="11"/>
      <c r="N180" s="12"/>
      <c r="O180" s="11"/>
      <c r="P180" s="11"/>
      <c r="Q180" s="1">
        <v>176</v>
      </c>
      <c r="R180" s="1"/>
      <c r="S180" s="3">
        <f>INDEX(Locations!$D$6:$D$455,MATCH(B180,Locations!$A$6:$A$455,0))</f>
        <v>42.7295063660887</v>
      </c>
      <c r="T180" s="3">
        <f>INDEX(Locations!$E$6:$E$455,MATCH(B180,Locations!$A$6:$A$455,0))</f>
        <v>-73.681036155534002</v>
      </c>
      <c r="U180" s="3">
        <f>INDEX(Locations!$D$6:$D$455,MATCH(C180,Locations!$A$6:$A$455,0))</f>
        <v>42.729205193649904</v>
      </c>
      <c r="V180" s="3">
        <f>INDEX(Locations!$E$6:$E$455,MATCH(C180,Locations!$A$6:$A$455,0))</f>
        <v>-73.681047296991196</v>
      </c>
    </row>
    <row r="181" spans="1:22" ht="23.1" customHeight="1">
      <c r="A181" s="1" t="s">
        <v>789</v>
      </c>
      <c r="B181" s="1" t="s">
        <v>324</v>
      </c>
      <c r="C181" s="1" t="s">
        <v>328</v>
      </c>
      <c r="D181" s="1" t="s">
        <v>612</v>
      </c>
      <c r="E181" s="13">
        <f t="shared" si="2"/>
        <v>19.322834522885341</v>
      </c>
      <c r="F181" s="11" t="s">
        <v>70</v>
      </c>
      <c r="G181" s="11" t="s">
        <v>69</v>
      </c>
      <c r="H181" s="11" t="s">
        <v>69</v>
      </c>
      <c r="I181" s="11" t="s">
        <v>69</v>
      </c>
      <c r="J181" s="11" t="s">
        <v>69</v>
      </c>
      <c r="K181" s="14"/>
      <c r="L181" s="14"/>
      <c r="M181" s="11"/>
      <c r="N181" s="12"/>
      <c r="O181" s="11"/>
      <c r="P181" s="11"/>
      <c r="Q181" s="1">
        <v>177</v>
      </c>
      <c r="R181" s="1"/>
      <c r="S181" s="3">
        <f>INDEX(Locations!$D$6:$D$455,MATCH(B181,Locations!$A$6:$A$455,0))</f>
        <v>42.729081046232302</v>
      </c>
      <c r="T181" s="3">
        <f>INDEX(Locations!$E$6:$E$455,MATCH(B181,Locations!$A$6:$A$455,0))</f>
        <v>-73.681212827211596</v>
      </c>
      <c r="U181" s="3">
        <f>INDEX(Locations!$D$6:$D$455,MATCH(C181,Locations!$A$6:$A$455,0))</f>
        <v>42.729205193649904</v>
      </c>
      <c r="V181" s="3">
        <f>INDEX(Locations!$E$6:$E$455,MATCH(C181,Locations!$A$6:$A$455,0))</f>
        <v>-73.681047296991196</v>
      </c>
    </row>
    <row r="182" spans="1:22" ht="23.1" customHeight="1">
      <c r="A182" s="1" t="s">
        <v>790</v>
      </c>
      <c r="B182" s="1" t="s">
        <v>326</v>
      </c>
      <c r="C182" s="1" t="s">
        <v>328</v>
      </c>
      <c r="D182" s="1" t="s">
        <v>612</v>
      </c>
      <c r="E182" s="13">
        <f t="shared" si="2"/>
        <v>54.121788035292042</v>
      </c>
      <c r="F182" s="11" t="s">
        <v>70</v>
      </c>
      <c r="G182" s="11" t="s">
        <v>69</v>
      </c>
      <c r="H182" s="11" t="s">
        <v>69</v>
      </c>
      <c r="I182" s="11" t="s">
        <v>69</v>
      </c>
      <c r="J182" s="11" t="s">
        <v>69</v>
      </c>
      <c r="K182" s="14"/>
      <c r="L182" s="14"/>
      <c r="M182" s="11"/>
      <c r="N182" s="12"/>
      <c r="O182" s="11"/>
      <c r="P182" s="11"/>
      <c r="Q182" s="1">
        <v>178</v>
      </c>
      <c r="R182" s="1"/>
      <c r="S182" s="3">
        <f>INDEX(Locations!$D$6:$D$455,MATCH(B182,Locations!$A$6:$A$455,0))</f>
        <v>42.729092541363599</v>
      </c>
      <c r="T182" s="3">
        <f>INDEX(Locations!$E$6:$E$455,MATCH(B182,Locations!$A$6:$A$455,0))</f>
        <v>-73.680402684113403</v>
      </c>
      <c r="U182" s="3">
        <f>INDEX(Locations!$D$6:$D$455,MATCH(C182,Locations!$A$6:$A$455,0))</f>
        <v>42.729205193649904</v>
      </c>
      <c r="V182" s="3">
        <f>INDEX(Locations!$E$6:$E$455,MATCH(C182,Locations!$A$6:$A$455,0))</f>
        <v>-73.681047296991196</v>
      </c>
    </row>
    <row r="183" spans="1:22" ht="23.1" customHeight="1">
      <c r="A183" s="1" t="s">
        <v>791</v>
      </c>
      <c r="B183" s="1" t="s">
        <v>324</v>
      </c>
      <c r="C183" s="1" t="s">
        <v>318</v>
      </c>
      <c r="D183" s="1" t="s">
        <v>612</v>
      </c>
      <c r="E183" s="13">
        <f t="shared" si="2"/>
        <v>91.999505684766632</v>
      </c>
      <c r="F183" s="11" t="s">
        <v>70</v>
      </c>
      <c r="G183" s="11" t="s">
        <v>69</v>
      </c>
      <c r="H183" s="11" t="s">
        <v>69</v>
      </c>
      <c r="I183" s="11" t="s">
        <v>69</v>
      </c>
      <c r="J183" s="11" t="s">
        <v>69</v>
      </c>
      <c r="K183" s="14"/>
      <c r="L183" s="14"/>
      <c r="M183" s="11"/>
      <c r="N183" s="12"/>
      <c r="O183" s="11"/>
      <c r="P183" s="11"/>
      <c r="Q183" s="1">
        <v>179</v>
      </c>
      <c r="R183" s="1"/>
      <c r="S183" s="3">
        <f>INDEX(Locations!$D$6:$D$455,MATCH(B183,Locations!$A$6:$A$455,0))</f>
        <v>42.729081046232302</v>
      </c>
      <c r="T183" s="3">
        <f>INDEX(Locations!$E$6:$E$455,MATCH(B183,Locations!$A$6:$A$455,0))</f>
        <v>-73.681212827211596</v>
      </c>
      <c r="U183" s="3">
        <f>INDEX(Locations!$D$6:$D$455,MATCH(C183,Locations!$A$6:$A$455,0))</f>
        <v>42.728325816108999</v>
      </c>
      <c r="V183" s="3">
        <f>INDEX(Locations!$E$6:$E$455,MATCH(C183,Locations!$A$6:$A$455,0))</f>
        <v>-73.680752844195098</v>
      </c>
    </row>
    <row r="184" spans="1:22" ht="23.1" customHeight="1">
      <c r="A184" s="1" t="s">
        <v>792</v>
      </c>
      <c r="B184" s="1" t="s">
        <v>325</v>
      </c>
      <c r="C184" s="1" t="s">
        <v>329</v>
      </c>
      <c r="D184" s="1" t="s">
        <v>612</v>
      </c>
      <c r="E184" s="13">
        <f t="shared" si="2"/>
        <v>36.738849982594715</v>
      </c>
      <c r="F184" s="11" t="s">
        <v>70</v>
      </c>
      <c r="G184" s="11" t="s">
        <v>69</v>
      </c>
      <c r="H184" s="11" t="s">
        <v>69</v>
      </c>
      <c r="I184" s="11" t="s">
        <v>69</v>
      </c>
      <c r="J184" s="11" t="s">
        <v>69</v>
      </c>
      <c r="K184" s="14"/>
      <c r="L184" s="14"/>
      <c r="M184" s="11"/>
      <c r="N184" s="12"/>
      <c r="O184" s="11"/>
      <c r="P184" s="11"/>
      <c r="Q184" s="1">
        <v>180</v>
      </c>
      <c r="R184" s="1"/>
      <c r="S184" s="3">
        <f>INDEX(Locations!$D$6:$D$455,MATCH(B184,Locations!$A$6:$A$455,0))</f>
        <v>42.728976440537899</v>
      </c>
      <c r="T184" s="3">
        <f>INDEX(Locations!$E$6:$E$455,MATCH(B184,Locations!$A$6:$A$455,0))</f>
        <v>-73.681696684779098</v>
      </c>
      <c r="U184" s="3">
        <f>INDEX(Locations!$D$6:$D$455,MATCH(C184,Locations!$A$6:$A$455,0))</f>
        <v>42.728784471845998</v>
      </c>
      <c r="V184" s="3">
        <f>INDEX(Locations!$E$6:$E$455,MATCH(C184,Locations!$A$6:$A$455,0))</f>
        <v>-73.681330608330001</v>
      </c>
    </row>
    <row r="185" spans="1:22" ht="23.1" customHeight="1">
      <c r="A185" s="1" t="s">
        <v>793</v>
      </c>
      <c r="B185" s="1" t="s">
        <v>324</v>
      </c>
      <c r="C185" s="1" t="s">
        <v>329</v>
      </c>
      <c r="D185" s="1" t="s">
        <v>612</v>
      </c>
      <c r="E185" s="13">
        <f t="shared" si="2"/>
        <v>34.35218838488592</v>
      </c>
      <c r="F185" s="11" t="s">
        <v>70</v>
      </c>
      <c r="G185" s="11" t="s">
        <v>69</v>
      </c>
      <c r="H185" s="11" t="s">
        <v>69</v>
      </c>
      <c r="I185" s="11" t="s">
        <v>69</v>
      </c>
      <c r="J185" s="11" t="s">
        <v>69</v>
      </c>
      <c r="K185" s="14"/>
      <c r="L185" s="14"/>
      <c r="M185" s="11"/>
      <c r="N185" s="12"/>
      <c r="O185" s="11"/>
      <c r="P185" s="11"/>
      <c r="Q185" s="1">
        <v>181</v>
      </c>
      <c r="R185" s="1"/>
      <c r="S185" s="3">
        <f>INDEX(Locations!$D$6:$D$455,MATCH(B185,Locations!$A$6:$A$455,0))</f>
        <v>42.729081046232302</v>
      </c>
      <c r="T185" s="3">
        <f>INDEX(Locations!$E$6:$E$455,MATCH(B185,Locations!$A$6:$A$455,0))</f>
        <v>-73.681212827211596</v>
      </c>
      <c r="U185" s="3">
        <f>INDEX(Locations!$D$6:$D$455,MATCH(C185,Locations!$A$6:$A$455,0))</f>
        <v>42.728784471845998</v>
      </c>
      <c r="V185" s="3">
        <f>INDEX(Locations!$E$6:$E$455,MATCH(C185,Locations!$A$6:$A$455,0))</f>
        <v>-73.681330608330001</v>
      </c>
    </row>
    <row r="186" spans="1:22" ht="23.1" customHeight="1">
      <c r="A186" s="1" t="s">
        <v>794</v>
      </c>
      <c r="B186" s="1" t="s">
        <v>330</v>
      </c>
      <c r="C186" s="1" t="s">
        <v>329</v>
      </c>
      <c r="D186" s="1" t="s">
        <v>612</v>
      </c>
      <c r="E186" s="13">
        <f t="shared" si="2"/>
        <v>19.685080822219067</v>
      </c>
      <c r="F186" s="11" t="s">
        <v>70</v>
      </c>
      <c r="G186" s="11" t="s">
        <v>69</v>
      </c>
      <c r="H186" s="11" t="s">
        <v>69</v>
      </c>
      <c r="I186" s="11" t="s">
        <v>69</v>
      </c>
      <c r="J186" s="11" t="s">
        <v>69</v>
      </c>
      <c r="K186" s="14"/>
      <c r="L186" s="14"/>
      <c r="M186" s="11"/>
      <c r="N186" s="12"/>
      <c r="O186" s="11"/>
      <c r="P186" s="11"/>
      <c r="Q186" s="1">
        <v>182</v>
      </c>
      <c r="R186" s="1"/>
      <c r="S186" s="3">
        <f>INDEX(Locations!$D$6:$D$455,MATCH(B186,Locations!$A$6:$A$455,0))</f>
        <v>42.728632736113497</v>
      </c>
      <c r="T186" s="3">
        <f>INDEX(Locations!$E$6:$E$455,MATCH(B186,Locations!$A$6:$A$455,0))</f>
        <v>-73.681206460664697</v>
      </c>
      <c r="U186" s="3">
        <f>INDEX(Locations!$D$6:$D$455,MATCH(C186,Locations!$A$6:$A$455,0))</f>
        <v>42.728784471845998</v>
      </c>
      <c r="V186" s="3">
        <f>INDEX(Locations!$E$6:$E$455,MATCH(C186,Locations!$A$6:$A$455,0))</f>
        <v>-73.681330608330001</v>
      </c>
    </row>
    <row r="187" spans="1:22" ht="23.1" customHeight="1">
      <c r="A187" s="1" t="s">
        <v>795</v>
      </c>
      <c r="B187" s="1" t="s">
        <v>331</v>
      </c>
      <c r="C187" s="1" t="s">
        <v>330</v>
      </c>
      <c r="D187" s="1" t="s">
        <v>612</v>
      </c>
      <c r="E187" s="13">
        <f t="shared" si="2"/>
        <v>26.602136492604664</v>
      </c>
      <c r="F187" s="11" t="s">
        <v>70</v>
      </c>
      <c r="G187" s="11" t="s">
        <v>69</v>
      </c>
      <c r="H187" s="11" t="s">
        <v>69</v>
      </c>
      <c r="I187" s="11" t="s">
        <v>69</v>
      </c>
      <c r="J187" s="11" t="s">
        <v>69</v>
      </c>
      <c r="K187" s="14"/>
      <c r="L187" s="14"/>
      <c r="M187" s="11"/>
      <c r="N187" s="12"/>
      <c r="O187" s="11"/>
      <c r="P187" s="11"/>
      <c r="Q187" s="1">
        <v>183</v>
      </c>
      <c r="R187" s="1"/>
      <c r="S187" s="3">
        <f>INDEX(Locations!$D$6:$D$455,MATCH(B187,Locations!$A$6:$A$455,0))</f>
        <v>42.728393637383398</v>
      </c>
      <c r="T187" s="3">
        <f>INDEX(Locations!$E$6:$E$455,MATCH(B187,Locations!$A$6:$A$455,0))</f>
        <v>-73.681217602121805</v>
      </c>
      <c r="U187" s="3">
        <f>INDEX(Locations!$D$6:$D$455,MATCH(C187,Locations!$A$6:$A$455,0))</f>
        <v>42.728632736113497</v>
      </c>
      <c r="V187" s="3">
        <f>INDEX(Locations!$E$6:$E$455,MATCH(C187,Locations!$A$6:$A$455,0))</f>
        <v>-73.681206460664697</v>
      </c>
    </row>
    <row r="188" spans="1:22" ht="23.1" customHeight="1">
      <c r="A188" s="1" t="s">
        <v>796</v>
      </c>
      <c r="B188" s="1" t="s">
        <v>325</v>
      </c>
      <c r="C188" s="1" t="s">
        <v>336</v>
      </c>
      <c r="D188" s="1" t="s">
        <v>612</v>
      </c>
      <c r="E188" s="13">
        <f t="shared" si="2"/>
        <v>46.333084869613955</v>
      </c>
      <c r="F188" s="11" t="s">
        <v>70</v>
      </c>
      <c r="G188" s="11" t="s">
        <v>69</v>
      </c>
      <c r="H188" s="11" t="s">
        <v>69</v>
      </c>
      <c r="I188" s="11" t="s">
        <v>69</v>
      </c>
      <c r="J188" s="11" t="s">
        <v>69</v>
      </c>
      <c r="K188" s="14"/>
      <c r="L188" s="14"/>
      <c r="M188" s="11"/>
      <c r="N188" s="12"/>
      <c r="O188" s="11"/>
      <c r="P188" s="11"/>
      <c r="Q188" s="1">
        <v>184</v>
      </c>
      <c r="R188" s="1"/>
      <c r="S188" s="3">
        <f>INDEX(Locations!$D$6:$D$455,MATCH(B188,Locations!$A$6:$A$455,0))</f>
        <v>42.728976440537899</v>
      </c>
      <c r="T188" s="3">
        <f>INDEX(Locations!$E$6:$E$455,MATCH(B188,Locations!$A$6:$A$455,0))</f>
        <v>-73.681696684779098</v>
      </c>
      <c r="U188" s="3">
        <f>INDEX(Locations!$D$6:$D$455,MATCH(C188,Locations!$A$6:$A$455,0))</f>
        <v>42.728956898814801</v>
      </c>
      <c r="V188" s="3">
        <f>INDEX(Locations!$E$6:$E$455,MATCH(C188,Locations!$A$6:$A$455,0))</f>
        <v>-73.682263307456907</v>
      </c>
    </row>
    <row r="189" spans="1:22" ht="23.1" customHeight="1">
      <c r="A189" s="1" t="s">
        <v>797</v>
      </c>
      <c r="B189" s="1" t="s">
        <v>335</v>
      </c>
      <c r="C189" s="1" t="s">
        <v>336</v>
      </c>
      <c r="D189" s="1" t="s">
        <v>612</v>
      </c>
      <c r="E189" s="13">
        <f t="shared" si="2"/>
        <v>24.83883591458223</v>
      </c>
      <c r="F189" s="11" t="s">
        <v>70</v>
      </c>
      <c r="G189" s="11" t="s">
        <v>69</v>
      </c>
      <c r="H189" s="11" t="s">
        <v>69</v>
      </c>
      <c r="I189" s="11" t="s">
        <v>69</v>
      </c>
      <c r="J189" s="11" t="s">
        <v>69</v>
      </c>
      <c r="K189" s="14"/>
      <c r="L189" s="14"/>
      <c r="M189" s="11"/>
      <c r="N189" s="12"/>
      <c r="O189" s="11"/>
      <c r="P189" s="11"/>
      <c r="Q189" s="1">
        <v>185</v>
      </c>
      <c r="R189" s="1"/>
      <c r="S189" s="3">
        <f>INDEX(Locations!$D$6:$D$455,MATCH(B189,Locations!$A$6:$A$455,0))</f>
        <v>42.7287499864523</v>
      </c>
      <c r="T189" s="3">
        <f>INDEX(Locations!$E$6:$E$455,MATCH(B189,Locations!$A$6:$A$455,0))</f>
        <v>-73.682148709611994</v>
      </c>
      <c r="U189" s="3">
        <f>INDEX(Locations!$D$6:$D$455,MATCH(C189,Locations!$A$6:$A$455,0))</f>
        <v>42.728956898814801</v>
      </c>
      <c r="V189" s="3">
        <f>INDEX(Locations!$E$6:$E$455,MATCH(C189,Locations!$A$6:$A$455,0))</f>
        <v>-73.682263307456907</v>
      </c>
    </row>
    <row r="190" spans="1:22" ht="23.1" customHeight="1">
      <c r="A190" s="1" t="s">
        <v>798</v>
      </c>
      <c r="B190" s="1" t="s">
        <v>333</v>
      </c>
      <c r="C190" s="1" t="s">
        <v>335</v>
      </c>
      <c r="D190" s="1" t="s">
        <v>612</v>
      </c>
      <c r="E190" s="13">
        <f t="shared" si="2"/>
        <v>23.034743043124347</v>
      </c>
      <c r="F190" s="11" t="s">
        <v>70</v>
      </c>
      <c r="G190" s="11" t="s">
        <v>69</v>
      </c>
      <c r="H190" s="11" t="s">
        <v>69</v>
      </c>
      <c r="I190" s="11" t="s">
        <v>69</v>
      </c>
      <c r="J190" s="11" t="s">
        <v>69</v>
      </c>
      <c r="K190" s="14"/>
      <c r="L190" s="14"/>
      <c r="M190" s="11"/>
      <c r="N190" s="12"/>
      <c r="O190" s="11"/>
      <c r="P190" s="11"/>
      <c r="Q190" s="1">
        <v>186</v>
      </c>
      <c r="R190" s="1"/>
      <c r="S190" s="3">
        <f>INDEX(Locations!$D$6:$D$455,MATCH(B190,Locations!$A$6:$A$455,0))</f>
        <v>42.728629287574101</v>
      </c>
      <c r="T190" s="3">
        <f>INDEX(Locations!$E$6:$E$455,MATCH(B190,Locations!$A$6:$A$455,0))</f>
        <v>-73.681919513922097</v>
      </c>
      <c r="U190" s="3">
        <f>INDEX(Locations!$D$6:$D$455,MATCH(C190,Locations!$A$6:$A$455,0))</f>
        <v>42.7287499864523</v>
      </c>
      <c r="V190" s="3">
        <f>INDEX(Locations!$E$6:$E$455,MATCH(C190,Locations!$A$6:$A$455,0))</f>
        <v>-73.682148709611994</v>
      </c>
    </row>
    <row r="191" spans="1:22" ht="23.1" customHeight="1">
      <c r="A191" s="1" t="s">
        <v>799</v>
      </c>
      <c r="B191" s="1" t="s">
        <v>333</v>
      </c>
      <c r="C191" s="1" t="s">
        <v>332</v>
      </c>
      <c r="D191" s="1" t="s">
        <v>612</v>
      </c>
      <c r="E191" s="13">
        <f t="shared" si="2"/>
        <v>28.246447984025323</v>
      </c>
      <c r="F191" s="11" t="s">
        <v>70</v>
      </c>
      <c r="G191" s="11" t="s">
        <v>69</v>
      </c>
      <c r="H191" s="11" t="s">
        <v>69</v>
      </c>
      <c r="I191" s="11" t="s">
        <v>69</v>
      </c>
      <c r="J191" s="11" t="s">
        <v>69</v>
      </c>
      <c r="K191" s="14"/>
      <c r="L191" s="14"/>
      <c r="M191" s="11"/>
      <c r="N191" s="12"/>
      <c r="O191" s="11"/>
      <c r="P191" s="11"/>
      <c r="Q191" s="1">
        <v>187</v>
      </c>
      <c r="R191" s="1"/>
      <c r="S191" s="3">
        <f>INDEX(Locations!$D$6:$D$455,MATCH(B191,Locations!$A$6:$A$455,0))</f>
        <v>42.728629287574101</v>
      </c>
      <c r="T191" s="3">
        <f>INDEX(Locations!$E$6:$E$455,MATCH(B191,Locations!$A$6:$A$455,0))</f>
        <v>-73.681919513922097</v>
      </c>
      <c r="U191" s="3">
        <f>INDEX(Locations!$D$6:$D$455,MATCH(C191,Locations!$A$6:$A$455,0))</f>
        <v>42.728641932218501</v>
      </c>
      <c r="V191" s="3">
        <f>INDEX(Locations!$E$6:$E$455,MATCH(C191,Locations!$A$6:$A$455,0))</f>
        <v>-73.681574128750498</v>
      </c>
    </row>
    <row r="192" spans="1:22" ht="23.1" customHeight="1">
      <c r="A192" s="1" t="s">
        <v>800</v>
      </c>
      <c r="B192" s="1" t="s">
        <v>329</v>
      </c>
      <c r="C192" s="1" t="s">
        <v>332</v>
      </c>
      <c r="D192" s="1" t="s">
        <v>612</v>
      </c>
      <c r="E192" s="13">
        <f t="shared" si="2"/>
        <v>25.43351641801555</v>
      </c>
      <c r="F192" s="11" t="s">
        <v>70</v>
      </c>
      <c r="G192" s="11" t="s">
        <v>69</v>
      </c>
      <c r="H192" s="11" t="s">
        <v>69</v>
      </c>
      <c r="I192" s="11" t="s">
        <v>69</v>
      </c>
      <c r="J192" s="11" t="s">
        <v>69</v>
      </c>
      <c r="K192" s="14"/>
      <c r="L192" s="14"/>
      <c r="M192" s="11"/>
      <c r="N192" s="12"/>
      <c r="O192" s="11"/>
      <c r="P192" s="11"/>
      <c r="Q192" s="1">
        <v>188</v>
      </c>
      <c r="R192" s="1"/>
      <c r="S192" s="3">
        <f>INDEX(Locations!$D$6:$D$455,MATCH(B192,Locations!$A$6:$A$455,0))</f>
        <v>42.728784471845998</v>
      </c>
      <c r="T192" s="3">
        <f>INDEX(Locations!$E$6:$E$455,MATCH(B192,Locations!$A$6:$A$455,0))</f>
        <v>-73.681330608330001</v>
      </c>
      <c r="U192" s="3">
        <f>INDEX(Locations!$D$6:$D$455,MATCH(C192,Locations!$A$6:$A$455,0))</f>
        <v>42.728641932218501</v>
      </c>
      <c r="V192" s="3">
        <f>INDEX(Locations!$E$6:$E$455,MATCH(C192,Locations!$A$6:$A$455,0))</f>
        <v>-73.681574128750498</v>
      </c>
    </row>
    <row r="193" spans="1:22" ht="23.1" customHeight="1">
      <c r="A193" s="1" t="s">
        <v>801</v>
      </c>
      <c r="B193" s="1" t="s">
        <v>331</v>
      </c>
      <c r="C193" s="1" t="s">
        <v>334</v>
      </c>
      <c r="D193" s="1" t="s">
        <v>612</v>
      </c>
      <c r="E193" s="13">
        <f t="shared" si="2"/>
        <v>58.571873133316352</v>
      </c>
      <c r="F193" s="11" t="s">
        <v>70</v>
      </c>
      <c r="G193" s="11" t="s">
        <v>69</v>
      </c>
      <c r="H193" s="11" t="s">
        <v>69</v>
      </c>
      <c r="I193" s="11" t="s">
        <v>69</v>
      </c>
      <c r="J193" s="11" t="s">
        <v>69</v>
      </c>
      <c r="K193" s="14"/>
      <c r="L193" s="14"/>
      <c r="M193" s="11"/>
      <c r="N193" s="12"/>
      <c r="O193" s="11"/>
      <c r="P193" s="11"/>
      <c r="Q193" s="1">
        <v>189</v>
      </c>
      <c r="R193" s="1"/>
      <c r="S193" s="3">
        <f>INDEX(Locations!$D$6:$D$455,MATCH(B193,Locations!$A$6:$A$455,0))</f>
        <v>42.728393637383398</v>
      </c>
      <c r="T193" s="3">
        <f>INDEX(Locations!$E$6:$E$455,MATCH(B193,Locations!$A$6:$A$455,0))</f>
        <v>-73.681217602121805</v>
      </c>
      <c r="U193" s="3">
        <f>INDEX(Locations!$D$6:$D$455,MATCH(C193,Locations!$A$6:$A$455,0))</f>
        <v>42.728512037235298</v>
      </c>
      <c r="V193" s="3">
        <f>INDEX(Locations!$E$6:$E$455,MATCH(C193,Locations!$A$6:$A$455,0))</f>
        <v>-73.681916330648605</v>
      </c>
    </row>
    <row r="194" spans="1:22" ht="23.1" customHeight="1">
      <c r="A194" s="1" t="s">
        <v>802</v>
      </c>
      <c r="B194" s="1" t="s">
        <v>318</v>
      </c>
      <c r="C194" s="1" t="s">
        <v>331</v>
      </c>
      <c r="D194" s="1" t="s">
        <v>612</v>
      </c>
      <c r="E194" s="13">
        <f t="shared" si="2"/>
        <v>38.703917316518449</v>
      </c>
      <c r="F194" s="11" t="s">
        <v>70</v>
      </c>
      <c r="G194" s="11" t="s">
        <v>69</v>
      </c>
      <c r="H194" s="11" t="s">
        <v>69</v>
      </c>
      <c r="I194" s="11" t="s">
        <v>69</v>
      </c>
      <c r="J194" s="11" t="s">
        <v>69</v>
      </c>
      <c r="K194" s="14"/>
      <c r="L194" s="14"/>
      <c r="M194" s="11"/>
      <c r="N194" s="12"/>
      <c r="O194" s="11"/>
      <c r="P194" s="11"/>
      <c r="Q194" s="1">
        <v>190</v>
      </c>
      <c r="R194" s="1"/>
      <c r="S194" s="3">
        <f>INDEX(Locations!$D$6:$D$455,MATCH(B194,Locations!$A$6:$A$455,0))</f>
        <v>42.728325816108999</v>
      </c>
      <c r="T194" s="3">
        <f>INDEX(Locations!$E$6:$E$455,MATCH(B194,Locations!$A$6:$A$455,0))</f>
        <v>-73.680752844195098</v>
      </c>
      <c r="U194" s="3">
        <f>INDEX(Locations!$D$6:$D$455,MATCH(C194,Locations!$A$6:$A$455,0))</f>
        <v>42.728393637383398</v>
      </c>
      <c r="V194" s="3">
        <f>INDEX(Locations!$E$6:$E$455,MATCH(C194,Locations!$A$6:$A$455,0))</f>
        <v>-73.681217602121805</v>
      </c>
    </row>
    <row r="195" spans="1:22" ht="23.1" customHeight="1">
      <c r="A195" s="1" t="s">
        <v>803</v>
      </c>
      <c r="B195" s="1" t="s">
        <v>334</v>
      </c>
      <c r="C195" s="1" t="s">
        <v>333</v>
      </c>
      <c r="D195" s="1" t="s">
        <v>612</v>
      </c>
      <c r="E195" s="13">
        <f t="shared" si="2"/>
        <v>13.040235326493775</v>
      </c>
      <c r="F195" s="11" t="s">
        <v>70</v>
      </c>
      <c r="G195" s="11" t="s">
        <v>69</v>
      </c>
      <c r="H195" s="11" t="s">
        <v>69</v>
      </c>
      <c r="I195" s="11" t="s">
        <v>69</v>
      </c>
      <c r="J195" s="11" t="s">
        <v>69</v>
      </c>
      <c r="K195" s="14"/>
      <c r="L195" s="14"/>
      <c r="M195" s="11"/>
      <c r="N195" s="12"/>
      <c r="O195" s="11"/>
      <c r="P195" s="11"/>
      <c r="Q195" s="1">
        <v>191</v>
      </c>
      <c r="R195" s="1"/>
      <c r="S195" s="3">
        <f>INDEX(Locations!$D$6:$D$455,MATCH(B195,Locations!$A$6:$A$455,0))</f>
        <v>42.728512037235298</v>
      </c>
      <c r="T195" s="3">
        <f>INDEX(Locations!$E$6:$E$455,MATCH(B195,Locations!$A$6:$A$455,0))</f>
        <v>-73.681916330648605</v>
      </c>
      <c r="U195" s="3">
        <f>INDEX(Locations!$D$6:$D$455,MATCH(C195,Locations!$A$6:$A$455,0))</f>
        <v>42.728629287574101</v>
      </c>
      <c r="V195" s="3">
        <f>INDEX(Locations!$E$6:$E$455,MATCH(C195,Locations!$A$6:$A$455,0))</f>
        <v>-73.681919513922097</v>
      </c>
    </row>
    <row r="196" spans="1:22" ht="23.1" customHeight="1">
      <c r="A196" s="1" t="s">
        <v>804</v>
      </c>
      <c r="B196" s="1" t="s">
        <v>336</v>
      </c>
      <c r="C196" s="1" t="s">
        <v>338</v>
      </c>
      <c r="D196" s="1" t="s">
        <v>612</v>
      </c>
      <c r="E196" s="13">
        <f t="shared" si="2"/>
        <v>21.101703356318136</v>
      </c>
      <c r="F196" s="11" t="s">
        <v>70</v>
      </c>
      <c r="G196" s="11" t="s">
        <v>69</v>
      </c>
      <c r="H196" s="11" t="s">
        <v>69</v>
      </c>
      <c r="I196" s="11" t="s">
        <v>69</v>
      </c>
      <c r="J196" s="11" t="s">
        <v>69</v>
      </c>
      <c r="K196" s="14"/>
      <c r="L196" s="14"/>
      <c r="M196" s="11"/>
      <c r="N196" s="12"/>
      <c r="O196" s="11"/>
      <c r="P196" s="11"/>
      <c r="Q196" s="1">
        <v>192</v>
      </c>
      <c r="R196" s="1"/>
      <c r="S196" s="3">
        <f>INDEX(Locations!$D$6:$D$455,MATCH(B196,Locations!$A$6:$A$455,0))</f>
        <v>42.728956898814801</v>
      </c>
      <c r="T196" s="3">
        <f>INDEX(Locations!$E$6:$E$455,MATCH(B196,Locations!$A$6:$A$455,0))</f>
        <v>-73.682263307456907</v>
      </c>
      <c r="U196" s="3">
        <f>INDEX(Locations!$D$6:$D$455,MATCH(C196,Locations!$A$6:$A$455,0))</f>
        <v>42.728876432896001</v>
      </c>
      <c r="V196" s="3">
        <f>INDEX(Locations!$E$6:$E$455,MATCH(C196,Locations!$A$6:$A$455,0))</f>
        <v>-73.682497278056999</v>
      </c>
    </row>
    <row r="197" spans="1:22" ht="23.1" customHeight="1">
      <c r="A197" s="1" t="s">
        <v>805</v>
      </c>
      <c r="B197" s="1" t="s">
        <v>337</v>
      </c>
      <c r="C197" s="1" t="s">
        <v>338</v>
      </c>
      <c r="D197" s="1" t="s">
        <v>612</v>
      </c>
      <c r="E197" s="13">
        <f t="shared" si="2"/>
        <v>22.428855331102138</v>
      </c>
      <c r="F197" s="11" t="s">
        <v>70</v>
      </c>
      <c r="G197" s="11" t="s">
        <v>69</v>
      </c>
      <c r="H197" s="11" t="s">
        <v>69</v>
      </c>
      <c r="I197" s="11" t="s">
        <v>69</v>
      </c>
      <c r="J197" s="11" t="s">
        <v>69</v>
      </c>
      <c r="K197" s="14"/>
      <c r="L197" s="14"/>
      <c r="M197" s="11"/>
      <c r="N197" s="12"/>
      <c r="O197" s="11"/>
      <c r="P197" s="11"/>
      <c r="Q197" s="1">
        <v>193</v>
      </c>
      <c r="R197" s="1"/>
      <c r="S197" s="3">
        <f>INDEX(Locations!$D$6:$D$455,MATCH(B197,Locations!$A$6:$A$455,0))</f>
        <v>42.728736192294797</v>
      </c>
      <c r="T197" s="3">
        <f>INDEX(Locations!$E$6:$E$455,MATCH(B197,Locations!$A$6:$A$455,0))</f>
        <v>-73.682694641012105</v>
      </c>
      <c r="U197" s="3">
        <f>INDEX(Locations!$D$6:$D$455,MATCH(C197,Locations!$A$6:$A$455,0))</f>
        <v>42.728876432896001</v>
      </c>
      <c r="V197" s="3">
        <f>INDEX(Locations!$E$6:$E$455,MATCH(C197,Locations!$A$6:$A$455,0))</f>
        <v>-73.682497278056999</v>
      </c>
    </row>
    <row r="198" spans="1:22" ht="23.1" customHeight="1">
      <c r="A198" s="1" t="s">
        <v>806</v>
      </c>
      <c r="B198" s="1" t="s">
        <v>333</v>
      </c>
      <c r="C198" s="1" t="s">
        <v>337</v>
      </c>
      <c r="D198" s="1" t="s">
        <v>612</v>
      </c>
      <c r="E198" s="13">
        <f t="shared" ref="E198:E261" si="3">2*6371000*ASIN(SQRT(MIN(1,SIN(RADIANS(U198-S198)/2)^2+COS(RADIANS(S198))*COS(RADIANS(U198))*SIN(RADIANS(V198-T198)/2)^2)))</f>
        <v>64.419439074338044</v>
      </c>
      <c r="F198" s="11" t="s">
        <v>70</v>
      </c>
      <c r="G198" s="11" t="s">
        <v>69</v>
      </c>
      <c r="H198" s="11" t="s">
        <v>69</v>
      </c>
      <c r="I198" s="11" t="s">
        <v>69</v>
      </c>
      <c r="J198" s="11" t="s">
        <v>69</v>
      </c>
      <c r="K198" s="14"/>
      <c r="L198" s="14"/>
      <c r="M198" s="11"/>
      <c r="N198" s="12"/>
      <c r="O198" s="11"/>
      <c r="P198" s="11"/>
      <c r="Q198" s="1">
        <v>194</v>
      </c>
      <c r="R198" s="1"/>
      <c r="S198" s="3">
        <f>INDEX(Locations!$D$6:$D$455,MATCH(B198,Locations!$A$6:$A$455,0))</f>
        <v>42.728629287574101</v>
      </c>
      <c r="T198" s="3">
        <f>INDEX(Locations!$E$6:$E$455,MATCH(B198,Locations!$A$6:$A$455,0))</f>
        <v>-73.681919513922097</v>
      </c>
      <c r="U198" s="3">
        <f>INDEX(Locations!$D$6:$D$455,MATCH(C198,Locations!$A$6:$A$455,0))</f>
        <v>42.728736192294797</v>
      </c>
      <c r="V198" s="3">
        <f>INDEX(Locations!$E$6:$E$455,MATCH(C198,Locations!$A$6:$A$455,0))</f>
        <v>-73.682694641012105</v>
      </c>
    </row>
    <row r="199" spans="1:22" ht="23.1" customHeight="1">
      <c r="A199" s="1" t="s">
        <v>807</v>
      </c>
      <c r="B199" s="1" t="s">
        <v>119</v>
      </c>
      <c r="C199" s="1" t="s">
        <v>279</v>
      </c>
      <c r="D199" s="1" t="s">
        <v>667</v>
      </c>
      <c r="E199" s="13">
        <f t="shared" si="3"/>
        <v>36.158952675028026</v>
      </c>
      <c r="F199" s="11" t="s">
        <v>70</v>
      </c>
      <c r="G199" s="11" t="s">
        <v>69</v>
      </c>
      <c r="H199" s="11" t="s">
        <v>69</v>
      </c>
      <c r="I199" s="11" t="s">
        <v>69</v>
      </c>
      <c r="J199" s="11" t="s">
        <v>69</v>
      </c>
      <c r="K199" s="14"/>
      <c r="L199" s="14"/>
      <c r="M199" s="11"/>
      <c r="N199" s="12"/>
      <c r="O199" s="11"/>
      <c r="P199" s="11"/>
      <c r="Q199" s="1">
        <v>195</v>
      </c>
      <c r="R199" s="1"/>
      <c r="S199" s="3">
        <f>INDEX(Locations!$D$6:$D$455,MATCH(B199,Locations!$A$6:$A$455,0))</f>
        <v>42.731376948003302</v>
      </c>
      <c r="T199" s="3">
        <f>INDEX(Locations!$E$6:$E$455,MATCH(B199,Locations!$A$6:$A$455,0))</f>
        <v>-73.6791896873967</v>
      </c>
      <c r="U199" s="3">
        <f>INDEX(Locations!$D$6:$D$455,MATCH(C199,Locations!$A$6:$A$455,0))</f>
        <v>42.731058208807902</v>
      </c>
      <c r="V199" s="3">
        <f>INDEX(Locations!$E$6:$E$455,MATCH(C199,Locations!$A$6:$A$455,0))</f>
        <v>-73.679277396941501</v>
      </c>
    </row>
    <row r="200" spans="1:22" ht="23.1" customHeight="1">
      <c r="A200" s="1" t="s">
        <v>808</v>
      </c>
      <c r="B200" s="1" t="s">
        <v>157</v>
      </c>
      <c r="C200" s="1" t="s">
        <v>339</v>
      </c>
      <c r="D200" s="1" t="s">
        <v>612</v>
      </c>
      <c r="E200" s="13">
        <f t="shared" si="3"/>
        <v>24.929713317830121</v>
      </c>
      <c r="F200" s="11" t="s">
        <v>70</v>
      </c>
      <c r="G200" s="11" t="s">
        <v>69</v>
      </c>
      <c r="H200" s="11" t="s">
        <v>69</v>
      </c>
      <c r="I200" s="11" t="s">
        <v>69</v>
      </c>
      <c r="J200" s="11" t="s">
        <v>69</v>
      </c>
      <c r="K200" s="14"/>
      <c r="L200" s="14"/>
      <c r="M200" s="11"/>
      <c r="N200" s="12"/>
      <c r="O200" s="11"/>
      <c r="P200" s="11"/>
      <c r="Q200" s="1">
        <v>196</v>
      </c>
      <c r="R200" s="1"/>
      <c r="S200" s="3">
        <f>INDEX(Locations!$D$6:$D$455,MATCH(B200,Locations!$A$6:$A$455,0))</f>
        <v>42.731361090371102</v>
      </c>
      <c r="T200" s="3">
        <f>INDEX(Locations!$E$6:$E$455,MATCH(B200,Locations!$A$6:$A$455,0))</f>
        <v>-73.679827889248401</v>
      </c>
      <c r="U200" s="3">
        <f>INDEX(Locations!$D$6:$D$455,MATCH(C200,Locations!$A$6:$A$455,0))</f>
        <v>42.731138674726601</v>
      </c>
      <c r="V200" s="3">
        <f>INDEX(Locations!$E$6:$E$455,MATCH(C200,Locations!$A$6:$A$455,0))</f>
        <v>-73.679866302533597</v>
      </c>
    </row>
    <row r="201" spans="1:22" ht="23.1" customHeight="1">
      <c r="A201" s="1" t="s">
        <v>809</v>
      </c>
      <c r="B201" s="1" t="s">
        <v>279</v>
      </c>
      <c r="C201" s="1" t="s">
        <v>339</v>
      </c>
      <c r="D201" s="1" t="s">
        <v>612</v>
      </c>
      <c r="E201" s="13">
        <f t="shared" si="3"/>
        <v>48.925629833984551</v>
      </c>
      <c r="F201" s="11" t="s">
        <v>70</v>
      </c>
      <c r="G201" s="11" t="s">
        <v>69</v>
      </c>
      <c r="H201" s="11" t="s">
        <v>69</v>
      </c>
      <c r="I201" s="11" t="s">
        <v>69</v>
      </c>
      <c r="J201" s="11" t="s">
        <v>69</v>
      </c>
      <c r="K201" s="14"/>
      <c r="L201" s="14"/>
      <c r="M201" s="11"/>
      <c r="N201" s="12"/>
      <c r="O201" s="11"/>
      <c r="P201" s="11"/>
      <c r="Q201" s="1">
        <v>197</v>
      </c>
      <c r="R201" s="1"/>
      <c r="S201" s="3">
        <f>INDEX(Locations!$D$6:$D$455,MATCH(B201,Locations!$A$6:$A$455,0))</f>
        <v>42.731058208807902</v>
      </c>
      <c r="T201" s="3">
        <f>INDEX(Locations!$E$6:$E$455,MATCH(B201,Locations!$A$6:$A$455,0))</f>
        <v>-73.679277396941501</v>
      </c>
      <c r="U201" s="3">
        <f>INDEX(Locations!$D$6:$D$455,MATCH(C201,Locations!$A$6:$A$455,0))</f>
        <v>42.731138674726601</v>
      </c>
      <c r="V201" s="3">
        <f>INDEX(Locations!$E$6:$E$455,MATCH(C201,Locations!$A$6:$A$455,0))</f>
        <v>-73.679866302533597</v>
      </c>
    </row>
    <row r="202" spans="1:22" ht="23.1" customHeight="1">
      <c r="A202" s="1" t="s">
        <v>810</v>
      </c>
      <c r="B202" s="1" t="s">
        <v>227</v>
      </c>
      <c r="C202" s="1" t="s">
        <v>189</v>
      </c>
      <c r="D202" s="1" t="s">
        <v>612</v>
      </c>
      <c r="E202" s="13">
        <f t="shared" si="3"/>
        <v>84.350056411782901</v>
      </c>
      <c r="F202" s="11" t="s">
        <v>70</v>
      </c>
      <c r="G202" s="11" t="s">
        <v>69</v>
      </c>
      <c r="H202" s="11" t="s">
        <v>69</v>
      </c>
      <c r="I202" s="11" t="s">
        <v>69</v>
      </c>
      <c r="J202" s="11" t="s">
        <v>69</v>
      </c>
      <c r="K202" s="14"/>
      <c r="L202" s="14"/>
      <c r="M202" s="11"/>
      <c r="N202" s="12"/>
      <c r="O202" s="11"/>
      <c r="P202" s="11"/>
      <c r="Q202" s="1">
        <v>198</v>
      </c>
      <c r="R202" s="1"/>
      <c r="S202" s="3">
        <f>INDEX(Locations!$D$6:$D$455,MATCH(B202,Locations!$A$6:$A$455,0))</f>
        <v>42.732506595345797</v>
      </c>
      <c r="T202" s="3">
        <f>INDEX(Locations!$E$6:$E$455,MATCH(B202,Locations!$A$6:$A$455,0))</f>
        <v>-73.672672104490204</v>
      </c>
      <c r="U202" s="3">
        <f>INDEX(Locations!$D$6:$D$455,MATCH(C202,Locations!$A$6:$A$455,0))</f>
        <v>42.733245393233503</v>
      </c>
      <c r="V202" s="3">
        <f>INDEX(Locations!$E$6:$E$455,MATCH(C202,Locations!$A$6:$A$455,0))</f>
        <v>-73.672437802411807</v>
      </c>
    </row>
    <row r="203" spans="1:22" ht="23.1" customHeight="1">
      <c r="A203" s="1" t="s">
        <v>811</v>
      </c>
      <c r="B203" s="1" t="s">
        <v>320</v>
      </c>
      <c r="C203" s="1" t="s">
        <v>340</v>
      </c>
      <c r="D203" s="1" t="s">
        <v>612</v>
      </c>
      <c r="E203" s="13">
        <f t="shared" si="3"/>
        <v>27.866674460906388</v>
      </c>
      <c r="F203" s="11" t="s">
        <v>70</v>
      </c>
      <c r="G203" s="11" t="s">
        <v>69</v>
      </c>
      <c r="H203" s="11" t="s">
        <v>69</v>
      </c>
      <c r="I203" s="11" t="s">
        <v>69</v>
      </c>
      <c r="J203" s="11" t="s">
        <v>69</v>
      </c>
      <c r="K203" s="14"/>
      <c r="L203" s="14"/>
      <c r="M203" s="11"/>
      <c r="N203" s="12"/>
      <c r="O203" s="11"/>
      <c r="P203" s="11"/>
      <c r="Q203" s="1">
        <v>199</v>
      </c>
      <c r="R203" s="1"/>
      <c r="S203" s="3">
        <f>INDEX(Locations!$D$6:$D$455,MATCH(B203,Locations!$A$6:$A$455,0))</f>
        <v>42.729000580313603</v>
      </c>
      <c r="T203" s="3">
        <f>INDEX(Locations!$E$6:$E$455,MATCH(B203,Locations!$A$6:$A$455,0))</f>
        <v>-73.678518186218795</v>
      </c>
      <c r="U203" s="3">
        <f>INDEX(Locations!$D$6:$D$455,MATCH(C203,Locations!$A$6:$A$455,0))</f>
        <v>42.728920114394803</v>
      </c>
      <c r="V203" s="3">
        <f>INDEX(Locations!$E$6:$E$455,MATCH(C203,Locations!$A$6:$A$455,0))</f>
        <v>-73.678195083961597</v>
      </c>
    </row>
    <row r="204" spans="1:22" ht="23.1" customHeight="1">
      <c r="A204" s="1" t="s">
        <v>812</v>
      </c>
      <c r="B204" s="1" t="s">
        <v>103</v>
      </c>
      <c r="C204" s="1" t="s">
        <v>340</v>
      </c>
      <c r="D204" s="1" t="s">
        <v>612</v>
      </c>
      <c r="E204" s="13">
        <f t="shared" si="3"/>
        <v>80.043165140159402</v>
      </c>
      <c r="F204" s="11" t="s">
        <v>70</v>
      </c>
      <c r="G204" s="11" t="s">
        <v>69</v>
      </c>
      <c r="H204" s="11" t="s">
        <v>69</v>
      </c>
      <c r="I204" s="11" t="s">
        <v>69</v>
      </c>
      <c r="J204" s="11" t="s">
        <v>69</v>
      </c>
      <c r="K204" s="14"/>
      <c r="L204" s="14"/>
      <c r="M204" s="11"/>
      <c r="N204" s="12"/>
      <c r="O204" s="11"/>
      <c r="P204" s="11"/>
      <c r="Q204" s="1">
        <v>200</v>
      </c>
      <c r="R204" s="1"/>
      <c r="S204" s="3">
        <f>INDEX(Locations!$D$6:$D$455,MATCH(B204,Locations!$A$6:$A$455,0))</f>
        <v>42.728225305769598</v>
      </c>
      <c r="T204" s="3">
        <f>INDEX(Locations!$E$6:$E$455,MATCH(B204,Locations!$A$6:$A$455,0))</f>
        <v>-73.678451283345296</v>
      </c>
      <c r="U204" s="3">
        <f>INDEX(Locations!$D$6:$D$455,MATCH(C204,Locations!$A$6:$A$455,0))</f>
        <v>42.728920114394803</v>
      </c>
      <c r="V204" s="3">
        <f>INDEX(Locations!$E$6:$E$455,MATCH(C204,Locations!$A$6:$A$455,0))</f>
        <v>-73.678195083961597</v>
      </c>
    </row>
    <row r="205" spans="1:22" ht="23.1" customHeight="1">
      <c r="A205" s="1" t="s">
        <v>813</v>
      </c>
      <c r="B205" s="1" t="s">
        <v>183</v>
      </c>
      <c r="C205" s="1" t="s">
        <v>340</v>
      </c>
      <c r="D205" s="1" t="s">
        <v>612</v>
      </c>
      <c r="E205" s="13">
        <f t="shared" si="3"/>
        <v>32.353763351122289</v>
      </c>
      <c r="F205" s="11" t="s">
        <v>70</v>
      </c>
      <c r="G205" s="11" t="s">
        <v>69</v>
      </c>
      <c r="H205" s="11" t="s">
        <v>69</v>
      </c>
      <c r="I205" s="11" t="s">
        <v>69</v>
      </c>
      <c r="J205" s="11" t="s">
        <v>69</v>
      </c>
      <c r="K205" s="14"/>
      <c r="L205" s="14"/>
      <c r="M205" s="11"/>
      <c r="N205" s="12"/>
      <c r="O205" s="11"/>
      <c r="P205" s="11"/>
      <c r="Q205" s="1">
        <v>201</v>
      </c>
      <c r="R205" s="1"/>
      <c r="S205" s="3">
        <f>INDEX(Locations!$D$6:$D$455,MATCH(B205,Locations!$A$6:$A$455,0))</f>
        <v>42.7292099242771</v>
      </c>
      <c r="T205" s="3">
        <f>INDEX(Locations!$E$6:$E$455,MATCH(B205,Locations!$A$6:$A$455,0))</f>
        <v>-73.678159833279494</v>
      </c>
      <c r="U205" s="3">
        <f>INDEX(Locations!$D$6:$D$455,MATCH(C205,Locations!$A$6:$A$455,0))</f>
        <v>42.728920114394803</v>
      </c>
      <c r="V205" s="3">
        <f>INDEX(Locations!$E$6:$E$455,MATCH(C205,Locations!$A$6:$A$455,0))</f>
        <v>-73.678195083961597</v>
      </c>
    </row>
    <row r="206" spans="1:22" ht="23.1" customHeight="1">
      <c r="A206" s="1" t="s">
        <v>814</v>
      </c>
      <c r="B206" s="1" t="s">
        <v>269</v>
      </c>
      <c r="C206" s="1" t="s">
        <v>341</v>
      </c>
      <c r="D206" s="1" t="s">
        <v>612</v>
      </c>
      <c r="E206" s="13">
        <f t="shared" si="3"/>
        <v>122.41986775250069</v>
      </c>
      <c r="F206" s="11" t="s">
        <v>70</v>
      </c>
      <c r="G206" s="11" t="s">
        <v>69</v>
      </c>
      <c r="H206" s="11" t="s">
        <v>69</v>
      </c>
      <c r="I206" s="11" t="s">
        <v>69</v>
      </c>
      <c r="J206" s="11" t="s">
        <v>69</v>
      </c>
      <c r="K206" s="14"/>
      <c r="L206" s="14"/>
      <c r="M206" s="11"/>
      <c r="N206" s="12"/>
      <c r="O206" s="11"/>
      <c r="P206" s="11"/>
      <c r="Q206" s="1">
        <v>202</v>
      </c>
      <c r="R206" s="1"/>
      <c r="S206" s="3">
        <f>INDEX(Locations!$D$6:$D$455,MATCH(B206,Locations!$A$6:$A$455,0))</f>
        <v>42.730058132388898</v>
      </c>
      <c r="T206" s="3">
        <f>INDEX(Locations!$E$6:$E$455,MATCH(B206,Locations!$A$6:$A$455,0))</f>
        <v>-73.677426323418402</v>
      </c>
      <c r="U206" s="3">
        <f>INDEX(Locations!$D$6:$D$455,MATCH(C206,Locations!$A$6:$A$455,0))</f>
        <v>42.728972991998603</v>
      </c>
      <c r="V206" s="3">
        <f>INDEX(Locations!$E$6:$E$455,MATCH(C206,Locations!$A$6:$A$455,0))</f>
        <v>-73.677679393659304</v>
      </c>
    </row>
    <row r="207" spans="1:22" ht="23.1" customHeight="1">
      <c r="A207" s="1" t="s">
        <v>815</v>
      </c>
      <c r="B207" s="1" t="s">
        <v>340</v>
      </c>
      <c r="C207" s="1" t="s">
        <v>341</v>
      </c>
      <c r="D207" s="1" t="s">
        <v>612</v>
      </c>
      <c r="E207" s="13">
        <f t="shared" si="3"/>
        <v>42.530317777547175</v>
      </c>
      <c r="F207" s="11" t="s">
        <v>70</v>
      </c>
      <c r="G207" s="11" t="s">
        <v>69</v>
      </c>
      <c r="H207" s="11" t="s">
        <v>69</v>
      </c>
      <c r="I207" s="11" t="s">
        <v>69</v>
      </c>
      <c r="J207" s="11" t="s">
        <v>69</v>
      </c>
      <c r="K207" s="14"/>
      <c r="L207" s="14"/>
      <c r="M207" s="11"/>
      <c r="N207" s="12"/>
      <c r="O207" s="11"/>
      <c r="P207" s="11"/>
      <c r="Q207" s="1">
        <v>203</v>
      </c>
      <c r="R207" s="1"/>
      <c r="S207" s="3">
        <f>INDEX(Locations!$D$6:$D$455,MATCH(B207,Locations!$A$6:$A$455,0))</f>
        <v>42.728920114394803</v>
      </c>
      <c r="T207" s="3">
        <f>INDEX(Locations!$E$6:$E$455,MATCH(B207,Locations!$A$6:$A$455,0))</f>
        <v>-73.678195083961597</v>
      </c>
      <c r="U207" s="3">
        <f>INDEX(Locations!$D$6:$D$455,MATCH(C207,Locations!$A$6:$A$455,0))</f>
        <v>42.728972991998603</v>
      </c>
      <c r="V207" s="3">
        <f>INDEX(Locations!$E$6:$E$455,MATCH(C207,Locations!$A$6:$A$455,0))</f>
        <v>-73.677679393659304</v>
      </c>
    </row>
    <row r="208" spans="1:22" ht="23.1" customHeight="1">
      <c r="A208" s="1" t="s">
        <v>816</v>
      </c>
      <c r="B208" s="1" t="s">
        <v>342</v>
      </c>
      <c r="C208" s="1" t="s">
        <v>341</v>
      </c>
      <c r="D208" s="1" t="s">
        <v>612</v>
      </c>
      <c r="E208" s="13">
        <f t="shared" si="3"/>
        <v>32.985143495463035</v>
      </c>
      <c r="F208" s="11" t="s">
        <v>70</v>
      </c>
      <c r="G208" s="11" t="s">
        <v>69</v>
      </c>
      <c r="H208" s="11" t="s">
        <v>69</v>
      </c>
      <c r="I208" s="11" t="s">
        <v>69</v>
      </c>
      <c r="J208" s="11" t="s">
        <v>69</v>
      </c>
      <c r="K208" s="14"/>
      <c r="L208" s="14"/>
      <c r="M208" s="11"/>
      <c r="N208" s="12"/>
      <c r="O208" s="11"/>
      <c r="P208" s="11"/>
      <c r="Q208" s="1">
        <v>204</v>
      </c>
      <c r="R208" s="1"/>
      <c r="S208" s="3">
        <f>INDEX(Locations!$D$6:$D$455,MATCH(B208,Locations!$A$6:$A$455,0))</f>
        <v>42.728938506604798</v>
      </c>
      <c r="T208" s="3">
        <f>INDEX(Locations!$E$6:$E$455,MATCH(B208,Locations!$A$6:$A$455,0))</f>
        <v>-73.677278301202094</v>
      </c>
      <c r="U208" s="3">
        <f>INDEX(Locations!$D$6:$D$455,MATCH(C208,Locations!$A$6:$A$455,0))</f>
        <v>42.728972991998603</v>
      </c>
      <c r="V208" s="3">
        <f>INDEX(Locations!$E$6:$E$455,MATCH(C208,Locations!$A$6:$A$455,0))</f>
        <v>-73.677679393659304</v>
      </c>
    </row>
    <row r="209" spans="1:22" ht="23.1" customHeight="1">
      <c r="A209" s="1" t="s">
        <v>817</v>
      </c>
      <c r="B209" s="1" t="s">
        <v>175</v>
      </c>
      <c r="C209" s="1" t="s">
        <v>345</v>
      </c>
      <c r="D209" s="1" t="s">
        <v>612</v>
      </c>
      <c r="E209" s="13">
        <f t="shared" si="3"/>
        <v>38.094554122774234</v>
      </c>
      <c r="F209" s="11" t="s">
        <v>70</v>
      </c>
      <c r="G209" s="11" t="s">
        <v>69</v>
      </c>
      <c r="H209" s="11" t="s">
        <v>69</v>
      </c>
      <c r="I209" s="11" t="s">
        <v>69</v>
      </c>
      <c r="J209" s="11" t="s">
        <v>69</v>
      </c>
      <c r="K209" s="14"/>
      <c r="L209" s="14"/>
      <c r="M209" s="11"/>
      <c r="N209" s="12"/>
      <c r="O209" s="11"/>
      <c r="P209" s="11"/>
      <c r="Q209" s="1">
        <v>205</v>
      </c>
      <c r="R209" s="1"/>
      <c r="S209" s="3">
        <f>INDEX(Locations!$D$6:$D$455,MATCH(B209,Locations!$A$6:$A$455,0))</f>
        <v>42.729899720271298</v>
      </c>
      <c r="T209" s="3">
        <f>INDEX(Locations!$E$6:$E$455,MATCH(B209,Locations!$A$6:$A$455,0))</f>
        <v>-73.676669675731205</v>
      </c>
      <c r="U209" s="3">
        <f>INDEX(Locations!$D$6:$D$455,MATCH(C209,Locations!$A$6:$A$455,0))</f>
        <v>42.7299604237732</v>
      </c>
      <c r="V209" s="3">
        <f>INDEX(Locations!$E$6:$E$455,MATCH(C209,Locations!$A$6:$A$455,0))</f>
        <v>-73.677128687348898</v>
      </c>
    </row>
    <row r="210" spans="1:22" ht="23.1" customHeight="1">
      <c r="A210" s="1" t="s">
        <v>818</v>
      </c>
      <c r="B210" s="1" t="s">
        <v>269</v>
      </c>
      <c r="C210" s="1" t="s">
        <v>345</v>
      </c>
      <c r="D210" s="1" t="s">
        <v>612</v>
      </c>
      <c r="E210" s="13">
        <f t="shared" si="3"/>
        <v>26.628024810023032</v>
      </c>
      <c r="F210" s="11" t="s">
        <v>70</v>
      </c>
      <c r="G210" s="11" t="s">
        <v>69</v>
      </c>
      <c r="H210" s="11" t="s">
        <v>69</v>
      </c>
      <c r="I210" s="11" t="s">
        <v>69</v>
      </c>
      <c r="J210" s="11" t="s">
        <v>69</v>
      </c>
      <c r="K210" s="14"/>
      <c r="L210" s="14"/>
      <c r="M210" s="11"/>
      <c r="N210" s="12"/>
      <c r="O210" s="11"/>
      <c r="P210" s="11"/>
      <c r="Q210" s="1">
        <v>206</v>
      </c>
      <c r="R210" s="1"/>
      <c r="S210" s="3">
        <f>INDEX(Locations!$D$6:$D$455,MATCH(B210,Locations!$A$6:$A$455,0))</f>
        <v>42.730058132388898</v>
      </c>
      <c r="T210" s="3">
        <f>INDEX(Locations!$E$6:$E$455,MATCH(B210,Locations!$A$6:$A$455,0))</f>
        <v>-73.677426323418402</v>
      </c>
      <c r="U210" s="3">
        <f>INDEX(Locations!$D$6:$D$455,MATCH(C210,Locations!$A$6:$A$455,0))</f>
        <v>42.7299604237732</v>
      </c>
      <c r="V210" s="3">
        <f>INDEX(Locations!$E$6:$E$455,MATCH(C210,Locations!$A$6:$A$455,0))</f>
        <v>-73.677128687348898</v>
      </c>
    </row>
    <row r="211" spans="1:22" ht="23.1" customHeight="1">
      <c r="A211" s="1" t="s">
        <v>819</v>
      </c>
      <c r="B211" s="1" t="s">
        <v>344</v>
      </c>
      <c r="C211" s="1" t="s">
        <v>345</v>
      </c>
      <c r="D211" s="1" t="s">
        <v>667</v>
      </c>
      <c r="E211" s="13">
        <f t="shared" si="3"/>
        <v>26.873669612341438</v>
      </c>
      <c r="F211" s="11" t="s">
        <v>70</v>
      </c>
      <c r="G211" s="11" t="s">
        <v>69</v>
      </c>
      <c r="H211" s="11" t="s">
        <v>69</v>
      </c>
      <c r="I211" s="11" t="s">
        <v>69</v>
      </c>
      <c r="J211" s="11" t="s">
        <v>69</v>
      </c>
      <c r="K211" s="14"/>
      <c r="L211" s="14"/>
      <c r="M211" s="11"/>
      <c r="N211" s="12"/>
      <c r="O211" s="11"/>
      <c r="P211" s="11"/>
      <c r="Q211" s="1">
        <v>207</v>
      </c>
      <c r="R211" s="1"/>
      <c r="S211" s="3">
        <f>INDEX(Locations!$D$6:$D$455,MATCH(B211,Locations!$A$6:$A$455,0))</f>
        <v>42.729719026016902</v>
      </c>
      <c r="T211" s="3">
        <f>INDEX(Locations!$E$6:$E$455,MATCH(B211,Locations!$A$6:$A$455,0))</f>
        <v>-73.677112770981594</v>
      </c>
      <c r="U211" s="3">
        <f>INDEX(Locations!$D$6:$D$455,MATCH(C211,Locations!$A$6:$A$455,0))</f>
        <v>42.7299604237732</v>
      </c>
      <c r="V211" s="3">
        <f>INDEX(Locations!$E$6:$E$455,MATCH(C211,Locations!$A$6:$A$455,0))</f>
        <v>-73.677128687348898</v>
      </c>
    </row>
    <row r="212" spans="1:22" ht="23.1" customHeight="1">
      <c r="A212" s="1" t="s">
        <v>820</v>
      </c>
      <c r="B212" s="1" t="s">
        <v>276</v>
      </c>
      <c r="C212" s="1" t="s">
        <v>343</v>
      </c>
      <c r="D212" s="1" t="s">
        <v>612</v>
      </c>
      <c r="E212" s="13">
        <f t="shared" si="3"/>
        <v>27.708311024029328</v>
      </c>
      <c r="F212" s="11" t="s">
        <v>70</v>
      </c>
      <c r="G212" s="11" t="s">
        <v>69</v>
      </c>
      <c r="H212" s="11" t="s">
        <v>69</v>
      </c>
      <c r="I212" s="11" t="s">
        <v>69</v>
      </c>
      <c r="J212" s="11" t="s">
        <v>69</v>
      </c>
      <c r="K212" s="14"/>
      <c r="L212" s="14"/>
      <c r="M212" s="11"/>
      <c r="N212" s="12"/>
      <c r="O212" s="11"/>
      <c r="P212" s="11"/>
      <c r="Q212" s="1">
        <v>208</v>
      </c>
      <c r="R212" s="1"/>
      <c r="S212" s="3">
        <f>INDEX(Locations!$D$6:$D$455,MATCH(B212,Locations!$A$6:$A$455,0))</f>
        <v>42.7292948556737</v>
      </c>
      <c r="T212" s="3">
        <f>INDEX(Locations!$E$6:$E$455,MATCH(B212,Locations!$A$6:$A$455,0))</f>
        <v>-73.677378574316407</v>
      </c>
      <c r="U212" s="3">
        <f>INDEX(Locations!$D$6:$D$455,MATCH(C212,Locations!$A$6:$A$455,0))</f>
        <v>42.729471880694902</v>
      </c>
      <c r="V212" s="3">
        <f>INDEX(Locations!$E$6:$E$455,MATCH(C212,Locations!$A$6:$A$455,0))</f>
        <v>-73.677139828806105</v>
      </c>
    </row>
    <row r="213" spans="1:22" ht="23.1" customHeight="1">
      <c r="A213" s="1" t="s">
        <v>821</v>
      </c>
      <c r="B213" s="1" t="s">
        <v>276</v>
      </c>
      <c r="C213" s="1" t="s">
        <v>165</v>
      </c>
      <c r="D213" s="1" t="s">
        <v>612</v>
      </c>
      <c r="E213" s="13">
        <f t="shared" si="3"/>
        <v>31.155105613779668</v>
      </c>
      <c r="F213" s="11" t="s">
        <v>70</v>
      </c>
      <c r="G213" s="11" t="s">
        <v>69</v>
      </c>
      <c r="H213" s="11" t="s">
        <v>69</v>
      </c>
      <c r="I213" s="11" t="s">
        <v>69</v>
      </c>
      <c r="J213" s="11" t="s">
        <v>69</v>
      </c>
      <c r="K213" s="14"/>
      <c r="L213" s="14"/>
      <c r="M213" s="11"/>
      <c r="N213" s="12"/>
      <c r="O213" s="11"/>
      <c r="P213" s="11"/>
      <c r="Q213" s="1">
        <v>209</v>
      </c>
      <c r="R213" s="1"/>
      <c r="S213" s="3">
        <f>INDEX(Locations!$D$6:$D$455,MATCH(B213,Locations!$A$6:$A$455,0))</f>
        <v>42.7292948556737</v>
      </c>
      <c r="T213" s="3">
        <f>INDEX(Locations!$E$6:$E$455,MATCH(B213,Locations!$A$6:$A$455,0))</f>
        <v>-73.677378574316407</v>
      </c>
      <c r="U213" s="3">
        <f>INDEX(Locations!$D$6:$D$455,MATCH(C213,Locations!$A$6:$A$455,0))</f>
        <v>42.729251662132</v>
      </c>
      <c r="V213" s="3">
        <f>INDEX(Locations!$E$6:$E$455,MATCH(C213,Locations!$A$6:$A$455,0))</f>
        <v>-73.677001706293794</v>
      </c>
    </row>
    <row r="214" spans="1:22" ht="23.1" customHeight="1">
      <c r="A214" s="1" t="s">
        <v>822</v>
      </c>
      <c r="B214" s="1" t="s">
        <v>342</v>
      </c>
      <c r="C214" s="1" t="s">
        <v>346</v>
      </c>
      <c r="D214" s="1" t="s">
        <v>612</v>
      </c>
      <c r="E214" s="13">
        <f t="shared" si="3"/>
        <v>28.981005800967051</v>
      </c>
      <c r="F214" s="11" t="s">
        <v>70</v>
      </c>
      <c r="G214" s="11" t="s">
        <v>69</v>
      </c>
      <c r="H214" s="11" t="s">
        <v>69</v>
      </c>
      <c r="I214" s="11" t="s">
        <v>69</v>
      </c>
      <c r="J214" s="11" t="s">
        <v>69</v>
      </c>
      <c r="K214" s="14"/>
      <c r="L214" s="14"/>
      <c r="M214" s="11"/>
      <c r="N214" s="12"/>
      <c r="O214" s="11"/>
      <c r="P214" s="11"/>
      <c r="Q214" s="1">
        <v>210</v>
      </c>
      <c r="R214" s="1"/>
      <c r="S214" s="3">
        <f>INDEX(Locations!$D$6:$D$455,MATCH(B214,Locations!$A$6:$A$455,0))</f>
        <v>42.728938506604798</v>
      </c>
      <c r="T214" s="3">
        <f>INDEX(Locations!$E$6:$E$455,MATCH(B214,Locations!$A$6:$A$455,0))</f>
        <v>-73.677278301202094</v>
      </c>
      <c r="U214" s="3">
        <f>INDEX(Locations!$D$6:$D$455,MATCH(C214,Locations!$A$6:$A$455,0))</f>
        <v>42.729085644284801</v>
      </c>
      <c r="V214" s="3">
        <f>INDEX(Locations!$E$6:$E$455,MATCH(C214,Locations!$A$6:$A$455,0))</f>
        <v>-73.676985440042799</v>
      </c>
    </row>
    <row r="215" spans="1:22" ht="23.1" customHeight="1">
      <c r="A215" s="1" t="s">
        <v>823</v>
      </c>
      <c r="B215" s="1" t="s">
        <v>276</v>
      </c>
      <c r="C215" s="1" t="s">
        <v>346</v>
      </c>
      <c r="D215" s="1" t="s">
        <v>612</v>
      </c>
      <c r="E215" s="13">
        <f t="shared" si="3"/>
        <v>39.652452055352022</v>
      </c>
      <c r="F215" s="11" t="s">
        <v>70</v>
      </c>
      <c r="G215" s="11" t="s">
        <v>69</v>
      </c>
      <c r="H215" s="11" t="s">
        <v>69</v>
      </c>
      <c r="I215" s="11" t="s">
        <v>69</v>
      </c>
      <c r="J215" s="11" t="s">
        <v>69</v>
      </c>
      <c r="K215" s="14"/>
      <c r="L215" s="14"/>
      <c r="M215" s="11"/>
      <c r="N215" s="12"/>
      <c r="O215" s="11"/>
      <c r="P215" s="11"/>
      <c r="Q215" s="1">
        <v>211</v>
      </c>
      <c r="R215" s="1"/>
      <c r="S215" s="3">
        <f>INDEX(Locations!$D$6:$D$455,MATCH(B215,Locations!$A$6:$A$455,0))</f>
        <v>42.7292948556737</v>
      </c>
      <c r="T215" s="3">
        <f>INDEX(Locations!$E$6:$E$455,MATCH(B215,Locations!$A$6:$A$455,0))</f>
        <v>-73.677378574316407</v>
      </c>
      <c r="U215" s="3">
        <f>INDEX(Locations!$D$6:$D$455,MATCH(C215,Locations!$A$6:$A$455,0))</f>
        <v>42.729085644284801</v>
      </c>
      <c r="V215" s="3">
        <f>INDEX(Locations!$E$6:$E$455,MATCH(C215,Locations!$A$6:$A$455,0))</f>
        <v>-73.676985440042799</v>
      </c>
    </row>
    <row r="216" spans="1:22" ht="23.1" customHeight="1">
      <c r="A216" s="1" t="s">
        <v>824</v>
      </c>
      <c r="B216" s="1" t="s">
        <v>343</v>
      </c>
      <c r="C216" s="1" t="s">
        <v>344</v>
      </c>
      <c r="D216" s="1" t="s">
        <v>612</v>
      </c>
      <c r="E216" s="13">
        <f t="shared" si="3"/>
        <v>27.570031223209799</v>
      </c>
      <c r="F216" s="11" t="s">
        <v>70</v>
      </c>
      <c r="G216" s="11" t="s">
        <v>69</v>
      </c>
      <c r="H216" s="11" t="s">
        <v>69</v>
      </c>
      <c r="I216" s="11" t="s">
        <v>69</v>
      </c>
      <c r="J216" s="11" t="s">
        <v>69</v>
      </c>
      <c r="K216" s="14"/>
      <c r="L216" s="14"/>
      <c r="M216" s="11"/>
      <c r="N216" s="12"/>
      <c r="O216" s="11"/>
      <c r="P216" s="11"/>
      <c r="Q216" s="1">
        <v>212</v>
      </c>
      <c r="R216" s="1"/>
      <c r="S216" s="3">
        <f>INDEX(Locations!$D$6:$D$455,MATCH(B216,Locations!$A$6:$A$455,0))</f>
        <v>42.729471880694902</v>
      </c>
      <c r="T216" s="3">
        <f>INDEX(Locations!$E$6:$E$455,MATCH(B216,Locations!$A$6:$A$455,0))</f>
        <v>-73.677139828806105</v>
      </c>
      <c r="U216" s="3">
        <f>INDEX(Locations!$D$6:$D$455,MATCH(C216,Locations!$A$6:$A$455,0))</f>
        <v>42.729719026016902</v>
      </c>
      <c r="V216" s="3">
        <f>INDEX(Locations!$E$6:$E$455,MATCH(C216,Locations!$A$6:$A$455,0))</f>
        <v>-73.677112770981594</v>
      </c>
    </row>
    <row r="217" spans="1:22" ht="23.1" customHeight="1">
      <c r="A217" s="1" t="s">
        <v>825</v>
      </c>
      <c r="B217" s="1" t="s">
        <v>347</v>
      </c>
      <c r="C217" s="1" t="s">
        <v>270</v>
      </c>
      <c r="D217" s="1" t="s">
        <v>612</v>
      </c>
      <c r="E217" s="13">
        <f t="shared" si="3"/>
        <v>36.17515662704897</v>
      </c>
      <c r="F217" s="11" t="s">
        <v>70</v>
      </c>
      <c r="G217" s="11" t="s">
        <v>69</v>
      </c>
      <c r="H217" s="11" t="s">
        <v>69</v>
      </c>
      <c r="I217" s="11" t="s">
        <v>69</v>
      </c>
      <c r="J217" s="11" t="s">
        <v>69</v>
      </c>
      <c r="K217" s="14"/>
      <c r="L217" s="14"/>
      <c r="M217" s="11"/>
      <c r="N217" s="12"/>
      <c r="O217" s="11"/>
      <c r="P217" s="11"/>
      <c r="Q217" s="1">
        <v>213</v>
      </c>
      <c r="R217" s="1"/>
      <c r="S217" s="3">
        <f>INDEX(Locations!$D$6:$D$455,MATCH(B217,Locations!$A$6:$A$455,0))</f>
        <v>42.729552346613701</v>
      </c>
      <c r="T217" s="3">
        <f>INDEX(Locations!$E$6:$E$455,MATCH(B217,Locations!$A$6:$A$455,0))</f>
        <v>-73.676937690940704</v>
      </c>
      <c r="U217" s="3">
        <f>INDEX(Locations!$D$6:$D$455,MATCH(C217,Locations!$A$6:$A$455,0))</f>
        <v>42.729510964141198</v>
      </c>
      <c r="V217" s="3">
        <f>INDEX(Locations!$E$6:$E$455,MATCH(C217,Locations!$A$6:$A$455,0))</f>
        <v>-73.676498399201805</v>
      </c>
    </row>
    <row r="218" spans="1:22" ht="23.1" customHeight="1">
      <c r="A218" s="1" t="s">
        <v>826</v>
      </c>
      <c r="B218" s="1" t="s">
        <v>175</v>
      </c>
      <c r="C218" s="1" t="s">
        <v>347</v>
      </c>
      <c r="D218" s="1" t="s">
        <v>612</v>
      </c>
      <c r="E218" s="13">
        <f t="shared" si="3"/>
        <v>44.398369436051169</v>
      </c>
      <c r="F218" s="11" t="s">
        <v>70</v>
      </c>
      <c r="G218" s="11" t="s">
        <v>69</v>
      </c>
      <c r="H218" s="11" t="s">
        <v>69</v>
      </c>
      <c r="I218" s="11" t="s">
        <v>69</v>
      </c>
      <c r="J218" s="11" t="s">
        <v>69</v>
      </c>
      <c r="K218" s="14"/>
      <c r="L218" s="14"/>
      <c r="M218" s="11"/>
      <c r="N218" s="12"/>
      <c r="O218" s="11"/>
      <c r="P218" s="11"/>
      <c r="Q218" s="1">
        <v>214</v>
      </c>
      <c r="R218" s="1"/>
      <c r="S218" s="3">
        <f>INDEX(Locations!$D$6:$D$455,MATCH(B218,Locations!$A$6:$A$455,0))</f>
        <v>42.729899720271298</v>
      </c>
      <c r="T218" s="3">
        <f>INDEX(Locations!$E$6:$E$455,MATCH(B218,Locations!$A$6:$A$455,0))</f>
        <v>-73.676669675731205</v>
      </c>
      <c r="U218" s="3">
        <f>INDEX(Locations!$D$6:$D$455,MATCH(C218,Locations!$A$6:$A$455,0))</f>
        <v>42.729552346613701</v>
      </c>
      <c r="V218" s="3">
        <f>INDEX(Locations!$E$6:$E$455,MATCH(C218,Locations!$A$6:$A$455,0))</f>
        <v>-73.676937690940704</v>
      </c>
    </row>
    <row r="219" spans="1:22" ht="23.1" customHeight="1">
      <c r="A219" s="1" t="s">
        <v>827</v>
      </c>
      <c r="B219" s="1" t="s">
        <v>343</v>
      </c>
      <c r="C219" s="1" t="s">
        <v>347</v>
      </c>
      <c r="D219" s="1" t="s">
        <v>612</v>
      </c>
      <c r="E219" s="13">
        <f t="shared" si="3"/>
        <v>18.77913958118895</v>
      </c>
      <c r="F219" s="11" t="s">
        <v>70</v>
      </c>
      <c r="G219" s="11" t="s">
        <v>69</v>
      </c>
      <c r="H219" s="11" t="s">
        <v>69</v>
      </c>
      <c r="I219" s="11" t="s">
        <v>69</v>
      </c>
      <c r="J219" s="11" t="s">
        <v>69</v>
      </c>
      <c r="K219" s="14"/>
      <c r="L219" s="14"/>
      <c r="M219" s="11"/>
      <c r="N219" s="12"/>
      <c r="O219" s="11"/>
      <c r="P219" s="11"/>
      <c r="Q219" s="1">
        <v>215</v>
      </c>
      <c r="R219" s="1"/>
      <c r="S219" s="3">
        <f>INDEX(Locations!$D$6:$D$455,MATCH(B219,Locations!$A$6:$A$455,0))</f>
        <v>42.729471880694902</v>
      </c>
      <c r="T219" s="3">
        <f>INDEX(Locations!$E$6:$E$455,MATCH(B219,Locations!$A$6:$A$455,0))</f>
        <v>-73.677139828806105</v>
      </c>
      <c r="U219" s="3">
        <f>INDEX(Locations!$D$6:$D$455,MATCH(C219,Locations!$A$6:$A$455,0))</f>
        <v>42.729552346613701</v>
      </c>
      <c r="V219" s="3">
        <f>INDEX(Locations!$E$6:$E$455,MATCH(C219,Locations!$A$6:$A$455,0))</f>
        <v>-73.676937690940704</v>
      </c>
    </row>
    <row r="220" spans="1:22" ht="23.1" customHeight="1">
      <c r="A220" s="1" t="s">
        <v>828</v>
      </c>
      <c r="B220" s="1" t="s">
        <v>346</v>
      </c>
      <c r="C220" s="1" t="s">
        <v>153</v>
      </c>
      <c r="D220" s="1" t="s">
        <v>612</v>
      </c>
      <c r="E220" s="13">
        <f t="shared" si="3"/>
        <v>31.740295124507334</v>
      </c>
      <c r="F220" s="11" t="s">
        <v>70</v>
      </c>
      <c r="G220" s="11" t="s">
        <v>69</v>
      </c>
      <c r="H220" s="11" t="s">
        <v>69</v>
      </c>
      <c r="I220" s="11" t="s">
        <v>69</v>
      </c>
      <c r="J220" s="11" t="s">
        <v>69</v>
      </c>
      <c r="K220" s="14"/>
      <c r="L220" s="14"/>
      <c r="M220" s="11"/>
      <c r="N220" s="12"/>
      <c r="O220" s="11"/>
      <c r="P220" s="11"/>
      <c r="Q220" s="1">
        <v>216</v>
      </c>
      <c r="R220" s="1"/>
      <c r="S220" s="3">
        <f>INDEX(Locations!$D$6:$D$455,MATCH(B220,Locations!$A$6:$A$455,0))</f>
        <v>42.729085644284801</v>
      </c>
      <c r="T220" s="3">
        <f>INDEX(Locations!$E$6:$E$455,MATCH(B220,Locations!$A$6:$A$455,0))</f>
        <v>-73.676985440042799</v>
      </c>
      <c r="U220" s="3">
        <f>INDEX(Locations!$D$6:$D$455,MATCH(C220,Locations!$A$6:$A$455,0))</f>
        <v>42.728805307565999</v>
      </c>
      <c r="V220" s="3">
        <f>INDEX(Locations!$E$6:$E$455,MATCH(C220,Locations!$A$6:$A$455,0))</f>
        <v>-73.676912237268795</v>
      </c>
    </row>
    <row r="221" spans="1:22" ht="23.1" customHeight="1">
      <c r="A221" s="1" t="s">
        <v>829</v>
      </c>
      <c r="B221" s="1" t="s">
        <v>179</v>
      </c>
      <c r="C221" s="1" t="s">
        <v>77</v>
      </c>
      <c r="D221" s="1" t="s">
        <v>612</v>
      </c>
      <c r="E221" s="13">
        <f t="shared" si="3"/>
        <v>41.17503982218205</v>
      </c>
      <c r="F221" s="11" t="s">
        <v>70</v>
      </c>
      <c r="G221" s="11" t="s">
        <v>69</v>
      </c>
      <c r="H221" s="11" t="s">
        <v>69</v>
      </c>
      <c r="I221" s="11" t="s">
        <v>69</v>
      </c>
      <c r="J221" s="11" t="s">
        <v>69</v>
      </c>
      <c r="K221" s="14"/>
      <c r="L221" s="14"/>
      <c r="M221" s="11"/>
      <c r="N221" s="12"/>
      <c r="O221" s="11"/>
      <c r="P221" s="11"/>
      <c r="Q221" s="1">
        <v>217</v>
      </c>
      <c r="R221" s="1"/>
      <c r="S221" s="3">
        <f>INDEX(Locations!$D$6:$D$455,MATCH(B221,Locations!$A$6:$A$455,0))</f>
        <v>42.728153632716797</v>
      </c>
      <c r="T221" s="3">
        <f>INDEX(Locations!$E$6:$E$455,MATCH(B221,Locations!$A$6:$A$455,0))</f>
        <v>-73.677244993647193</v>
      </c>
      <c r="U221" s="3">
        <f>INDEX(Locations!$D$6:$D$455,MATCH(C221,Locations!$A$6:$A$455,0))</f>
        <v>42.728465366274598</v>
      </c>
      <c r="V221" s="3">
        <f>INDEX(Locations!$E$6:$E$455,MATCH(C221,Locations!$A$6:$A$455,0))</f>
        <v>-73.676972928730095</v>
      </c>
    </row>
    <row r="222" spans="1:22" ht="23.1" customHeight="1">
      <c r="A222" s="1" t="s">
        <v>830</v>
      </c>
      <c r="B222" s="1" t="s">
        <v>153</v>
      </c>
      <c r="C222" s="1" t="s">
        <v>77</v>
      </c>
      <c r="D222" s="1" t="s">
        <v>612</v>
      </c>
      <c r="E222" s="13">
        <f t="shared" si="3"/>
        <v>38.123432806985996</v>
      </c>
      <c r="F222" s="11" t="s">
        <v>70</v>
      </c>
      <c r="G222" s="11" t="s">
        <v>69</v>
      </c>
      <c r="H222" s="11" t="s">
        <v>69</v>
      </c>
      <c r="I222" s="11" t="s">
        <v>69</v>
      </c>
      <c r="J222" s="11" t="s">
        <v>69</v>
      </c>
      <c r="K222" s="14"/>
      <c r="L222" s="14"/>
      <c r="M222" s="11"/>
      <c r="N222" s="12"/>
      <c r="O222" s="11"/>
      <c r="P222" s="11"/>
      <c r="Q222" s="1">
        <v>218</v>
      </c>
      <c r="R222" s="1"/>
      <c r="S222" s="3">
        <f>INDEX(Locations!$D$6:$D$455,MATCH(B222,Locations!$A$6:$A$455,0))</f>
        <v>42.728805307565999</v>
      </c>
      <c r="T222" s="3">
        <f>INDEX(Locations!$E$6:$E$455,MATCH(B222,Locations!$A$6:$A$455,0))</f>
        <v>-73.676912237268795</v>
      </c>
      <c r="U222" s="3">
        <f>INDEX(Locations!$D$6:$D$455,MATCH(C222,Locations!$A$6:$A$455,0))</f>
        <v>42.728465366274598</v>
      </c>
      <c r="V222" s="3">
        <f>INDEX(Locations!$E$6:$E$455,MATCH(C222,Locations!$A$6:$A$455,0))</f>
        <v>-73.676972928730095</v>
      </c>
    </row>
    <row r="223" spans="1:22" ht="23.1" customHeight="1">
      <c r="A223" s="1" t="s">
        <v>831</v>
      </c>
      <c r="B223" s="1" t="s">
        <v>346</v>
      </c>
      <c r="C223" s="1" t="s">
        <v>348</v>
      </c>
      <c r="D223" s="1" t="s">
        <v>612</v>
      </c>
      <c r="E223" s="13">
        <f t="shared" si="3"/>
        <v>77.617356586572797</v>
      </c>
      <c r="F223" s="11" t="s">
        <v>70</v>
      </c>
      <c r="G223" s="11" t="s">
        <v>69</v>
      </c>
      <c r="H223" s="11" t="s">
        <v>69</v>
      </c>
      <c r="I223" s="11" t="s">
        <v>69</v>
      </c>
      <c r="J223" s="11" t="s">
        <v>69</v>
      </c>
      <c r="K223" s="14"/>
      <c r="L223" s="14"/>
      <c r="M223" s="11"/>
      <c r="N223" s="12"/>
      <c r="O223" s="11"/>
      <c r="P223" s="11"/>
      <c r="Q223" s="1">
        <v>219</v>
      </c>
      <c r="R223" s="1"/>
      <c r="S223" s="3">
        <f>INDEX(Locations!$D$6:$D$455,MATCH(B223,Locations!$A$6:$A$455,0))</f>
        <v>42.729085644284801</v>
      </c>
      <c r="T223" s="3">
        <f>INDEX(Locations!$E$6:$E$455,MATCH(B223,Locations!$A$6:$A$455,0))</f>
        <v>-73.676985440042799</v>
      </c>
      <c r="U223" s="3">
        <f>INDEX(Locations!$D$6:$D$455,MATCH(C223,Locations!$A$6:$A$455,0))</f>
        <v>42.728920114394803</v>
      </c>
      <c r="V223" s="3">
        <f>INDEX(Locations!$E$6:$E$455,MATCH(C223,Locations!$A$6:$A$455,0))</f>
        <v>-73.676062290736297</v>
      </c>
    </row>
    <row r="224" spans="1:22" ht="23.1" customHeight="1">
      <c r="A224" s="1" t="s">
        <v>832</v>
      </c>
      <c r="B224" s="1" t="s">
        <v>349</v>
      </c>
      <c r="C224" s="1" t="s">
        <v>348</v>
      </c>
      <c r="D224" s="1" t="s">
        <v>612</v>
      </c>
      <c r="E224" s="13">
        <f t="shared" si="3"/>
        <v>25.564005533488235</v>
      </c>
      <c r="F224" s="11" t="s">
        <v>70</v>
      </c>
      <c r="G224" s="11" t="s">
        <v>69</v>
      </c>
      <c r="H224" s="11" t="s">
        <v>69</v>
      </c>
      <c r="I224" s="11" t="s">
        <v>69</v>
      </c>
      <c r="J224" s="11" t="s">
        <v>69</v>
      </c>
      <c r="K224" s="14"/>
      <c r="L224" s="14"/>
      <c r="M224" s="11"/>
      <c r="N224" s="12"/>
      <c r="O224" s="11"/>
      <c r="P224" s="11"/>
      <c r="Q224" s="1">
        <v>220</v>
      </c>
      <c r="R224" s="1"/>
      <c r="S224" s="3">
        <f>INDEX(Locations!$D$6:$D$455,MATCH(B224,Locations!$A$6:$A$455,0))</f>
        <v>42.728690211769703</v>
      </c>
      <c r="T224" s="3">
        <f>INDEX(Locations!$E$6:$E$455,MATCH(B224,Locations!$A$6:$A$455,0))</f>
        <v>-73.676062290736297</v>
      </c>
      <c r="U224" s="3">
        <f>INDEX(Locations!$D$6:$D$455,MATCH(C224,Locations!$A$6:$A$455,0))</f>
        <v>42.728920114394803</v>
      </c>
      <c r="V224" s="3">
        <f>INDEX(Locations!$E$6:$E$455,MATCH(C224,Locations!$A$6:$A$455,0))</f>
        <v>-73.676062290736297</v>
      </c>
    </row>
    <row r="225" spans="1:22" ht="23.1" customHeight="1">
      <c r="A225" s="1" t="s">
        <v>833</v>
      </c>
      <c r="B225" s="1" t="s">
        <v>350</v>
      </c>
      <c r="C225" s="1" t="s">
        <v>349</v>
      </c>
      <c r="D225" s="1" t="s">
        <v>612</v>
      </c>
      <c r="E225" s="13">
        <f t="shared" si="3"/>
        <v>14.049400243130833</v>
      </c>
      <c r="F225" s="11" t="s">
        <v>70</v>
      </c>
      <c r="G225" s="11" t="s">
        <v>69</v>
      </c>
      <c r="H225" s="11" t="s">
        <v>69</v>
      </c>
      <c r="I225" s="11" t="s">
        <v>69</v>
      </c>
      <c r="J225" s="11" t="s">
        <v>69</v>
      </c>
      <c r="K225" s="14"/>
      <c r="L225" s="14"/>
      <c r="M225" s="11"/>
      <c r="N225" s="12"/>
      <c r="O225" s="11"/>
      <c r="P225" s="11"/>
      <c r="Q225" s="1">
        <v>221</v>
      </c>
      <c r="R225" s="1"/>
      <c r="S225" s="3">
        <f>INDEX(Locations!$D$6:$D$455,MATCH(B225,Locations!$A$6:$A$455,0))</f>
        <v>42.728660324428503</v>
      </c>
      <c r="T225" s="3">
        <f>INDEX(Locations!$E$6:$E$455,MATCH(B225,Locations!$A$6:$A$455,0))</f>
        <v>-73.675895168879094</v>
      </c>
      <c r="U225" s="3">
        <f>INDEX(Locations!$D$6:$D$455,MATCH(C225,Locations!$A$6:$A$455,0))</f>
        <v>42.728690211769703</v>
      </c>
      <c r="V225" s="3">
        <f>INDEX(Locations!$E$6:$E$455,MATCH(C225,Locations!$A$6:$A$455,0))</f>
        <v>-73.676062290736297</v>
      </c>
    </row>
    <row r="226" spans="1:22" ht="23.1" customHeight="1">
      <c r="A226" s="1" t="s">
        <v>834</v>
      </c>
      <c r="B226" s="1" t="s">
        <v>351</v>
      </c>
      <c r="C226" s="1" t="s">
        <v>350</v>
      </c>
      <c r="D226" s="1" t="s">
        <v>612</v>
      </c>
      <c r="E226" s="13">
        <f t="shared" si="3"/>
        <v>21.892252619065768</v>
      </c>
      <c r="F226" s="11" t="s">
        <v>70</v>
      </c>
      <c r="G226" s="11" t="s">
        <v>69</v>
      </c>
      <c r="H226" s="11" t="s">
        <v>69</v>
      </c>
      <c r="I226" s="11" t="s">
        <v>69</v>
      </c>
      <c r="J226" s="11" t="s">
        <v>69</v>
      </c>
      <c r="K226" s="14"/>
      <c r="L226" s="14"/>
      <c r="M226" s="11"/>
      <c r="N226" s="12"/>
      <c r="O226" s="11"/>
      <c r="P226" s="11"/>
      <c r="Q226" s="1">
        <v>222</v>
      </c>
      <c r="R226" s="1"/>
      <c r="S226" s="3">
        <f>INDEX(Locations!$D$6:$D$455,MATCH(B226,Locations!$A$6:$A$455,0))</f>
        <v>42.728478701354703</v>
      </c>
      <c r="T226" s="3">
        <f>INDEX(Locations!$E$6:$E$455,MATCH(B226,Locations!$A$6:$A$455,0))</f>
        <v>-73.675791712491304</v>
      </c>
      <c r="U226" s="3">
        <f>INDEX(Locations!$D$6:$D$455,MATCH(C226,Locations!$A$6:$A$455,0))</f>
        <v>42.728660324428503</v>
      </c>
      <c r="V226" s="3">
        <f>INDEX(Locations!$E$6:$E$455,MATCH(C226,Locations!$A$6:$A$455,0))</f>
        <v>-73.675895168879094</v>
      </c>
    </row>
    <row r="227" spans="1:22" ht="23.1" customHeight="1">
      <c r="A227" s="1" t="s">
        <v>835</v>
      </c>
      <c r="B227" s="1" t="s">
        <v>351</v>
      </c>
      <c r="C227" s="1" t="s">
        <v>260</v>
      </c>
      <c r="D227" s="1" t="s">
        <v>612</v>
      </c>
      <c r="E227" s="13">
        <f t="shared" si="3"/>
        <v>21.998236801671535</v>
      </c>
      <c r="F227" s="11" t="s">
        <v>70</v>
      </c>
      <c r="G227" s="11" t="s">
        <v>69</v>
      </c>
      <c r="H227" s="11" t="s">
        <v>69</v>
      </c>
      <c r="I227" s="11" t="s">
        <v>69</v>
      </c>
      <c r="J227" s="11" t="s">
        <v>69</v>
      </c>
      <c r="K227" s="14"/>
      <c r="L227" s="14"/>
      <c r="M227" s="11"/>
      <c r="N227" s="12"/>
      <c r="O227" s="11"/>
      <c r="P227" s="11"/>
      <c r="Q227" s="1">
        <v>223</v>
      </c>
      <c r="R227" s="1"/>
      <c r="S227" s="3">
        <f>INDEX(Locations!$D$6:$D$455,MATCH(B227,Locations!$A$6:$A$455,0))</f>
        <v>42.728478701354703</v>
      </c>
      <c r="T227" s="3">
        <f>INDEX(Locations!$E$6:$E$455,MATCH(B227,Locations!$A$6:$A$455,0))</f>
        <v>-73.675791712491304</v>
      </c>
      <c r="U227" s="3">
        <f>INDEX(Locations!$D$6:$D$455,MATCH(C227,Locations!$A$6:$A$455,0))</f>
        <v>42.728414328619699</v>
      </c>
      <c r="V227" s="3">
        <f>INDEX(Locations!$E$6:$E$455,MATCH(C227,Locations!$A$6:$A$455,0))</f>
        <v>-73.675537050613698</v>
      </c>
    </row>
    <row r="228" spans="1:22" ht="23.1" customHeight="1">
      <c r="A228" s="1" t="s">
        <v>836</v>
      </c>
      <c r="B228" s="1" t="s">
        <v>258</v>
      </c>
      <c r="C228" s="1" t="s">
        <v>350</v>
      </c>
      <c r="D228" s="1" t="s">
        <v>612</v>
      </c>
      <c r="E228" s="13">
        <f t="shared" si="3"/>
        <v>66.74811370298319</v>
      </c>
      <c r="F228" s="11" t="s">
        <v>70</v>
      </c>
      <c r="G228" s="11" t="s">
        <v>69</v>
      </c>
      <c r="H228" s="11" t="s">
        <v>69</v>
      </c>
      <c r="I228" s="11" t="s">
        <v>69</v>
      </c>
      <c r="J228" s="11" t="s">
        <v>69</v>
      </c>
      <c r="K228" s="14"/>
      <c r="L228" s="14"/>
      <c r="M228" s="11"/>
      <c r="N228" s="12"/>
      <c r="O228" s="11"/>
      <c r="P228" s="11"/>
      <c r="Q228" s="1">
        <v>224</v>
      </c>
      <c r="R228" s="1"/>
      <c r="S228" s="3">
        <f>INDEX(Locations!$D$6:$D$455,MATCH(B228,Locations!$A$6:$A$455,0))</f>
        <v>42.729248875148599</v>
      </c>
      <c r="T228" s="3">
        <f>INDEX(Locations!$E$6:$E$455,MATCH(B228,Locations!$A$6:$A$455,0))</f>
        <v>-73.675734413568804</v>
      </c>
      <c r="U228" s="3">
        <f>INDEX(Locations!$D$6:$D$455,MATCH(C228,Locations!$A$6:$A$455,0))</f>
        <v>42.728660324428503</v>
      </c>
      <c r="V228" s="3">
        <f>INDEX(Locations!$E$6:$E$455,MATCH(C228,Locations!$A$6:$A$455,0))</f>
        <v>-73.675895168879094</v>
      </c>
    </row>
    <row r="229" spans="1:22" ht="23.1" customHeight="1">
      <c r="A229" s="1" t="s">
        <v>837</v>
      </c>
      <c r="B229" s="1" t="s">
        <v>342</v>
      </c>
      <c r="C229" s="1" t="s">
        <v>353</v>
      </c>
      <c r="D229" s="1" t="s">
        <v>612</v>
      </c>
      <c r="E229" s="13">
        <f t="shared" si="3"/>
        <v>76.835412898473308</v>
      </c>
      <c r="F229" s="11" t="s">
        <v>70</v>
      </c>
      <c r="G229" s="11" t="s">
        <v>69</v>
      </c>
      <c r="H229" s="11" t="s">
        <v>69</v>
      </c>
      <c r="I229" s="11" t="s">
        <v>69</v>
      </c>
      <c r="J229" s="11" t="s">
        <v>69</v>
      </c>
      <c r="K229" s="14"/>
      <c r="L229" s="14"/>
      <c r="M229" s="11"/>
      <c r="N229" s="12"/>
      <c r="O229" s="11"/>
      <c r="P229" s="11"/>
      <c r="Q229" s="1">
        <v>225</v>
      </c>
      <c r="R229" s="1"/>
      <c r="S229" s="3">
        <f>INDEX(Locations!$D$6:$D$455,MATCH(B229,Locations!$A$6:$A$455,0))</f>
        <v>42.728938506604798</v>
      </c>
      <c r="T229" s="3">
        <f>INDEX(Locations!$E$6:$E$455,MATCH(B229,Locations!$A$6:$A$455,0))</f>
        <v>-73.677278301202094</v>
      </c>
      <c r="U229" s="3">
        <f>INDEX(Locations!$D$6:$D$455,MATCH(C229,Locations!$A$6:$A$455,0))</f>
        <v>42.728259144347803</v>
      </c>
      <c r="V229" s="3">
        <f>INDEX(Locations!$E$6:$E$455,MATCH(C229,Locations!$A$6:$A$455,0))</f>
        <v>-73.677450197969506</v>
      </c>
    </row>
    <row r="230" spans="1:22" ht="23.1" customHeight="1">
      <c r="A230" s="1" t="s">
        <v>838</v>
      </c>
      <c r="B230" s="1" t="s">
        <v>341</v>
      </c>
      <c r="C230" s="1" t="s">
        <v>352</v>
      </c>
      <c r="D230" s="1" t="s">
        <v>612</v>
      </c>
      <c r="E230" s="13">
        <f t="shared" si="3"/>
        <v>86.207040012052332</v>
      </c>
      <c r="F230" s="11" t="s">
        <v>70</v>
      </c>
      <c r="G230" s="11" t="s">
        <v>69</v>
      </c>
      <c r="H230" s="11" t="s">
        <v>69</v>
      </c>
      <c r="I230" s="11" t="s">
        <v>69</v>
      </c>
      <c r="J230" s="11" t="s">
        <v>69</v>
      </c>
      <c r="K230" s="14"/>
      <c r="L230" s="14"/>
      <c r="M230" s="11"/>
      <c r="N230" s="12"/>
      <c r="O230" s="11"/>
      <c r="P230" s="11"/>
      <c r="Q230" s="1">
        <v>226</v>
      </c>
      <c r="R230" s="1"/>
      <c r="S230" s="3">
        <f>INDEX(Locations!$D$6:$D$455,MATCH(B230,Locations!$A$6:$A$455,0))</f>
        <v>42.728972991998603</v>
      </c>
      <c r="T230" s="3">
        <f>INDEX(Locations!$E$6:$E$455,MATCH(B230,Locations!$A$6:$A$455,0))</f>
        <v>-73.677679393659304</v>
      </c>
      <c r="U230" s="3">
        <f>INDEX(Locations!$D$6:$D$455,MATCH(C230,Locations!$A$6:$A$455,0))</f>
        <v>42.728218911388403</v>
      </c>
      <c r="V230" s="3">
        <f>INDEX(Locations!$E$6:$E$455,MATCH(C230,Locations!$A$6:$A$455,0))</f>
        <v>-73.677924505716604</v>
      </c>
    </row>
    <row r="231" spans="1:22" ht="23.1" customHeight="1">
      <c r="A231" s="1" t="s">
        <v>839</v>
      </c>
      <c r="B231" s="1" t="s">
        <v>353</v>
      </c>
      <c r="C231" s="1" t="s">
        <v>352</v>
      </c>
      <c r="D231" s="1" t="s">
        <v>612</v>
      </c>
      <c r="E231" s="13">
        <f t="shared" si="3"/>
        <v>38.999656780306438</v>
      </c>
      <c r="F231" s="11" t="s">
        <v>70</v>
      </c>
      <c r="G231" s="11" t="s">
        <v>69</v>
      </c>
      <c r="H231" s="11" t="s">
        <v>69</v>
      </c>
      <c r="I231" s="11" t="s">
        <v>69</v>
      </c>
      <c r="J231" s="11" t="s">
        <v>69</v>
      </c>
      <c r="K231" s="14"/>
      <c r="L231" s="14"/>
      <c r="M231" s="11"/>
      <c r="N231" s="12"/>
      <c r="O231" s="11"/>
      <c r="P231" s="11"/>
      <c r="Q231" s="1">
        <v>227</v>
      </c>
      <c r="R231" s="1"/>
      <c r="S231" s="3">
        <f>INDEX(Locations!$D$6:$D$455,MATCH(B231,Locations!$A$6:$A$455,0))</f>
        <v>42.728259144347803</v>
      </c>
      <c r="T231" s="3">
        <f>INDEX(Locations!$E$6:$E$455,MATCH(B231,Locations!$A$6:$A$455,0))</f>
        <v>-73.677450197969506</v>
      </c>
      <c r="U231" s="3">
        <f>INDEX(Locations!$D$6:$D$455,MATCH(C231,Locations!$A$6:$A$455,0))</f>
        <v>42.728218911388403</v>
      </c>
      <c r="V231" s="3">
        <f>INDEX(Locations!$E$6:$E$455,MATCH(C231,Locations!$A$6:$A$455,0))</f>
        <v>-73.677924505716604</v>
      </c>
    </row>
    <row r="232" spans="1:22" ht="23.1" customHeight="1">
      <c r="A232" s="1" t="s">
        <v>840</v>
      </c>
      <c r="B232" s="1" t="s">
        <v>323</v>
      </c>
      <c r="C232" s="1" t="s">
        <v>355</v>
      </c>
      <c r="D232" s="1" t="s">
        <v>612</v>
      </c>
      <c r="E232" s="13">
        <f t="shared" si="3"/>
        <v>38.360965283697958</v>
      </c>
      <c r="F232" s="11" t="s">
        <v>70</v>
      </c>
      <c r="G232" s="11" t="s">
        <v>69</v>
      </c>
      <c r="H232" s="11" t="s">
        <v>69</v>
      </c>
      <c r="I232" s="11" t="s">
        <v>69</v>
      </c>
      <c r="J232" s="11" t="s">
        <v>69</v>
      </c>
      <c r="K232" s="14"/>
      <c r="L232" s="14"/>
      <c r="M232" s="11"/>
      <c r="N232" s="12"/>
      <c r="O232" s="11"/>
      <c r="P232" s="11"/>
      <c r="Q232" s="1">
        <v>228</v>
      </c>
      <c r="R232" s="1"/>
      <c r="S232" s="3">
        <f>INDEX(Locations!$D$6:$D$455,MATCH(B232,Locations!$A$6:$A$455,0))</f>
        <v>42.728667221507202</v>
      </c>
      <c r="T232" s="3">
        <f>INDEX(Locations!$E$6:$E$455,MATCH(B232,Locations!$A$6:$A$455,0))</f>
        <v>-73.6798822189009</v>
      </c>
      <c r="U232" s="3">
        <f>INDEX(Locations!$D$6:$D$455,MATCH(C232,Locations!$A$6:$A$455,0))</f>
        <v>42.7284373188822</v>
      </c>
      <c r="V232" s="3">
        <f>INDEX(Locations!$E$6:$E$455,MATCH(C232,Locations!$A$6:$A$455,0))</f>
        <v>-73.680232378982694</v>
      </c>
    </row>
    <row r="233" spans="1:22" ht="23.1" customHeight="1">
      <c r="A233" s="1" t="s">
        <v>841</v>
      </c>
      <c r="B233" s="1" t="s">
        <v>356</v>
      </c>
      <c r="C233" s="1" t="s">
        <v>355</v>
      </c>
      <c r="D233" s="1" t="s">
        <v>612</v>
      </c>
      <c r="E233" s="13">
        <f t="shared" si="3"/>
        <v>22.076655514643228</v>
      </c>
      <c r="F233" s="11" t="s">
        <v>70</v>
      </c>
      <c r="G233" s="11" t="s">
        <v>69</v>
      </c>
      <c r="H233" s="11" t="s">
        <v>69</v>
      </c>
      <c r="I233" s="11" t="s">
        <v>69</v>
      </c>
      <c r="J233" s="11" t="s">
        <v>69</v>
      </c>
      <c r="K233" s="14"/>
      <c r="L233" s="14"/>
      <c r="M233" s="11"/>
      <c r="N233" s="12"/>
      <c r="O233" s="11"/>
      <c r="P233" s="11"/>
      <c r="Q233" s="1">
        <v>229</v>
      </c>
      <c r="R233" s="1"/>
      <c r="S233" s="3">
        <f>INDEX(Locations!$D$6:$D$455,MATCH(B233,Locations!$A$6:$A$455,0))</f>
        <v>42.728241901650897</v>
      </c>
      <c r="T233" s="3">
        <f>INDEX(Locations!$E$6:$E$455,MATCH(B233,Locations!$A$6:$A$455,0))</f>
        <v>-73.680280128084803</v>
      </c>
      <c r="U233" s="3">
        <f>INDEX(Locations!$D$6:$D$455,MATCH(C233,Locations!$A$6:$A$455,0))</f>
        <v>42.7284373188822</v>
      </c>
      <c r="V233" s="3">
        <f>INDEX(Locations!$E$6:$E$455,MATCH(C233,Locations!$A$6:$A$455,0))</f>
        <v>-73.680232378982694</v>
      </c>
    </row>
    <row r="234" spans="1:22" ht="23.1" customHeight="1">
      <c r="A234" s="1" t="s">
        <v>842</v>
      </c>
      <c r="B234" s="1" t="s">
        <v>318</v>
      </c>
      <c r="C234" s="1" t="s">
        <v>356</v>
      </c>
      <c r="D234" s="1" t="s">
        <v>612</v>
      </c>
      <c r="E234" s="13">
        <f t="shared" si="3"/>
        <v>39.723612739801709</v>
      </c>
      <c r="F234" s="11" t="s">
        <v>70</v>
      </c>
      <c r="G234" s="11" t="s">
        <v>69</v>
      </c>
      <c r="H234" s="11" t="s">
        <v>69</v>
      </c>
      <c r="I234" s="11" t="s">
        <v>69</v>
      </c>
      <c r="J234" s="11" t="s">
        <v>69</v>
      </c>
      <c r="K234" s="14"/>
      <c r="L234" s="14"/>
      <c r="M234" s="11"/>
      <c r="N234" s="12"/>
      <c r="O234" s="11"/>
      <c r="P234" s="11"/>
      <c r="Q234" s="1">
        <v>230</v>
      </c>
      <c r="R234" s="1"/>
      <c r="S234" s="3">
        <f>INDEX(Locations!$D$6:$D$455,MATCH(B234,Locations!$A$6:$A$455,0))</f>
        <v>42.728325816108999</v>
      </c>
      <c r="T234" s="3">
        <f>INDEX(Locations!$E$6:$E$455,MATCH(B234,Locations!$A$6:$A$455,0))</f>
        <v>-73.680752844195098</v>
      </c>
      <c r="U234" s="3">
        <f>INDEX(Locations!$D$6:$D$455,MATCH(C234,Locations!$A$6:$A$455,0))</f>
        <v>42.728241901650897</v>
      </c>
      <c r="V234" s="3">
        <f>INDEX(Locations!$E$6:$E$455,MATCH(C234,Locations!$A$6:$A$455,0))</f>
        <v>-73.680280128084803</v>
      </c>
    </row>
    <row r="235" spans="1:22" ht="23.1" customHeight="1">
      <c r="A235" s="1" t="s">
        <v>843</v>
      </c>
      <c r="B235" s="1" t="s">
        <v>354</v>
      </c>
      <c r="C235" s="1" t="s">
        <v>73</v>
      </c>
      <c r="D235" s="1" t="s">
        <v>612</v>
      </c>
      <c r="E235" s="13">
        <f t="shared" si="3"/>
        <v>47.921611847052169</v>
      </c>
      <c r="F235" s="11" t="s">
        <v>70</v>
      </c>
      <c r="G235" s="11" t="s">
        <v>69</v>
      </c>
      <c r="H235" s="11" t="s">
        <v>69</v>
      </c>
      <c r="I235" s="11" t="s">
        <v>69</v>
      </c>
      <c r="J235" s="11" t="s">
        <v>69</v>
      </c>
      <c r="K235" s="14"/>
      <c r="L235" s="14"/>
      <c r="M235" s="11"/>
      <c r="N235" s="12"/>
      <c r="O235" s="11"/>
      <c r="P235" s="11"/>
      <c r="Q235" s="1">
        <v>231</v>
      </c>
      <c r="R235" s="1"/>
      <c r="S235" s="3">
        <f>INDEX(Locations!$D$6:$D$455,MATCH(B235,Locations!$A$6:$A$455,0))</f>
        <v>42.727406205608801</v>
      </c>
      <c r="T235" s="3">
        <f>INDEX(Locations!$E$6:$E$455,MATCH(B235,Locations!$A$6:$A$455,0))</f>
        <v>-73.678067753022702</v>
      </c>
      <c r="U235" s="3">
        <f>INDEX(Locations!$D$6:$D$455,MATCH(C235,Locations!$A$6:$A$455,0))</f>
        <v>42.727449594089101</v>
      </c>
      <c r="V235" s="3">
        <f>INDEX(Locations!$E$6:$E$455,MATCH(C235,Locations!$A$6:$A$455,0))</f>
        <v>-73.678651452531696</v>
      </c>
    </row>
    <row r="236" spans="1:22" ht="23.1" customHeight="1">
      <c r="A236" s="1" t="s">
        <v>844</v>
      </c>
      <c r="B236" s="1" t="s">
        <v>309</v>
      </c>
      <c r="C236" s="1" t="s">
        <v>357</v>
      </c>
      <c r="D236" s="1" t="s">
        <v>612</v>
      </c>
      <c r="E236" s="13">
        <f t="shared" si="3"/>
        <v>49.214150810731574</v>
      </c>
      <c r="F236" s="11" t="s">
        <v>70</v>
      </c>
      <c r="G236" s="11" t="s">
        <v>69</v>
      </c>
      <c r="H236" s="11" t="s">
        <v>69</v>
      </c>
      <c r="I236" s="11" t="s">
        <v>69</v>
      </c>
      <c r="J236" s="11" t="s">
        <v>69</v>
      </c>
      <c r="K236" s="14"/>
      <c r="L236" s="14"/>
      <c r="M236" s="11"/>
      <c r="N236" s="12"/>
      <c r="O236" s="11"/>
      <c r="P236" s="11"/>
      <c r="Q236" s="1">
        <v>232</v>
      </c>
      <c r="R236" s="1"/>
      <c r="S236" s="3">
        <f>INDEX(Locations!$D$6:$D$455,MATCH(B236,Locations!$A$6:$A$455,0))</f>
        <v>42.730643234569598</v>
      </c>
      <c r="T236" s="3">
        <f>INDEX(Locations!$E$6:$E$455,MATCH(B236,Locations!$A$6:$A$455,0))</f>
        <v>-73.681768308432197</v>
      </c>
      <c r="U236" s="3">
        <f>INDEX(Locations!$D$6:$D$455,MATCH(C236,Locations!$A$6:$A$455,0))</f>
        <v>42.730667374345302</v>
      </c>
      <c r="V236" s="3">
        <f>INDEX(Locations!$E$6:$E$455,MATCH(C236,Locations!$A$6:$A$455,0))</f>
        <v>-73.682369947118204</v>
      </c>
    </row>
    <row r="237" spans="1:22" ht="23.1" customHeight="1">
      <c r="A237" s="1" t="s">
        <v>845</v>
      </c>
      <c r="B237" s="1" t="s">
        <v>358</v>
      </c>
      <c r="C237" s="1" t="s">
        <v>357</v>
      </c>
      <c r="D237" s="1" t="s">
        <v>612</v>
      </c>
      <c r="E237" s="13">
        <f t="shared" si="3"/>
        <v>22.243558430454929</v>
      </c>
      <c r="F237" s="11" t="s">
        <v>70</v>
      </c>
      <c r="G237" s="11" t="s">
        <v>69</v>
      </c>
      <c r="H237" s="11" t="s">
        <v>69</v>
      </c>
      <c r="I237" s="11" t="s">
        <v>69</v>
      </c>
      <c r="J237" s="11" t="s">
        <v>69</v>
      </c>
      <c r="K237" s="14"/>
      <c r="L237" s="14"/>
      <c r="M237" s="11"/>
      <c r="N237" s="12"/>
      <c r="O237" s="11"/>
      <c r="P237" s="11"/>
      <c r="Q237" s="1">
        <v>233</v>
      </c>
      <c r="R237" s="1"/>
      <c r="S237" s="3">
        <f>INDEX(Locations!$D$6:$D$455,MATCH(B237,Locations!$A$6:$A$455,0))</f>
        <v>42.730603001610298</v>
      </c>
      <c r="T237" s="3">
        <f>INDEX(Locations!$E$6:$E$455,MATCH(B237,Locations!$A$6:$A$455,0))</f>
        <v>-73.682627792269301</v>
      </c>
      <c r="U237" s="3">
        <f>INDEX(Locations!$D$6:$D$455,MATCH(C237,Locations!$A$6:$A$455,0))</f>
        <v>42.730667374345302</v>
      </c>
      <c r="V237" s="3">
        <f>INDEX(Locations!$E$6:$E$455,MATCH(C237,Locations!$A$6:$A$455,0))</f>
        <v>-73.682369947118204</v>
      </c>
    </row>
    <row r="238" spans="1:22" ht="23.1" customHeight="1">
      <c r="A238" s="1" t="s">
        <v>846</v>
      </c>
      <c r="B238" s="1" t="s">
        <v>203</v>
      </c>
      <c r="C238" s="1" t="s">
        <v>358</v>
      </c>
      <c r="D238" s="1" t="s">
        <v>612</v>
      </c>
      <c r="E238" s="13">
        <f t="shared" si="3"/>
        <v>12.5427515941411</v>
      </c>
      <c r="F238" s="11" t="s">
        <v>70</v>
      </c>
      <c r="G238" s="11" t="s">
        <v>69</v>
      </c>
      <c r="H238" s="11" t="s">
        <v>69</v>
      </c>
      <c r="I238" s="11" t="s">
        <v>69</v>
      </c>
      <c r="J238" s="11" t="s">
        <v>69</v>
      </c>
      <c r="K238" s="14"/>
      <c r="L238" s="14"/>
      <c r="M238" s="11"/>
      <c r="N238" s="12"/>
      <c r="O238" s="11"/>
      <c r="P238" s="11"/>
      <c r="Q238" s="1">
        <v>234</v>
      </c>
      <c r="R238" s="1"/>
      <c r="S238" s="3">
        <f>INDEX(Locations!$D$6:$D$455,MATCH(B238,Locations!$A$6:$A$455,0))</f>
        <v>42.730688871437501</v>
      </c>
      <c r="T238" s="3">
        <f>INDEX(Locations!$E$6:$E$455,MATCH(B238,Locations!$A$6:$A$455,0))</f>
        <v>-73.682727369523704</v>
      </c>
      <c r="U238" s="3">
        <f>INDEX(Locations!$D$6:$D$455,MATCH(C238,Locations!$A$6:$A$455,0))</f>
        <v>42.730603001610298</v>
      </c>
      <c r="V238" s="3">
        <f>INDEX(Locations!$E$6:$E$455,MATCH(C238,Locations!$A$6:$A$455,0))</f>
        <v>-73.682627792269301</v>
      </c>
    </row>
    <row r="239" spans="1:22" ht="23.1" customHeight="1">
      <c r="A239" s="1" t="s">
        <v>847</v>
      </c>
      <c r="B239" s="1" t="s">
        <v>360</v>
      </c>
      <c r="C239" s="1" t="s">
        <v>359</v>
      </c>
      <c r="D239" s="1" t="s">
        <v>612</v>
      </c>
      <c r="E239" s="13">
        <f t="shared" si="3"/>
        <v>20.697548319219621</v>
      </c>
      <c r="F239" s="11" t="s">
        <v>70</v>
      </c>
      <c r="G239" s="11" t="s">
        <v>69</v>
      </c>
      <c r="H239" s="11" t="s">
        <v>69</v>
      </c>
      <c r="I239" s="11" t="s">
        <v>69</v>
      </c>
      <c r="J239" s="11" t="s">
        <v>69</v>
      </c>
      <c r="K239" s="14"/>
      <c r="L239" s="14"/>
      <c r="M239" s="11"/>
      <c r="N239" s="12"/>
      <c r="O239" s="11"/>
      <c r="P239" s="11"/>
      <c r="Q239" s="1">
        <v>235</v>
      </c>
      <c r="R239" s="1"/>
      <c r="S239" s="3">
        <f>INDEX(Locations!$D$6:$D$455,MATCH(B239,Locations!$A$6:$A$455,0))</f>
        <v>42.7304144814577</v>
      </c>
      <c r="T239" s="3">
        <f>INDEX(Locations!$E$6:$E$455,MATCH(B239,Locations!$A$6:$A$455,0))</f>
        <v>-73.683065492371497</v>
      </c>
      <c r="U239" s="3">
        <f>INDEX(Locations!$D$6:$D$455,MATCH(C239,Locations!$A$6:$A$455,0))</f>
        <v>42.730575413295199</v>
      </c>
      <c r="V239" s="3">
        <f>INDEX(Locations!$E$6:$E$455,MATCH(C239,Locations!$A$6:$A$455,0))</f>
        <v>-73.682938161432602</v>
      </c>
    </row>
    <row r="240" spans="1:22" ht="23.1" customHeight="1">
      <c r="A240" s="1" t="s">
        <v>848</v>
      </c>
      <c r="B240" s="1" t="s">
        <v>358</v>
      </c>
      <c r="C240" s="1" t="s">
        <v>359</v>
      </c>
      <c r="D240" s="1" t="s">
        <v>612</v>
      </c>
      <c r="E240" s="13">
        <f t="shared" si="3"/>
        <v>25.535425449568205</v>
      </c>
      <c r="F240" s="11" t="s">
        <v>70</v>
      </c>
      <c r="G240" s="11" t="s">
        <v>69</v>
      </c>
      <c r="H240" s="11" t="s">
        <v>69</v>
      </c>
      <c r="I240" s="11" t="s">
        <v>69</v>
      </c>
      <c r="J240" s="11" t="s">
        <v>69</v>
      </c>
      <c r="K240" s="14"/>
      <c r="L240" s="14"/>
      <c r="M240" s="11"/>
      <c r="N240" s="12"/>
      <c r="O240" s="11"/>
      <c r="P240" s="11"/>
      <c r="Q240" s="1">
        <v>236</v>
      </c>
      <c r="R240" s="1"/>
      <c r="S240" s="3">
        <f>INDEX(Locations!$D$6:$D$455,MATCH(B240,Locations!$A$6:$A$455,0))</f>
        <v>42.730603001610298</v>
      </c>
      <c r="T240" s="3">
        <f>INDEX(Locations!$E$6:$E$455,MATCH(B240,Locations!$A$6:$A$455,0))</f>
        <v>-73.682627792269301</v>
      </c>
      <c r="U240" s="3">
        <f>INDEX(Locations!$D$6:$D$455,MATCH(C240,Locations!$A$6:$A$455,0))</f>
        <v>42.730575413295199</v>
      </c>
      <c r="V240" s="3">
        <f>INDEX(Locations!$E$6:$E$455,MATCH(C240,Locations!$A$6:$A$455,0))</f>
        <v>-73.682938161432602</v>
      </c>
    </row>
    <row r="241" spans="1:22" ht="23.1" customHeight="1">
      <c r="A241" s="1" t="s">
        <v>849</v>
      </c>
      <c r="B241" s="1" t="s">
        <v>99</v>
      </c>
      <c r="C241" s="1" t="s">
        <v>360</v>
      </c>
      <c r="D241" s="1" t="s">
        <v>612</v>
      </c>
      <c r="E241" s="13">
        <f t="shared" si="3"/>
        <v>2.106792594182795</v>
      </c>
      <c r="F241" s="11" t="s">
        <v>70</v>
      </c>
      <c r="G241" s="11" t="s">
        <v>69</v>
      </c>
      <c r="H241" s="11" t="s">
        <v>69</v>
      </c>
      <c r="I241" s="11" t="s">
        <v>69</v>
      </c>
      <c r="J241" s="11" t="s">
        <v>69</v>
      </c>
      <c r="K241" s="14"/>
      <c r="L241" s="14"/>
      <c r="M241" s="11"/>
      <c r="N241" s="12"/>
      <c r="O241" s="11"/>
      <c r="P241" s="11"/>
      <c r="Q241" s="1">
        <v>237</v>
      </c>
      <c r="R241" s="1"/>
      <c r="S241" s="3">
        <f>INDEX(Locations!$D$6:$D$455,MATCH(B241,Locations!$A$6:$A$455,0))</f>
        <v>42.730425706028498</v>
      </c>
      <c r="T241" s="3">
        <f>INDEX(Locations!$E$6:$E$455,MATCH(B241,Locations!$A$6:$A$455,0))</f>
        <v>-73.683086272409</v>
      </c>
      <c r="U241" s="3">
        <f>INDEX(Locations!$D$6:$D$455,MATCH(C241,Locations!$A$6:$A$455,0))</f>
        <v>42.7304144814577</v>
      </c>
      <c r="V241" s="3">
        <f>INDEX(Locations!$E$6:$E$455,MATCH(C241,Locations!$A$6:$A$455,0))</f>
        <v>-73.683065492371497</v>
      </c>
    </row>
    <row r="242" spans="1:22" ht="23.1" customHeight="1">
      <c r="A242" s="1" t="s">
        <v>850</v>
      </c>
      <c r="B242" s="1" t="s">
        <v>354</v>
      </c>
      <c r="C242" s="1" t="s">
        <v>361</v>
      </c>
      <c r="D242" s="1" t="s">
        <v>612</v>
      </c>
      <c r="E242" s="13">
        <f t="shared" si="3"/>
        <v>66.040819160645242</v>
      </c>
      <c r="F242" s="11" t="s">
        <v>70</v>
      </c>
      <c r="G242" s="11" t="s">
        <v>69</v>
      </c>
      <c r="H242" s="11" t="s">
        <v>69</v>
      </c>
      <c r="I242" s="11" t="s">
        <v>69</v>
      </c>
      <c r="J242" s="11" t="s">
        <v>69</v>
      </c>
      <c r="K242" s="14"/>
      <c r="L242" s="14"/>
      <c r="M242" s="11"/>
      <c r="N242" s="12"/>
      <c r="O242" s="11"/>
      <c r="P242" s="11"/>
      <c r="Q242" s="1">
        <v>238</v>
      </c>
      <c r="R242" s="1"/>
      <c r="S242" s="3">
        <f>INDEX(Locations!$D$6:$D$455,MATCH(B242,Locations!$A$6:$A$455,0))</f>
        <v>42.727406205608801</v>
      </c>
      <c r="T242" s="3">
        <f>INDEX(Locations!$E$6:$E$455,MATCH(B242,Locations!$A$6:$A$455,0))</f>
        <v>-73.678067753022702</v>
      </c>
      <c r="U242" s="3">
        <f>INDEX(Locations!$D$6:$D$455,MATCH(C242,Locations!$A$6:$A$455,0))</f>
        <v>42.727180901036199</v>
      </c>
      <c r="V242" s="3">
        <f>INDEX(Locations!$E$6:$E$455,MATCH(C242,Locations!$A$6:$A$455,0))</f>
        <v>-73.677319683757204</v>
      </c>
    </row>
    <row r="243" spans="1:22" ht="23.1" customHeight="1">
      <c r="A243" s="1" t="s">
        <v>851</v>
      </c>
      <c r="B243" s="1" t="s">
        <v>362</v>
      </c>
      <c r="C243" s="1" t="s">
        <v>361</v>
      </c>
      <c r="D243" s="1" t="s">
        <v>612</v>
      </c>
      <c r="E243" s="13">
        <f t="shared" si="3"/>
        <v>40.703449615308458</v>
      </c>
      <c r="F243" s="11" t="s">
        <v>70</v>
      </c>
      <c r="G243" s="11" t="s">
        <v>69</v>
      </c>
      <c r="H243" s="11" t="s">
        <v>69</v>
      </c>
      <c r="I243" s="11" t="s">
        <v>69</v>
      </c>
      <c r="J243" s="11" t="s">
        <v>69</v>
      </c>
      <c r="K243" s="14"/>
      <c r="L243" s="14"/>
      <c r="M243" s="11"/>
      <c r="N243" s="12"/>
      <c r="O243" s="11"/>
      <c r="P243" s="11"/>
      <c r="Q243" s="1">
        <v>239</v>
      </c>
      <c r="R243" s="1"/>
      <c r="S243" s="3">
        <f>INDEX(Locations!$D$6:$D$455,MATCH(B243,Locations!$A$6:$A$455,0))</f>
        <v>42.727042959461201</v>
      </c>
      <c r="T243" s="3">
        <f>INDEX(Locations!$E$6:$E$455,MATCH(B243,Locations!$A$6:$A$455,0))</f>
        <v>-73.676858109103904</v>
      </c>
      <c r="U243" s="3">
        <f>INDEX(Locations!$D$6:$D$455,MATCH(C243,Locations!$A$6:$A$455,0))</f>
        <v>42.727180901036199</v>
      </c>
      <c r="V243" s="3">
        <f>INDEX(Locations!$E$6:$E$455,MATCH(C243,Locations!$A$6:$A$455,0))</f>
        <v>-73.677319683757204</v>
      </c>
    </row>
    <row r="244" spans="1:22" ht="23.1" customHeight="1">
      <c r="A244" s="1" t="s">
        <v>852</v>
      </c>
      <c r="B244" s="1" t="s">
        <v>363</v>
      </c>
      <c r="C244" s="1" t="s">
        <v>362</v>
      </c>
      <c r="D244" s="1" t="s">
        <v>612</v>
      </c>
      <c r="E244" s="13">
        <f t="shared" si="3"/>
        <v>54.035230182530398</v>
      </c>
      <c r="F244" s="11" t="s">
        <v>70</v>
      </c>
      <c r="G244" s="11" t="s">
        <v>69</v>
      </c>
      <c r="H244" s="11" t="s">
        <v>69</v>
      </c>
      <c r="I244" s="11" t="s">
        <v>69</v>
      </c>
      <c r="J244" s="11" t="s">
        <v>69</v>
      </c>
      <c r="K244" s="14"/>
      <c r="L244" s="14"/>
      <c r="M244" s="11"/>
      <c r="N244" s="12"/>
      <c r="O244" s="11"/>
      <c r="P244" s="11"/>
      <c r="Q244" s="1">
        <v>240</v>
      </c>
      <c r="R244" s="1"/>
      <c r="S244" s="3">
        <f>INDEX(Locations!$D$6:$D$455,MATCH(B244,Locations!$A$6:$A$455,0))</f>
        <v>42.726747534588</v>
      </c>
      <c r="T244" s="3">
        <f>INDEX(Locations!$E$6:$E$455,MATCH(B244,Locations!$A$6:$A$455,0))</f>
        <v>-73.676332868981305</v>
      </c>
      <c r="U244" s="3">
        <f>INDEX(Locations!$D$6:$D$455,MATCH(C244,Locations!$A$6:$A$455,0))</f>
        <v>42.727042959461201</v>
      </c>
      <c r="V244" s="3">
        <f>INDEX(Locations!$E$6:$E$455,MATCH(C244,Locations!$A$6:$A$455,0))</f>
        <v>-73.676858109103904</v>
      </c>
    </row>
    <row r="245" spans="1:22" ht="23.1" customHeight="1">
      <c r="A245" s="1" t="s">
        <v>853</v>
      </c>
      <c r="B245" s="1" t="s">
        <v>265</v>
      </c>
      <c r="C245" s="1" t="s">
        <v>366</v>
      </c>
      <c r="D245" s="1" t="s">
        <v>612</v>
      </c>
      <c r="E245" s="13">
        <f t="shared" si="3"/>
        <v>53.464264545695144</v>
      </c>
      <c r="F245" s="11" t="s">
        <v>70</v>
      </c>
      <c r="G245" s="11" t="s">
        <v>69</v>
      </c>
      <c r="H245" s="11" t="s">
        <v>69</v>
      </c>
      <c r="I245" s="11" t="s">
        <v>69</v>
      </c>
      <c r="J245" s="11" t="s">
        <v>69</v>
      </c>
      <c r="K245" s="14"/>
      <c r="L245" s="14"/>
      <c r="M245" s="11"/>
      <c r="N245" s="12"/>
      <c r="O245" s="11"/>
      <c r="P245" s="11"/>
      <c r="Q245" s="1">
        <v>241</v>
      </c>
      <c r="R245" s="1"/>
      <c r="S245" s="3">
        <f>INDEX(Locations!$D$6:$D$455,MATCH(B245,Locations!$A$6:$A$455,0))</f>
        <v>42.7271889476281</v>
      </c>
      <c r="T245" s="3">
        <f>INDEX(Locations!$E$6:$E$455,MATCH(B245,Locations!$A$6:$A$455,0))</f>
        <v>-73.674741232246006</v>
      </c>
      <c r="U245" s="3">
        <f>INDEX(Locations!$D$6:$D$455,MATCH(C245,Locations!$A$6:$A$455,0))</f>
        <v>42.7270199691987</v>
      </c>
      <c r="V245" s="3">
        <f>INDEX(Locations!$E$6:$E$455,MATCH(C245,Locations!$A$6:$A$455,0))</f>
        <v>-73.675354012389107</v>
      </c>
    </row>
    <row r="246" spans="1:22" ht="23.1" customHeight="1">
      <c r="A246" s="1" t="s">
        <v>854</v>
      </c>
      <c r="B246" s="1" t="s">
        <v>363</v>
      </c>
      <c r="C246" s="1" t="s">
        <v>364</v>
      </c>
      <c r="D246" s="1" t="s">
        <v>612</v>
      </c>
      <c r="E246" s="13">
        <f t="shared" si="3"/>
        <v>36.708892939627546</v>
      </c>
      <c r="F246" s="11" t="s">
        <v>70</v>
      </c>
      <c r="G246" s="11" t="s">
        <v>69</v>
      </c>
      <c r="H246" s="11" t="s">
        <v>69</v>
      </c>
      <c r="I246" s="11" t="s">
        <v>69</v>
      </c>
      <c r="J246" s="11" t="s">
        <v>69</v>
      </c>
      <c r="K246" s="14"/>
      <c r="L246" s="14"/>
      <c r="M246" s="11"/>
      <c r="N246" s="12"/>
      <c r="O246" s="11"/>
      <c r="P246" s="11"/>
      <c r="Q246" s="1">
        <v>242</v>
      </c>
      <c r="R246" s="1"/>
      <c r="S246" s="3">
        <f>INDEX(Locations!$D$6:$D$455,MATCH(B246,Locations!$A$6:$A$455,0))</f>
        <v>42.726747534588</v>
      </c>
      <c r="T246" s="3">
        <f>INDEX(Locations!$E$6:$E$455,MATCH(B246,Locations!$A$6:$A$455,0))</f>
        <v>-73.676332868981305</v>
      </c>
      <c r="U246" s="3">
        <f>INDEX(Locations!$D$6:$D$455,MATCH(C246,Locations!$A$6:$A$455,0))</f>
        <v>42.726705002602301</v>
      </c>
      <c r="V246" s="3">
        <f>INDEX(Locations!$E$6:$E$455,MATCH(C246,Locations!$A$6:$A$455,0))</f>
        <v>-73.675887210695393</v>
      </c>
    </row>
    <row r="247" spans="1:22" ht="23.1" customHeight="1">
      <c r="A247" s="1" t="s">
        <v>855</v>
      </c>
      <c r="B247" s="1" t="s">
        <v>366</v>
      </c>
      <c r="C247" s="1" t="s">
        <v>365</v>
      </c>
      <c r="D247" s="1" t="s">
        <v>612</v>
      </c>
      <c r="E247" s="13">
        <f t="shared" si="3"/>
        <v>24.385957625008469</v>
      </c>
      <c r="F247" s="11" t="s">
        <v>70</v>
      </c>
      <c r="G247" s="11" t="s">
        <v>69</v>
      </c>
      <c r="H247" s="11" t="s">
        <v>69</v>
      </c>
      <c r="I247" s="11" t="s">
        <v>69</v>
      </c>
      <c r="J247" s="11" t="s">
        <v>69</v>
      </c>
      <c r="K247" s="14"/>
      <c r="L247" s="14"/>
      <c r="M247" s="11"/>
      <c r="N247" s="12"/>
      <c r="O247" s="11"/>
      <c r="P247" s="11"/>
      <c r="Q247" s="1">
        <v>243</v>
      </c>
      <c r="R247" s="1"/>
      <c r="S247" s="3">
        <f>INDEX(Locations!$D$6:$D$455,MATCH(B247,Locations!$A$6:$A$455,0))</f>
        <v>42.7270199691987</v>
      </c>
      <c r="T247" s="3">
        <f>INDEX(Locations!$E$6:$E$455,MATCH(B247,Locations!$A$6:$A$455,0))</f>
        <v>-73.675354012389107</v>
      </c>
      <c r="U247" s="3">
        <f>INDEX(Locations!$D$6:$D$455,MATCH(C247,Locations!$A$6:$A$455,0))</f>
        <v>42.726816505375503</v>
      </c>
      <c r="V247" s="3">
        <f>INDEX(Locations!$E$6:$E$455,MATCH(C247,Locations!$A$6:$A$455,0))</f>
        <v>-73.675465426960599</v>
      </c>
    </row>
    <row r="248" spans="1:22" ht="23.1" customHeight="1">
      <c r="A248" s="1" t="s">
        <v>856</v>
      </c>
      <c r="B248" s="1" t="s">
        <v>364</v>
      </c>
      <c r="C248" s="1" t="s">
        <v>365</v>
      </c>
      <c r="D248" s="1" t="s">
        <v>612</v>
      </c>
      <c r="E248" s="13">
        <f t="shared" si="3"/>
        <v>36.615825209041546</v>
      </c>
      <c r="F248" s="11" t="s">
        <v>70</v>
      </c>
      <c r="G248" s="11" t="s">
        <v>69</v>
      </c>
      <c r="H248" s="11" t="s">
        <v>69</v>
      </c>
      <c r="I248" s="11" t="s">
        <v>69</v>
      </c>
      <c r="J248" s="11" t="s">
        <v>69</v>
      </c>
      <c r="K248" s="14"/>
      <c r="L248" s="14"/>
      <c r="M248" s="11"/>
      <c r="N248" s="12"/>
      <c r="O248" s="11"/>
      <c r="P248" s="11"/>
      <c r="Q248" s="1">
        <v>244</v>
      </c>
      <c r="R248" s="1"/>
      <c r="S248" s="3">
        <f>INDEX(Locations!$D$6:$D$455,MATCH(B248,Locations!$A$6:$A$455,0))</f>
        <v>42.726705002602301</v>
      </c>
      <c r="T248" s="3">
        <f>INDEX(Locations!$E$6:$E$455,MATCH(B248,Locations!$A$6:$A$455,0))</f>
        <v>-73.675887210695393</v>
      </c>
      <c r="U248" s="3">
        <f>INDEX(Locations!$D$6:$D$455,MATCH(C248,Locations!$A$6:$A$455,0))</f>
        <v>42.726816505375503</v>
      </c>
      <c r="V248" s="3">
        <f>INDEX(Locations!$E$6:$E$455,MATCH(C248,Locations!$A$6:$A$455,0))</f>
        <v>-73.675465426960599</v>
      </c>
    </row>
    <row r="249" spans="1:22" ht="23.1" customHeight="1">
      <c r="A249" s="1" t="s">
        <v>857</v>
      </c>
      <c r="B249" s="1" t="s">
        <v>363</v>
      </c>
      <c r="C249" s="1" t="s">
        <v>367</v>
      </c>
      <c r="D249" s="1" t="s">
        <v>612</v>
      </c>
      <c r="E249" s="13">
        <f t="shared" si="3"/>
        <v>70.551696880807995</v>
      </c>
      <c r="F249" s="11" t="s">
        <v>70</v>
      </c>
      <c r="G249" s="11" t="s">
        <v>69</v>
      </c>
      <c r="H249" s="11" t="s">
        <v>69</v>
      </c>
      <c r="I249" s="11" t="s">
        <v>69</v>
      </c>
      <c r="J249" s="11" t="s">
        <v>69</v>
      </c>
      <c r="K249" s="14"/>
      <c r="L249" s="14"/>
      <c r="M249" s="11"/>
      <c r="N249" s="12"/>
      <c r="O249" s="11"/>
      <c r="P249" s="11"/>
      <c r="Q249" s="1">
        <v>245</v>
      </c>
      <c r="R249" s="1"/>
      <c r="S249" s="3">
        <f>INDEX(Locations!$D$6:$D$455,MATCH(B249,Locations!$A$6:$A$455,0))</f>
        <v>42.726747534588</v>
      </c>
      <c r="T249" s="3">
        <f>INDEX(Locations!$E$6:$E$455,MATCH(B249,Locations!$A$6:$A$455,0))</f>
        <v>-73.676332868981305</v>
      </c>
      <c r="U249" s="3">
        <f>INDEX(Locations!$D$6:$D$455,MATCH(C249,Locations!$A$6:$A$455,0))</f>
        <v>42.7263187661922</v>
      </c>
      <c r="V249" s="3">
        <f>INDEX(Locations!$E$6:$E$455,MATCH(C249,Locations!$A$6:$A$455,0))</f>
        <v>-73.6756962142872</v>
      </c>
    </row>
    <row r="250" spans="1:22" ht="23.1" customHeight="1">
      <c r="A250" s="1" t="s">
        <v>858</v>
      </c>
      <c r="B250" s="1" t="s">
        <v>368</v>
      </c>
      <c r="C250" s="1" t="s">
        <v>367</v>
      </c>
      <c r="D250" s="1" t="s">
        <v>612</v>
      </c>
      <c r="E250" s="13">
        <f t="shared" si="3"/>
        <v>64.487567375077333</v>
      </c>
      <c r="F250" s="11" t="s">
        <v>70</v>
      </c>
      <c r="G250" s="11" t="s">
        <v>69</v>
      </c>
      <c r="H250" s="11" t="s">
        <v>69</v>
      </c>
      <c r="I250" s="11" t="s">
        <v>69</v>
      </c>
      <c r="J250" s="11" t="s">
        <v>69</v>
      </c>
      <c r="K250" s="14"/>
      <c r="L250" s="14"/>
      <c r="M250" s="11"/>
      <c r="N250" s="12"/>
      <c r="O250" s="11"/>
      <c r="P250" s="11"/>
      <c r="Q250" s="1">
        <v>246</v>
      </c>
      <c r="R250" s="1"/>
      <c r="S250" s="3">
        <f>INDEX(Locations!$D$6:$D$455,MATCH(B250,Locations!$A$6:$A$455,0))</f>
        <v>42.725804933825202</v>
      </c>
      <c r="T250" s="3">
        <f>INDEX(Locations!$E$6:$E$455,MATCH(B250,Locations!$A$6:$A$455,0))</f>
        <v>-73.675330137838102</v>
      </c>
      <c r="U250" s="3">
        <f>INDEX(Locations!$D$6:$D$455,MATCH(C250,Locations!$A$6:$A$455,0))</f>
        <v>42.7263187661922</v>
      </c>
      <c r="V250" s="3">
        <f>INDEX(Locations!$E$6:$E$455,MATCH(C250,Locations!$A$6:$A$455,0))</f>
        <v>-73.6756962142872</v>
      </c>
    </row>
    <row r="251" spans="1:22" ht="23.1" customHeight="1">
      <c r="A251" s="1" t="s">
        <v>859</v>
      </c>
      <c r="B251" s="1" t="s">
        <v>368</v>
      </c>
      <c r="C251" s="1" t="s">
        <v>369</v>
      </c>
      <c r="D251" s="1" t="s">
        <v>612</v>
      </c>
      <c r="E251" s="13">
        <f t="shared" si="3"/>
        <v>68.128074736241913</v>
      </c>
      <c r="F251" s="11" t="s">
        <v>70</v>
      </c>
      <c r="G251" s="11" t="s">
        <v>69</v>
      </c>
      <c r="H251" s="11" t="s">
        <v>69</v>
      </c>
      <c r="I251" s="11" t="s">
        <v>69</v>
      </c>
      <c r="J251" s="11" t="s">
        <v>69</v>
      </c>
      <c r="K251" s="14"/>
      <c r="L251" s="14"/>
      <c r="M251" s="11"/>
      <c r="N251" s="12"/>
      <c r="O251" s="11"/>
      <c r="P251" s="11"/>
      <c r="Q251" s="1">
        <v>247</v>
      </c>
      <c r="R251" s="1"/>
      <c r="S251" s="3">
        <f>INDEX(Locations!$D$6:$D$455,MATCH(B251,Locations!$A$6:$A$455,0))</f>
        <v>42.725804933825202</v>
      </c>
      <c r="T251" s="3">
        <f>INDEX(Locations!$E$6:$E$455,MATCH(B251,Locations!$A$6:$A$455,0))</f>
        <v>-73.675330137838102</v>
      </c>
      <c r="U251" s="3">
        <f>INDEX(Locations!$D$6:$D$455,MATCH(C251,Locations!$A$6:$A$455,0))</f>
        <v>42.725192243329403</v>
      </c>
      <c r="V251" s="3">
        <f>INDEX(Locations!$E$6:$E$455,MATCH(C251,Locations!$A$6:$A$455,0))</f>
        <v>-73.675330137838102</v>
      </c>
    </row>
    <row r="252" spans="1:22" ht="23.1" customHeight="1">
      <c r="A252" s="1" t="s">
        <v>860</v>
      </c>
      <c r="B252" s="1" t="s">
        <v>360</v>
      </c>
      <c r="C252" s="1" t="s">
        <v>370</v>
      </c>
      <c r="D252" s="1" t="s">
        <v>612</v>
      </c>
      <c r="E252" s="13">
        <f t="shared" si="3"/>
        <v>28.679722392444734</v>
      </c>
      <c r="F252" s="11" t="s">
        <v>70</v>
      </c>
      <c r="G252" s="11" t="s">
        <v>69</v>
      </c>
      <c r="H252" s="11" t="s">
        <v>69</v>
      </c>
      <c r="I252" s="11" t="s">
        <v>69</v>
      </c>
      <c r="J252" s="11" t="s">
        <v>69</v>
      </c>
      <c r="K252" s="14"/>
      <c r="L252" s="14"/>
      <c r="M252" s="11"/>
      <c r="N252" s="12"/>
      <c r="O252" s="11"/>
      <c r="P252" s="11"/>
      <c r="Q252" s="1">
        <v>248</v>
      </c>
      <c r="R252" s="1"/>
      <c r="S252" s="3">
        <f>INDEX(Locations!$D$6:$D$455,MATCH(B252,Locations!$A$6:$A$455,0))</f>
        <v>42.7304144814577</v>
      </c>
      <c r="T252" s="3">
        <f>INDEX(Locations!$E$6:$E$455,MATCH(B252,Locations!$A$6:$A$455,0))</f>
        <v>-73.683065492371497</v>
      </c>
      <c r="U252" s="3">
        <f>INDEX(Locations!$D$6:$D$455,MATCH(C252,Locations!$A$6:$A$455,0))</f>
        <v>42.730184578832599</v>
      </c>
      <c r="V252" s="3">
        <f>INDEX(Locations!$E$6:$E$455,MATCH(C252,Locations!$A$6:$A$455,0))</f>
        <v>-73.683224656044999</v>
      </c>
    </row>
    <row r="253" spans="1:22" ht="23.1" customHeight="1">
      <c r="A253" s="1" t="s">
        <v>861</v>
      </c>
      <c r="B253" s="1" t="s">
        <v>374</v>
      </c>
      <c r="C253" s="1" t="s">
        <v>373</v>
      </c>
      <c r="D253" s="1" t="s">
        <v>612</v>
      </c>
      <c r="E253" s="13">
        <f t="shared" si="3"/>
        <v>17.829113442647284</v>
      </c>
      <c r="F253" s="11" t="s">
        <v>70</v>
      </c>
      <c r="G253" s="11" t="s">
        <v>69</v>
      </c>
      <c r="H253" s="11" t="s">
        <v>69</v>
      </c>
      <c r="I253" s="11" t="s">
        <v>69</v>
      </c>
      <c r="J253" s="11" t="s">
        <v>69</v>
      </c>
      <c r="K253" s="14"/>
      <c r="L253" s="14"/>
      <c r="M253" s="11"/>
      <c r="N253" s="12"/>
      <c r="O253" s="11"/>
      <c r="P253" s="11"/>
      <c r="Q253" s="1">
        <v>249</v>
      </c>
      <c r="R253" s="1"/>
      <c r="S253" s="3">
        <f>INDEX(Locations!$D$6:$D$455,MATCH(B253,Locations!$A$6:$A$455,0))</f>
        <v>42.730894977944097</v>
      </c>
      <c r="T253" s="3">
        <f>INDEX(Locations!$E$6:$E$455,MATCH(B253,Locations!$A$6:$A$455,0))</f>
        <v>-73.683622565228802</v>
      </c>
      <c r="U253" s="3">
        <f>INDEX(Locations!$D$6:$D$455,MATCH(C253,Locations!$A$6:$A$455,0))</f>
        <v>42.730807614946599</v>
      </c>
      <c r="V253" s="3">
        <f>INDEX(Locations!$E$6:$E$455,MATCH(C253,Locations!$A$6:$A$455,0))</f>
        <v>-73.683439527004296</v>
      </c>
    </row>
    <row r="254" spans="1:22" ht="23.1" customHeight="1">
      <c r="A254" s="1" t="s">
        <v>862</v>
      </c>
      <c r="B254" s="1" t="s">
        <v>372</v>
      </c>
      <c r="C254" s="1" t="s">
        <v>371</v>
      </c>
      <c r="D254" s="1" t="s">
        <v>612</v>
      </c>
      <c r="E254" s="13">
        <f t="shared" si="3"/>
        <v>42.174610785093037</v>
      </c>
      <c r="F254" s="11" t="s">
        <v>70</v>
      </c>
      <c r="G254" s="11" t="s">
        <v>69</v>
      </c>
      <c r="H254" s="11" t="s">
        <v>69</v>
      </c>
      <c r="I254" s="11" t="s">
        <v>69</v>
      </c>
      <c r="J254" s="11" t="s">
        <v>69</v>
      </c>
      <c r="K254" s="14"/>
      <c r="L254" s="14"/>
      <c r="M254" s="11"/>
      <c r="N254" s="12"/>
      <c r="O254" s="11"/>
      <c r="P254" s="11"/>
      <c r="Q254" s="1">
        <v>250</v>
      </c>
      <c r="R254" s="1"/>
      <c r="S254" s="3">
        <f>INDEX(Locations!$D$6:$D$455,MATCH(B254,Locations!$A$6:$A$455,0))</f>
        <v>42.730552423032698</v>
      </c>
      <c r="T254" s="3">
        <f>INDEX(Locations!$E$6:$E$455,MATCH(B254,Locations!$A$6:$A$455,0))</f>
        <v>-73.683597099040995</v>
      </c>
      <c r="U254" s="3">
        <f>INDEX(Locations!$D$6:$D$455,MATCH(C254,Locations!$A$6:$A$455,0))</f>
        <v>42.730178831266997</v>
      </c>
      <c r="V254" s="3">
        <f>INDEX(Locations!$E$6:$E$455,MATCH(C254,Locations!$A$6:$A$455,0))</f>
        <v>-73.683507967383903</v>
      </c>
    </row>
    <row r="255" spans="1:22" ht="23.1" customHeight="1">
      <c r="A255" s="1" t="s">
        <v>863</v>
      </c>
      <c r="B255" s="1" t="s">
        <v>370</v>
      </c>
      <c r="C255" s="1" t="s">
        <v>371</v>
      </c>
      <c r="D255" s="1" t="s">
        <v>612</v>
      </c>
      <c r="E255" s="13">
        <f t="shared" si="3"/>
        <v>23.149422025679005</v>
      </c>
      <c r="F255" s="11" t="s">
        <v>70</v>
      </c>
      <c r="G255" s="11" t="s">
        <v>69</v>
      </c>
      <c r="H255" s="11" t="s">
        <v>69</v>
      </c>
      <c r="I255" s="11" t="s">
        <v>69</v>
      </c>
      <c r="J255" s="11" t="s">
        <v>69</v>
      </c>
      <c r="K255" s="14"/>
      <c r="L255" s="14"/>
      <c r="M255" s="11"/>
      <c r="N255" s="12"/>
      <c r="O255" s="11"/>
      <c r="P255" s="11"/>
      <c r="Q255" s="1">
        <v>251</v>
      </c>
      <c r="R255" s="1"/>
      <c r="S255" s="3">
        <f>INDEX(Locations!$D$6:$D$455,MATCH(B255,Locations!$A$6:$A$455,0))</f>
        <v>42.730184578832599</v>
      </c>
      <c r="T255" s="3">
        <f>INDEX(Locations!$E$6:$E$455,MATCH(B255,Locations!$A$6:$A$455,0))</f>
        <v>-73.683224656044999</v>
      </c>
      <c r="U255" s="3">
        <f>INDEX(Locations!$D$6:$D$455,MATCH(C255,Locations!$A$6:$A$455,0))</f>
        <v>42.730178831266997</v>
      </c>
      <c r="V255" s="3">
        <f>INDEX(Locations!$E$6:$E$455,MATCH(C255,Locations!$A$6:$A$455,0))</f>
        <v>-73.683507967383903</v>
      </c>
    </row>
    <row r="256" spans="1:22" ht="23.1" customHeight="1">
      <c r="A256" s="1" t="s">
        <v>864</v>
      </c>
      <c r="B256" s="1" t="s">
        <v>372</v>
      </c>
      <c r="C256" s="1" t="s">
        <v>373</v>
      </c>
      <c r="D256" s="1" t="s">
        <v>612</v>
      </c>
      <c r="E256" s="13">
        <f t="shared" si="3"/>
        <v>31.158350388551657</v>
      </c>
      <c r="F256" s="11" t="s">
        <v>70</v>
      </c>
      <c r="G256" s="11" t="s">
        <v>69</v>
      </c>
      <c r="H256" s="11" t="s">
        <v>69</v>
      </c>
      <c r="I256" s="11" t="s">
        <v>69</v>
      </c>
      <c r="J256" s="11" t="s">
        <v>69</v>
      </c>
      <c r="K256" s="14"/>
      <c r="L256" s="14"/>
      <c r="M256" s="11"/>
      <c r="N256" s="12"/>
      <c r="O256" s="11"/>
      <c r="P256" s="11"/>
      <c r="Q256" s="1">
        <v>252</v>
      </c>
      <c r="R256" s="1"/>
      <c r="S256" s="3">
        <f>INDEX(Locations!$D$6:$D$455,MATCH(B256,Locations!$A$6:$A$455,0))</f>
        <v>42.730552423032698</v>
      </c>
      <c r="T256" s="3">
        <f>INDEX(Locations!$E$6:$E$455,MATCH(B256,Locations!$A$6:$A$455,0))</f>
        <v>-73.683597099040995</v>
      </c>
      <c r="U256" s="3">
        <f>INDEX(Locations!$D$6:$D$455,MATCH(C256,Locations!$A$6:$A$455,0))</f>
        <v>42.730807614946599</v>
      </c>
      <c r="V256" s="3">
        <f>INDEX(Locations!$E$6:$E$455,MATCH(C256,Locations!$A$6:$A$455,0))</f>
        <v>-73.683439527004296</v>
      </c>
    </row>
    <row r="257" spans="1:22" ht="23.1" customHeight="1">
      <c r="A257" s="1" t="s">
        <v>865</v>
      </c>
      <c r="B257" s="1" t="s">
        <v>374</v>
      </c>
      <c r="C257" s="1" t="s">
        <v>163</v>
      </c>
      <c r="D257" s="1" t="s">
        <v>612</v>
      </c>
      <c r="E257" s="13">
        <f t="shared" si="3"/>
        <v>28.359813595813296</v>
      </c>
      <c r="F257" s="11" t="s">
        <v>70</v>
      </c>
      <c r="G257" s="11" t="s">
        <v>69</v>
      </c>
      <c r="H257" s="11" t="s">
        <v>69</v>
      </c>
      <c r="I257" s="11" t="s">
        <v>69</v>
      </c>
      <c r="J257" s="11" t="s">
        <v>69</v>
      </c>
      <c r="K257" s="14"/>
      <c r="L257" s="14"/>
      <c r="M257" s="11"/>
      <c r="N257" s="12"/>
      <c r="O257" s="11"/>
      <c r="P257" s="11"/>
      <c r="Q257" s="1">
        <v>253</v>
      </c>
      <c r="R257" s="1"/>
      <c r="S257" s="3">
        <f>INDEX(Locations!$D$6:$D$455,MATCH(B257,Locations!$A$6:$A$455,0))</f>
        <v>42.730894977944097</v>
      </c>
      <c r="T257" s="3">
        <f>INDEX(Locations!$E$6:$E$455,MATCH(B257,Locations!$A$6:$A$455,0))</f>
        <v>-73.683622565228802</v>
      </c>
      <c r="U257" s="3">
        <f>INDEX(Locations!$D$6:$D$455,MATCH(C257,Locations!$A$6:$A$455,0))</f>
        <v>42.731050009322999</v>
      </c>
      <c r="V257" s="3">
        <f>INDEX(Locations!$E$6:$E$455,MATCH(C257,Locations!$A$6:$A$455,0))</f>
        <v>-73.683346860414602</v>
      </c>
    </row>
    <row r="258" spans="1:22" ht="23.1" customHeight="1">
      <c r="A258" s="1" t="s">
        <v>866</v>
      </c>
      <c r="B258" s="1" t="s">
        <v>374</v>
      </c>
      <c r="C258" s="1" t="s">
        <v>375</v>
      </c>
      <c r="D258" s="1" t="s">
        <v>612</v>
      </c>
      <c r="E258" s="13">
        <f t="shared" si="3"/>
        <v>95.131557217196644</v>
      </c>
      <c r="F258" s="11" t="s">
        <v>70</v>
      </c>
      <c r="G258" s="11" t="s">
        <v>69</v>
      </c>
      <c r="H258" s="11" t="s">
        <v>69</v>
      </c>
      <c r="I258" s="11" t="s">
        <v>69</v>
      </c>
      <c r="J258" s="11" t="s">
        <v>69</v>
      </c>
      <c r="K258" s="14"/>
      <c r="L258" s="14"/>
      <c r="M258" s="11"/>
      <c r="N258" s="12"/>
      <c r="O258" s="11"/>
      <c r="P258" s="11"/>
      <c r="Q258" s="1">
        <v>254</v>
      </c>
      <c r="R258" s="1"/>
      <c r="S258" s="3">
        <f>INDEX(Locations!$D$6:$D$455,MATCH(B258,Locations!$A$6:$A$455,0))</f>
        <v>42.730894977944097</v>
      </c>
      <c r="T258" s="3">
        <f>INDEX(Locations!$E$6:$E$455,MATCH(B258,Locations!$A$6:$A$455,0))</f>
        <v>-73.683622565228802</v>
      </c>
      <c r="U258" s="3">
        <f>INDEX(Locations!$D$6:$D$455,MATCH(C258,Locations!$A$6:$A$455,0))</f>
        <v>42.730251250593902</v>
      </c>
      <c r="V258" s="3">
        <f>INDEX(Locations!$E$6:$E$455,MATCH(C258,Locations!$A$6:$A$455,0))</f>
        <v>-73.684389734135195</v>
      </c>
    </row>
    <row r="259" spans="1:22" ht="23.1" customHeight="1">
      <c r="A259" s="1" t="s">
        <v>867</v>
      </c>
      <c r="B259" s="1" t="s">
        <v>376</v>
      </c>
      <c r="C259" s="1" t="s">
        <v>375</v>
      </c>
      <c r="D259" s="1" t="s">
        <v>612</v>
      </c>
      <c r="E259" s="13">
        <f t="shared" si="3"/>
        <v>60.831857061766648</v>
      </c>
      <c r="F259" s="11" t="s">
        <v>70</v>
      </c>
      <c r="G259" s="11" t="s">
        <v>69</v>
      </c>
      <c r="H259" s="11" t="s">
        <v>69</v>
      </c>
      <c r="I259" s="11" t="s">
        <v>69</v>
      </c>
      <c r="J259" s="11" t="s">
        <v>69</v>
      </c>
      <c r="K259" s="14"/>
      <c r="L259" s="14"/>
      <c r="M259" s="11"/>
      <c r="N259" s="12"/>
      <c r="O259" s="11"/>
      <c r="P259" s="11"/>
      <c r="Q259" s="1">
        <v>255</v>
      </c>
      <c r="R259" s="1"/>
      <c r="S259" s="3">
        <f>INDEX(Locations!$D$6:$D$455,MATCH(B259,Locations!$A$6:$A$455,0))</f>
        <v>42.7297132784513</v>
      </c>
      <c r="T259" s="3">
        <f>INDEX(Locations!$E$6:$E$455,MATCH(B259,Locations!$A$6:$A$455,0))</f>
        <v>-73.684525023257706</v>
      </c>
      <c r="U259" s="3">
        <f>INDEX(Locations!$D$6:$D$455,MATCH(C259,Locations!$A$6:$A$455,0))</f>
        <v>42.730251250593902</v>
      </c>
      <c r="V259" s="3">
        <f>INDEX(Locations!$E$6:$E$455,MATCH(C259,Locations!$A$6:$A$455,0))</f>
        <v>-73.684389734135195</v>
      </c>
    </row>
    <row r="260" spans="1:22" ht="23.1" customHeight="1">
      <c r="A260" s="1" t="s">
        <v>868</v>
      </c>
      <c r="B260" s="1" t="s">
        <v>380</v>
      </c>
      <c r="C260" s="1" t="s">
        <v>379</v>
      </c>
      <c r="D260" s="1" t="s">
        <v>612</v>
      </c>
      <c r="E260" s="13">
        <f t="shared" si="3"/>
        <v>12.646003482784907</v>
      </c>
      <c r="F260" s="11" t="s">
        <v>70</v>
      </c>
      <c r="G260" s="11" t="s">
        <v>69</v>
      </c>
      <c r="H260" s="11" t="s">
        <v>69</v>
      </c>
      <c r="I260" s="11" t="s">
        <v>69</v>
      </c>
      <c r="J260" s="11" t="s">
        <v>69</v>
      </c>
      <c r="K260" s="14"/>
      <c r="L260" s="14"/>
      <c r="M260" s="11"/>
      <c r="N260" s="12"/>
      <c r="O260" s="11"/>
      <c r="P260" s="11"/>
      <c r="Q260" s="1">
        <v>256</v>
      </c>
      <c r="R260" s="1"/>
      <c r="S260" s="3">
        <f>INDEX(Locations!$D$6:$D$455,MATCH(B260,Locations!$A$6:$A$455,0))</f>
        <v>42.728993683234798</v>
      </c>
      <c r="T260" s="3">
        <f>INDEX(Locations!$E$6:$E$455,MATCH(B260,Locations!$A$6:$A$455,0))</f>
        <v>-73.684736710943497</v>
      </c>
      <c r="U260" s="3">
        <f>INDEX(Locations!$D$6:$D$455,MATCH(C260,Locations!$A$6:$A$455,0))</f>
        <v>42.729027019115499</v>
      </c>
      <c r="V260" s="3">
        <f>INDEX(Locations!$E$6:$E$455,MATCH(C260,Locations!$A$6:$A$455,0))</f>
        <v>-73.684588688727104</v>
      </c>
    </row>
    <row r="261" spans="1:22" ht="23.1" customHeight="1">
      <c r="A261" s="1" t="s">
        <v>869</v>
      </c>
      <c r="B261" s="1" t="s">
        <v>378</v>
      </c>
      <c r="C261" s="1" t="s">
        <v>379</v>
      </c>
      <c r="D261" s="1" t="s">
        <v>612</v>
      </c>
      <c r="E261" s="13">
        <f t="shared" si="3"/>
        <v>18.779567563869385</v>
      </c>
      <c r="F261" s="11" t="s">
        <v>70</v>
      </c>
      <c r="G261" s="11" t="s">
        <v>69</v>
      </c>
      <c r="H261" s="11" t="s">
        <v>69</v>
      </c>
      <c r="I261" s="11" t="s">
        <v>69</v>
      </c>
      <c r="J261" s="11" t="s">
        <v>69</v>
      </c>
      <c r="K261" s="14"/>
      <c r="L261" s="14"/>
      <c r="M261" s="11"/>
      <c r="N261" s="12"/>
      <c r="O261" s="11"/>
      <c r="P261" s="11"/>
      <c r="Q261" s="1">
        <v>257</v>
      </c>
      <c r="R261" s="1"/>
      <c r="S261" s="3">
        <f>INDEX(Locations!$D$6:$D$455,MATCH(B261,Locations!$A$6:$A$455,0))</f>
        <v>42.729182203387403</v>
      </c>
      <c r="T261" s="3">
        <f>INDEX(Locations!$E$6:$E$455,MATCH(B261,Locations!$A$6:$A$455,0))</f>
        <v>-73.684497965433195</v>
      </c>
      <c r="U261" s="3">
        <f>INDEX(Locations!$D$6:$D$455,MATCH(C261,Locations!$A$6:$A$455,0))</f>
        <v>42.729027019115499</v>
      </c>
      <c r="V261" s="3">
        <f>INDEX(Locations!$E$6:$E$455,MATCH(C261,Locations!$A$6:$A$455,0))</f>
        <v>-73.684588688727104</v>
      </c>
    </row>
    <row r="262" spans="1:22" ht="23.1" customHeight="1">
      <c r="A262" s="1" t="s">
        <v>870</v>
      </c>
      <c r="B262" s="1" t="s">
        <v>377</v>
      </c>
      <c r="C262" s="1" t="s">
        <v>378</v>
      </c>
      <c r="D262" s="1" t="s">
        <v>612</v>
      </c>
      <c r="E262" s="13">
        <f t="shared" ref="E262:E325" si="4">2*6371000*ASIN(SQRT(MIN(1,SIN(RADIANS(U262-S262)/2)^2+COS(RADIANS(S262))*COS(RADIANS(U262))*SIN(RADIANS(V262-T262)/2)^2)))</f>
        <v>33.141674678213199</v>
      </c>
      <c r="F262" s="11" t="s">
        <v>70</v>
      </c>
      <c r="G262" s="11" t="s">
        <v>69</v>
      </c>
      <c r="H262" s="11" t="s">
        <v>69</v>
      </c>
      <c r="I262" s="11" t="s">
        <v>69</v>
      </c>
      <c r="J262" s="11" t="s">
        <v>69</v>
      </c>
      <c r="K262" s="14"/>
      <c r="L262" s="14"/>
      <c r="M262" s="11"/>
      <c r="N262" s="12"/>
      <c r="O262" s="11"/>
      <c r="P262" s="11"/>
      <c r="Q262" s="1">
        <v>258</v>
      </c>
      <c r="R262" s="1"/>
      <c r="S262" s="3">
        <f>INDEX(Locations!$D$6:$D$455,MATCH(B262,Locations!$A$6:$A$455,0))</f>
        <v>42.729471880694902</v>
      </c>
      <c r="T262" s="3">
        <f>INDEX(Locations!$E$6:$E$455,MATCH(B262,Locations!$A$6:$A$455,0))</f>
        <v>-73.684402467229106</v>
      </c>
      <c r="U262" s="3">
        <f>INDEX(Locations!$D$6:$D$455,MATCH(C262,Locations!$A$6:$A$455,0))</f>
        <v>42.729182203387403</v>
      </c>
      <c r="V262" s="3">
        <f>INDEX(Locations!$E$6:$E$455,MATCH(C262,Locations!$A$6:$A$455,0))</f>
        <v>-73.684497965433195</v>
      </c>
    </row>
    <row r="263" spans="1:22" ht="23.1" customHeight="1">
      <c r="A263" s="1" t="s">
        <v>871</v>
      </c>
      <c r="B263" s="1" t="s">
        <v>376</v>
      </c>
      <c r="C263" s="1" t="s">
        <v>377</v>
      </c>
      <c r="D263" s="1" t="s">
        <v>612</v>
      </c>
      <c r="E263" s="13">
        <f t="shared" si="4"/>
        <v>28.648057496228844</v>
      </c>
      <c r="F263" s="11" t="s">
        <v>70</v>
      </c>
      <c r="G263" s="11" t="s">
        <v>69</v>
      </c>
      <c r="H263" s="11" t="s">
        <v>69</v>
      </c>
      <c r="I263" s="11" t="s">
        <v>69</v>
      </c>
      <c r="J263" s="11" t="s">
        <v>69</v>
      </c>
      <c r="K263" s="14"/>
      <c r="L263" s="14"/>
      <c r="M263" s="11"/>
      <c r="N263" s="12"/>
      <c r="O263" s="11"/>
      <c r="P263" s="11"/>
      <c r="Q263" s="1">
        <v>259</v>
      </c>
      <c r="R263" s="1"/>
      <c r="S263" s="3">
        <f>INDEX(Locations!$D$6:$D$455,MATCH(B263,Locations!$A$6:$A$455,0))</f>
        <v>42.7297132784513</v>
      </c>
      <c r="T263" s="3">
        <f>INDEX(Locations!$E$6:$E$455,MATCH(B263,Locations!$A$6:$A$455,0))</f>
        <v>-73.684525023257706</v>
      </c>
      <c r="U263" s="3">
        <f>INDEX(Locations!$D$6:$D$455,MATCH(C263,Locations!$A$6:$A$455,0))</f>
        <v>42.729471880694902</v>
      </c>
      <c r="V263" s="3">
        <f>INDEX(Locations!$E$6:$E$455,MATCH(C263,Locations!$A$6:$A$455,0))</f>
        <v>-73.684402467229106</v>
      </c>
    </row>
    <row r="264" spans="1:22" ht="23.1" customHeight="1">
      <c r="A264" s="1" t="s">
        <v>872</v>
      </c>
      <c r="B264" s="1" t="s">
        <v>380</v>
      </c>
      <c r="C264" s="1" t="s">
        <v>376</v>
      </c>
      <c r="D264" s="1" t="s">
        <v>612</v>
      </c>
      <c r="E264" s="13">
        <f t="shared" si="4"/>
        <v>81.862211972446602</v>
      </c>
      <c r="F264" s="11" t="s">
        <v>70</v>
      </c>
      <c r="G264" s="11" t="s">
        <v>69</v>
      </c>
      <c r="H264" s="11" t="s">
        <v>69</v>
      </c>
      <c r="I264" s="11" t="s">
        <v>69</v>
      </c>
      <c r="J264" s="11" t="s">
        <v>69</v>
      </c>
      <c r="K264" s="14"/>
      <c r="L264" s="14"/>
      <c r="M264" s="11"/>
      <c r="N264" s="12"/>
      <c r="O264" s="11"/>
      <c r="P264" s="11"/>
      <c r="Q264" s="1">
        <v>260</v>
      </c>
      <c r="R264" s="1"/>
      <c r="S264" s="3">
        <f>INDEX(Locations!$D$6:$D$455,MATCH(B264,Locations!$A$6:$A$455,0))</f>
        <v>42.728993683234798</v>
      </c>
      <c r="T264" s="3">
        <f>INDEX(Locations!$E$6:$E$455,MATCH(B264,Locations!$A$6:$A$455,0))</f>
        <v>-73.684736710943497</v>
      </c>
      <c r="U264" s="3">
        <f>INDEX(Locations!$D$6:$D$455,MATCH(C264,Locations!$A$6:$A$455,0))</f>
        <v>42.7297132784513</v>
      </c>
      <c r="V264" s="3">
        <f>INDEX(Locations!$E$6:$E$455,MATCH(C264,Locations!$A$6:$A$455,0))</f>
        <v>-73.684525023257706</v>
      </c>
    </row>
    <row r="265" spans="1:22" ht="23.1" customHeight="1">
      <c r="A265" s="1" t="s">
        <v>873</v>
      </c>
      <c r="B265" s="1" t="s">
        <v>380</v>
      </c>
      <c r="C265" s="1" t="s">
        <v>381</v>
      </c>
      <c r="D265" s="1" t="s">
        <v>612</v>
      </c>
      <c r="E265" s="13">
        <f t="shared" si="4"/>
        <v>51.624396591429146</v>
      </c>
      <c r="F265" s="11" t="s">
        <v>70</v>
      </c>
      <c r="G265" s="11" t="s">
        <v>69</v>
      </c>
      <c r="H265" s="11" t="s">
        <v>69</v>
      </c>
      <c r="I265" s="11" t="s">
        <v>69</v>
      </c>
      <c r="J265" s="11" t="s">
        <v>69</v>
      </c>
      <c r="K265" s="14"/>
      <c r="L265" s="14"/>
      <c r="M265" s="11"/>
      <c r="N265" s="12"/>
      <c r="O265" s="11"/>
      <c r="P265" s="11"/>
      <c r="Q265" s="1">
        <v>261</v>
      </c>
      <c r="R265" s="1"/>
      <c r="S265" s="3">
        <f>INDEX(Locations!$D$6:$D$455,MATCH(B265,Locations!$A$6:$A$455,0))</f>
        <v>42.728993683234798</v>
      </c>
      <c r="T265" s="3">
        <f>INDEX(Locations!$E$6:$E$455,MATCH(B265,Locations!$A$6:$A$455,0))</f>
        <v>-73.684736710943497</v>
      </c>
      <c r="U265" s="3">
        <f>INDEX(Locations!$D$6:$D$455,MATCH(C265,Locations!$A$6:$A$455,0))</f>
        <v>42.728537326524098</v>
      </c>
      <c r="V265" s="3">
        <f>INDEX(Locations!$E$6:$E$455,MATCH(C265,Locations!$A$6:$A$455,0))</f>
        <v>-73.684852900425199</v>
      </c>
    </row>
    <row r="266" spans="1:22" ht="23.1" customHeight="1">
      <c r="A266" s="1" t="s">
        <v>874</v>
      </c>
      <c r="B266" s="1" t="s">
        <v>383</v>
      </c>
      <c r="C266" s="1" t="s">
        <v>382</v>
      </c>
      <c r="D266" s="1" t="s">
        <v>612</v>
      </c>
      <c r="E266" s="13">
        <f t="shared" si="4"/>
        <v>29.439550061677672</v>
      </c>
      <c r="F266" s="11" t="s">
        <v>70</v>
      </c>
      <c r="G266" s="11" t="s">
        <v>69</v>
      </c>
      <c r="H266" s="11" t="s">
        <v>69</v>
      </c>
      <c r="I266" s="11" t="s">
        <v>69</v>
      </c>
      <c r="J266" s="11" t="s">
        <v>69</v>
      </c>
      <c r="K266" s="14"/>
      <c r="L266" s="14"/>
      <c r="M266" s="11"/>
      <c r="N266" s="12"/>
      <c r="O266" s="11"/>
      <c r="P266" s="11"/>
      <c r="Q266" s="1">
        <v>262</v>
      </c>
      <c r="R266" s="1"/>
      <c r="S266" s="3">
        <f>INDEX(Locations!$D$6:$D$455,MATCH(B266,Locations!$A$6:$A$455,0))</f>
        <v>42.7287246971635</v>
      </c>
      <c r="T266" s="3">
        <f>INDEX(Locations!$E$6:$E$455,MATCH(B266,Locations!$A$6:$A$455,0))</f>
        <v>-73.684466132698503</v>
      </c>
      <c r="U266" s="3">
        <f>INDEX(Locations!$D$6:$D$455,MATCH(C266,Locations!$A$6:$A$455,0))</f>
        <v>42.728483299407202</v>
      </c>
      <c r="V266" s="3">
        <f>INDEX(Locations!$E$6:$E$455,MATCH(C266,Locations!$A$6:$A$455,0))</f>
        <v>-73.684614154914897</v>
      </c>
    </row>
    <row r="267" spans="1:22" ht="23.1" customHeight="1">
      <c r="A267" s="1" t="s">
        <v>875</v>
      </c>
      <c r="B267" s="1" t="s">
        <v>381</v>
      </c>
      <c r="C267" s="1" t="s">
        <v>382</v>
      </c>
      <c r="D267" s="1" t="s">
        <v>612</v>
      </c>
      <c r="E267" s="13">
        <f t="shared" si="4"/>
        <v>20.405408869549731</v>
      </c>
      <c r="F267" s="11" t="s">
        <v>70</v>
      </c>
      <c r="G267" s="11" t="s">
        <v>69</v>
      </c>
      <c r="H267" s="11" t="s">
        <v>69</v>
      </c>
      <c r="I267" s="11" t="s">
        <v>69</v>
      </c>
      <c r="J267" s="11" t="s">
        <v>69</v>
      </c>
      <c r="K267" s="14"/>
      <c r="L267" s="14"/>
      <c r="M267" s="11"/>
      <c r="N267" s="12"/>
      <c r="O267" s="11"/>
      <c r="P267" s="11"/>
      <c r="Q267" s="1">
        <v>263</v>
      </c>
      <c r="R267" s="1"/>
      <c r="S267" s="3">
        <f>INDEX(Locations!$D$6:$D$455,MATCH(B267,Locations!$A$6:$A$455,0))</f>
        <v>42.728537326524098</v>
      </c>
      <c r="T267" s="3">
        <f>INDEX(Locations!$E$6:$E$455,MATCH(B267,Locations!$A$6:$A$455,0))</f>
        <v>-73.684852900425199</v>
      </c>
      <c r="U267" s="3">
        <f>INDEX(Locations!$D$6:$D$455,MATCH(C267,Locations!$A$6:$A$455,0))</f>
        <v>42.728483299407202</v>
      </c>
      <c r="V267" s="3">
        <f>INDEX(Locations!$E$6:$E$455,MATCH(C267,Locations!$A$6:$A$455,0))</f>
        <v>-73.684614154914897</v>
      </c>
    </row>
    <row r="268" spans="1:22" ht="23.1" customHeight="1">
      <c r="A268" s="1" t="s">
        <v>876</v>
      </c>
      <c r="B268" s="1" t="s">
        <v>383</v>
      </c>
      <c r="C268" s="1" t="s">
        <v>123</v>
      </c>
      <c r="D268" s="1" t="s">
        <v>612</v>
      </c>
      <c r="E268" s="13">
        <f t="shared" si="4"/>
        <v>72.240515073580482</v>
      </c>
      <c r="F268" s="11" t="s">
        <v>70</v>
      </c>
      <c r="G268" s="11" t="s">
        <v>69</v>
      </c>
      <c r="H268" s="11" t="s">
        <v>69</v>
      </c>
      <c r="I268" s="11" t="s">
        <v>69</v>
      </c>
      <c r="J268" s="11" t="s">
        <v>69</v>
      </c>
      <c r="K268" s="14"/>
      <c r="L268" s="14"/>
      <c r="M268" s="11"/>
      <c r="N268" s="12"/>
      <c r="O268" s="11"/>
      <c r="P268" s="11"/>
      <c r="Q268" s="1">
        <v>264</v>
      </c>
      <c r="R268" s="1"/>
      <c r="S268" s="3">
        <f>INDEX(Locations!$D$6:$D$455,MATCH(B268,Locations!$A$6:$A$455,0))</f>
        <v>42.7287246971635</v>
      </c>
      <c r="T268" s="3">
        <f>INDEX(Locations!$E$6:$E$455,MATCH(B268,Locations!$A$6:$A$455,0))</f>
        <v>-73.684466132698503</v>
      </c>
      <c r="U268" s="3">
        <f>INDEX(Locations!$D$6:$D$455,MATCH(C268,Locations!$A$6:$A$455,0))</f>
        <v>42.728895524904502</v>
      </c>
      <c r="V268" s="3">
        <f>INDEX(Locations!$E$6:$E$455,MATCH(C268,Locations!$A$6:$A$455,0))</f>
        <v>-73.683612830338305</v>
      </c>
    </row>
    <row r="269" spans="1:22" ht="23.1" customHeight="1">
      <c r="A269" s="1" t="s">
        <v>877</v>
      </c>
      <c r="B269" s="1" t="s">
        <v>313</v>
      </c>
      <c r="C269" s="1" t="s">
        <v>79</v>
      </c>
      <c r="D269" s="1" t="s">
        <v>612</v>
      </c>
      <c r="E269" s="13">
        <f t="shared" si="4"/>
        <v>10.445825353639973</v>
      </c>
      <c r="F269" s="11" t="s">
        <v>70</v>
      </c>
      <c r="G269" s="11" t="s">
        <v>69</v>
      </c>
      <c r="H269" s="11" t="s">
        <v>69</v>
      </c>
      <c r="I269" s="11" t="s">
        <v>69</v>
      </c>
      <c r="J269" s="11" t="s">
        <v>69</v>
      </c>
      <c r="K269" s="14"/>
      <c r="L269" s="14"/>
      <c r="M269" s="11"/>
      <c r="N269" s="12"/>
      <c r="O269" s="11"/>
      <c r="P269" s="11"/>
      <c r="Q269" s="1">
        <v>265</v>
      </c>
      <c r="R269" s="1"/>
      <c r="S269" s="3">
        <f>INDEX(Locations!$D$6:$D$455,MATCH(B269,Locations!$A$6:$A$455,0))</f>
        <v>42.730237456436399</v>
      </c>
      <c r="T269" s="3">
        <f>INDEX(Locations!$E$6:$E$455,MATCH(B269,Locations!$A$6:$A$455,0))</f>
        <v>-73.682291956918107</v>
      </c>
      <c r="U269" s="3">
        <f>INDEX(Locations!$D$6:$D$455,MATCH(C269,Locations!$A$6:$A$455,0))</f>
        <v>42.730143518731502</v>
      </c>
      <c r="V269" s="3">
        <f>INDEX(Locations!$E$6:$E$455,MATCH(C269,Locations!$A$6:$A$455,0))</f>
        <v>-73.682290797673303</v>
      </c>
    </row>
    <row r="270" spans="1:22" ht="23.1" customHeight="1">
      <c r="A270" s="1" t="s">
        <v>878</v>
      </c>
      <c r="B270" s="1" t="s">
        <v>312</v>
      </c>
      <c r="C270" s="1" t="s">
        <v>79</v>
      </c>
      <c r="D270" s="1" t="s">
        <v>612</v>
      </c>
      <c r="E270" s="13">
        <f t="shared" si="4"/>
        <v>46.096166275312754</v>
      </c>
      <c r="F270" s="11" t="s">
        <v>70</v>
      </c>
      <c r="G270" s="11" t="s">
        <v>69</v>
      </c>
      <c r="H270" s="11" t="s">
        <v>69</v>
      </c>
      <c r="I270" s="11" t="s">
        <v>69</v>
      </c>
      <c r="J270" s="11" t="s">
        <v>69</v>
      </c>
      <c r="K270" s="14"/>
      <c r="L270" s="14"/>
      <c r="M270" s="11"/>
      <c r="N270" s="12"/>
      <c r="O270" s="11"/>
      <c r="P270" s="11"/>
      <c r="Q270" s="1">
        <v>266</v>
      </c>
      <c r="R270" s="1"/>
      <c r="S270" s="3">
        <f>INDEX(Locations!$D$6:$D$455,MATCH(B270,Locations!$A$6:$A$455,0))</f>
        <v>42.730448966851498</v>
      </c>
      <c r="T270" s="3">
        <f>INDEX(Locations!$E$6:$E$455,MATCH(B270,Locations!$A$6:$A$455,0))</f>
        <v>-73.682672358097903</v>
      </c>
      <c r="U270" s="3">
        <f>INDEX(Locations!$D$6:$D$455,MATCH(C270,Locations!$A$6:$A$455,0))</f>
        <v>42.730143518731502</v>
      </c>
      <c r="V270" s="3">
        <f>INDEX(Locations!$E$6:$E$455,MATCH(C270,Locations!$A$6:$A$455,0))</f>
        <v>-73.682290797673303</v>
      </c>
    </row>
    <row r="271" spans="1:22" ht="23.1" customHeight="1">
      <c r="A271" s="1" t="s">
        <v>879</v>
      </c>
      <c r="B271" s="1" t="s">
        <v>386</v>
      </c>
      <c r="C271" s="1" t="s">
        <v>300</v>
      </c>
      <c r="D271" s="1" t="s">
        <v>612</v>
      </c>
      <c r="E271" s="13">
        <f t="shared" si="4"/>
        <v>45.626684564938429</v>
      </c>
      <c r="F271" s="11" t="s">
        <v>70</v>
      </c>
      <c r="G271" s="11" t="s">
        <v>69</v>
      </c>
      <c r="H271" s="11" t="s">
        <v>69</v>
      </c>
      <c r="I271" s="11" t="s">
        <v>69</v>
      </c>
      <c r="J271" s="11" t="s">
        <v>69</v>
      </c>
      <c r="K271" s="14"/>
      <c r="L271" s="14"/>
      <c r="M271" s="11"/>
      <c r="N271" s="12"/>
      <c r="O271" s="11"/>
      <c r="P271" s="11"/>
      <c r="Q271" s="1">
        <v>267</v>
      </c>
      <c r="R271" s="1"/>
      <c r="S271" s="3">
        <f>INDEX(Locations!$D$6:$D$455,MATCH(B271,Locations!$A$6:$A$455,0))</f>
        <v>42.729985713062</v>
      </c>
      <c r="T271" s="3">
        <f>INDEX(Locations!$E$6:$E$455,MATCH(B271,Locations!$A$6:$A$455,0))</f>
        <v>-73.682314239832394</v>
      </c>
      <c r="U271" s="3">
        <f>INDEX(Locations!$D$6:$D$455,MATCH(C271,Locations!$A$6:$A$455,0))</f>
        <v>42.729839724895001</v>
      </c>
      <c r="V271" s="3">
        <f>INDEX(Locations!$E$6:$E$455,MATCH(C271,Locations!$A$6:$A$455,0))</f>
        <v>-73.681792182983301</v>
      </c>
    </row>
    <row r="272" spans="1:22" ht="23.1" customHeight="1">
      <c r="A272" s="1" t="s">
        <v>880</v>
      </c>
      <c r="B272" s="1" t="s">
        <v>385</v>
      </c>
      <c r="C272" s="1" t="s">
        <v>386</v>
      </c>
      <c r="D272" s="1" t="s">
        <v>612</v>
      </c>
      <c r="E272" s="13">
        <f t="shared" si="4"/>
        <v>42.041694135462748</v>
      </c>
      <c r="F272" s="11" t="s">
        <v>70</v>
      </c>
      <c r="G272" s="11" t="s">
        <v>69</v>
      </c>
      <c r="H272" s="11" t="s">
        <v>69</v>
      </c>
      <c r="I272" s="11" t="s">
        <v>69</v>
      </c>
      <c r="J272" s="11" t="s">
        <v>69</v>
      </c>
      <c r="K272" s="14"/>
      <c r="L272" s="14"/>
      <c r="M272" s="11"/>
      <c r="N272" s="12"/>
      <c r="O272" s="11"/>
      <c r="P272" s="11"/>
      <c r="Q272" s="1">
        <v>268</v>
      </c>
      <c r="R272" s="1"/>
      <c r="S272" s="3">
        <f>INDEX(Locations!$D$6:$D$455,MATCH(B272,Locations!$A$6:$A$455,0))</f>
        <v>42.729828229763797</v>
      </c>
      <c r="T272" s="3">
        <f>INDEX(Locations!$E$6:$E$455,MATCH(B272,Locations!$A$6:$A$455,0))</f>
        <v>-73.682782181032593</v>
      </c>
      <c r="U272" s="3">
        <f>INDEX(Locations!$D$6:$D$455,MATCH(C272,Locations!$A$6:$A$455,0))</f>
        <v>42.729985713062</v>
      </c>
      <c r="V272" s="3">
        <f>INDEX(Locations!$E$6:$E$455,MATCH(C272,Locations!$A$6:$A$455,0))</f>
        <v>-73.682314239832394</v>
      </c>
    </row>
    <row r="273" spans="1:22" ht="23.1" customHeight="1">
      <c r="A273" s="1" t="s">
        <v>881</v>
      </c>
      <c r="B273" s="1" t="s">
        <v>384</v>
      </c>
      <c r="C273" s="1" t="s">
        <v>385</v>
      </c>
      <c r="D273" s="1" t="s">
        <v>612</v>
      </c>
      <c r="E273" s="13">
        <f t="shared" si="4"/>
        <v>26.285536009926158</v>
      </c>
      <c r="F273" s="11" t="s">
        <v>70</v>
      </c>
      <c r="G273" s="11" t="s">
        <v>69</v>
      </c>
      <c r="H273" s="11" t="s">
        <v>69</v>
      </c>
      <c r="I273" s="11" t="s">
        <v>69</v>
      </c>
      <c r="J273" s="11" t="s">
        <v>69</v>
      </c>
      <c r="K273" s="14"/>
      <c r="L273" s="14"/>
      <c r="M273" s="11"/>
      <c r="N273" s="12"/>
      <c r="O273" s="11"/>
      <c r="P273" s="11"/>
      <c r="Q273" s="1">
        <v>269</v>
      </c>
      <c r="R273" s="1"/>
      <c r="S273" s="3">
        <f>INDEX(Locations!$D$6:$D$455,MATCH(B273,Locations!$A$6:$A$455,0))</f>
        <v>42.7300638799545</v>
      </c>
      <c r="T273" s="3">
        <f>INDEX(Locations!$E$6:$E$455,MATCH(B273,Locations!$A$6:$A$455,0))</f>
        <v>-73.6828076472204</v>
      </c>
      <c r="U273" s="3">
        <f>INDEX(Locations!$D$6:$D$455,MATCH(C273,Locations!$A$6:$A$455,0))</f>
        <v>42.729828229763797</v>
      </c>
      <c r="V273" s="3">
        <f>INDEX(Locations!$E$6:$E$455,MATCH(C273,Locations!$A$6:$A$455,0))</f>
        <v>-73.682782181032593</v>
      </c>
    </row>
    <row r="274" spans="1:22" ht="23.1" customHeight="1">
      <c r="A274" s="1" t="s">
        <v>882</v>
      </c>
      <c r="B274" s="1" t="s">
        <v>79</v>
      </c>
      <c r="C274" s="1" t="s">
        <v>384</v>
      </c>
      <c r="D274" s="1" t="s">
        <v>612</v>
      </c>
      <c r="E274" s="13">
        <f t="shared" si="4"/>
        <v>43.134612026230009</v>
      </c>
      <c r="F274" s="11" t="s">
        <v>70</v>
      </c>
      <c r="G274" s="11" t="s">
        <v>69</v>
      </c>
      <c r="H274" s="11" t="s">
        <v>69</v>
      </c>
      <c r="I274" s="11" t="s">
        <v>69</v>
      </c>
      <c r="J274" s="11" t="s">
        <v>69</v>
      </c>
      <c r="K274" s="14"/>
      <c r="L274" s="14"/>
      <c r="M274" s="11"/>
      <c r="N274" s="12"/>
      <c r="O274" s="11"/>
      <c r="P274" s="11"/>
      <c r="Q274" s="1">
        <v>270</v>
      </c>
      <c r="R274" s="1"/>
      <c r="S274" s="3">
        <f>INDEX(Locations!$D$6:$D$455,MATCH(B274,Locations!$A$6:$A$455,0))</f>
        <v>42.730143518731502</v>
      </c>
      <c r="T274" s="3">
        <f>INDEX(Locations!$E$6:$E$455,MATCH(B274,Locations!$A$6:$A$455,0))</f>
        <v>-73.682290797673303</v>
      </c>
      <c r="U274" s="3">
        <f>INDEX(Locations!$D$6:$D$455,MATCH(C274,Locations!$A$6:$A$455,0))</f>
        <v>42.7300638799545</v>
      </c>
      <c r="V274" s="3">
        <f>INDEX(Locations!$E$6:$E$455,MATCH(C274,Locations!$A$6:$A$455,0))</f>
        <v>-73.6828076472204</v>
      </c>
    </row>
    <row r="275" spans="1:22" ht="23.1" customHeight="1">
      <c r="A275" s="1" t="s">
        <v>883</v>
      </c>
      <c r="B275" s="1" t="s">
        <v>337</v>
      </c>
      <c r="C275" s="1" t="s">
        <v>390</v>
      </c>
      <c r="D275" s="1" t="s">
        <v>612</v>
      </c>
      <c r="E275" s="13">
        <f t="shared" si="4"/>
        <v>35.8027434524166</v>
      </c>
      <c r="F275" s="11" t="s">
        <v>70</v>
      </c>
      <c r="G275" s="11" t="s">
        <v>69</v>
      </c>
      <c r="H275" s="11" t="s">
        <v>69</v>
      </c>
      <c r="I275" s="11" t="s">
        <v>69</v>
      </c>
      <c r="J275" s="11" t="s">
        <v>69</v>
      </c>
      <c r="K275" s="14"/>
      <c r="L275" s="14"/>
      <c r="M275" s="11"/>
      <c r="N275" s="12"/>
      <c r="O275" s="11"/>
      <c r="P275" s="11"/>
      <c r="Q275" s="1">
        <v>271</v>
      </c>
      <c r="R275" s="1"/>
      <c r="S275" s="3">
        <f>INDEX(Locations!$D$6:$D$455,MATCH(B275,Locations!$A$6:$A$455,0))</f>
        <v>42.728736192294797</v>
      </c>
      <c r="T275" s="3">
        <f>INDEX(Locations!$E$6:$E$455,MATCH(B275,Locations!$A$6:$A$455,0))</f>
        <v>-73.682694641012105</v>
      </c>
      <c r="U275" s="3">
        <f>INDEX(Locations!$D$6:$D$455,MATCH(C275,Locations!$A$6:$A$455,0))</f>
        <v>42.728805163082299</v>
      </c>
      <c r="V275" s="3">
        <f>INDEX(Locations!$E$6:$E$455,MATCH(C275,Locations!$A$6:$A$455,0))</f>
        <v>-73.683122791293897</v>
      </c>
    </row>
    <row r="276" spans="1:22" ht="23.1" customHeight="1">
      <c r="A276" s="1" t="s">
        <v>884</v>
      </c>
      <c r="B276" s="1" t="s">
        <v>385</v>
      </c>
      <c r="C276" s="1" t="s">
        <v>387</v>
      </c>
      <c r="D276" s="1" t="s">
        <v>612</v>
      </c>
      <c r="E276" s="13">
        <f t="shared" si="4"/>
        <v>21.981504576692398</v>
      </c>
      <c r="F276" s="11" t="s">
        <v>70</v>
      </c>
      <c r="G276" s="11" t="s">
        <v>69</v>
      </c>
      <c r="H276" s="11" t="s">
        <v>69</v>
      </c>
      <c r="I276" s="11" t="s">
        <v>69</v>
      </c>
      <c r="J276" s="11" t="s">
        <v>69</v>
      </c>
      <c r="K276" s="14"/>
      <c r="L276" s="14"/>
      <c r="M276" s="11"/>
      <c r="N276" s="12"/>
      <c r="O276" s="11"/>
      <c r="P276" s="11"/>
      <c r="Q276" s="1">
        <v>272</v>
      </c>
      <c r="R276" s="1"/>
      <c r="S276" s="3">
        <f>INDEX(Locations!$D$6:$D$455,MATCH(B276,Locations!$A$6:$A$455,0))</f>
        <v>42.729828229763797</v>
      </c>
      <c r="T276" s="3">
        <f>INDEX(Locations!$E$6:$E$455,MATCH(B276,Locations!$A$6:$A$455,0))</f>
        <v>-73.682782181032593</v>
      </c>
      <c r="U276" s="3">
        <f>INDEX(Locations!$D$6:$D$455,MATCH(C276,Locations!$A$6:$A$455,0))</f>
        <v>42.729692587214998</v>
      </c>
      <c r="V276" s="3">
        <f>INDEX(Locations!$E$6:$E$455,MATCH(C276,Locations!$A$6:$A$455,0))</f>
        <v>-73.682977952350996</v>
      </c>
    </row>
    <row r="277" spans="1:22" ht="23.1" customHeight="1">
      <c r="A277" s="1" t="s">
        <v>885</v>
      </c>
      <c r="B277" s="1" t="s">
        <v>388</v>
      </c>
      <c r="C277" s="1" t="s">
        <v>389</v>
      </c>
      <c r="D277" s="1" t="s">
        <v>612</v>
      </c>
      <c r="E277" s="13">
        <f t="shared" si="4"/>
        <v>23.819151727945634</v>
      </c>
      <c r="F277" s="11" t="s">
        <v>70</v>
      </c>
      <c r="G277" s="11" t="s">
        <v>69</v>
      </c>
      <c r="H277" s="11" t="s">
        <v>69</v>
      </c>
      <c r="I277" s="11" t="s">
        <v>69</v>
      </c>
      <c r="J277" s="11" t="s">
        <v>69</v>
      </c>
      <c r="K277" s="14"/>
      <c r="L277" s="14"/>
      <c r="M277" s="11"/>
      <c r="N277" s="12"/>
      <c r="O277" s="11"/>
      <c r="P277" s="11"/>
      <c r="Q277" s="1">
        <v>273</v>
      </c>
      <c r="R277" s="1"/>
      <c r="S277" s="3">
        <f>INDEX(Locations!$D$6:$D$455,MATCH(B277,Locations!$A$6:$A$455,0))</f>
        <v>42.729419003091202</v>
      </c>
      <c r="T277" s="3">
        <f>INDEX(Locations!$E$6:$E$455,MATCH(B277,Locations!$A$6:$A$455,0))</f>
        <v>-73.683055942550993</v>
      </c>
      <c r="U277" s="3">
        <f>INDEX(Locations!$D$6:$D$455,MATCH(C277,Locations!$A$6:$A$455,0))</f>
        <v>42.729207492676103</v>
      </c>
      <c r="V277" s="3">
        <f>INDEX(Locations!$E$6:$E$455,MATCH(C277,Locations!$A$6:$A$455,0))</f>
        <v>-73.683102100016399</v>
      </c>
    </row>
    <row r="278" spans="1:22" ht="23.1" customHeight="1">
      <c r="A278" s="1" t="s">
        <v>886</v>
      </c>
      <c r="B278" s="1" t="s">
        <v>387</v>
      </c>
      <c r="C278" s="1" t="s">
        <v>388</v>
      </c>
      <c r="D278" s="1" t="s">
        <v>612</v>
      </c>
      <c r="E278" s="13">
        <f t="shared" si="4"/>
        <v>31.080977996994264</v>
      </c>
      <c r="F278" s="11" t="s">
        <v>70</v>
      </c>
      <c r="G278" s="11" t="s">
        <v>69</v>
      </c>
      <c r="H278" s="11" t="s">
        <v>69</v>
      </c>
      <c r="I278" s="11" t="s">
        <v>69</v>
      </c>
      <c r="J278" s="11" t="s">
        <v>69</v>
      </c>
      <c r="K278" s="14"/>
      <c r="L278" s="14"/>
      <c r="M278" s="11"/>
      <c r="N278" s="12"/>
      <c r="O278" s="11"/>
      <c r="P278" s="11"/>
      <c r="Q278" s="1">
        <v>274</v>
      </c>
      <c r="R278" s="1"/>
      <c r="S278" s="3">
        <f>INDEX(Locations!$D$6:$D$455,MATCH(B278,Locations!$A$6:$A$455,0))</f>
        <v>42.729692587214998</v>
      </c>
      <c r="T278" s="3">
        <f>INDEX(Locations!$E$6:$E$455,MATCH(B278,Locations!$A$6:$A$455,0))</f>
        <v>-73.682977952350996</v>
      </c>
      <c r="U278" s="3">
        <f>INDEX(Locations!$D$6:$D$455,MATCH(C278,Locations!$A$6:$A$455,0))</f>
        <v>42.729419003091202</v>
      </c>
      <c r="V278" s="3">
        <f>INDEX(Locations!$E$6:$E$455,MATCH(C278,Locations!$A$6:$A$455,0))</f>
        <v>-73.683055942550993</v>
      </c>
    </row>
    <row r="279" spans="1:22" ht="23.1" customHeight="1">
      <c r="A279" s="1" t="s">
        <v>887</v>
      </c>
      <c r="B279" s="1" t="s">
        <v>125</v>
      </c>
      <c r="C279" s="1" t="s">
        <v>388</v>
      </c>
      <c r="D279" s="1" t="s">
        <v>612</v>
      </c>
      <c r="E279" s="13">
        <f t="shared" si="4"/>
        <v>42.243913755678385</v>
      </c>
      <c r="F279" s="11" t="s">
        <v>70</v>
      </c>
      <c r="G279" s="11" t="s">
        <v>69</v>
      </c>
      <c r="H279" s="11" t="s">
        <v>69</v>
      </c>
      <c r="I279" s="11" t="s">
        <v>69</v>
      </c>
      <c r="J279" s="11" t="s">
        <v>69</v>
      </c>
      <c r="K279" s="14"/>
      <c r="L279" s="14"/>
      <c r="M279" s="11"/>
      <c r="N279" s="12"/>
      <c r="O279" s="11"/>
      <c r="P279" s="11"/>
      <c r="Q279" s="1">
        <v>275</v>
      </c>
      <c r="R279" s="1"/>
      <c r="S279" s="3">
        <f>INDEX(Locations!$D$6:$D$455,MATCH(B279,Locations!$A$6:$A$455,0))</f>
        <v>42.729346823390202</v>
      </c>
      <c r="T279" s="3">
        <f>INDEX(Locations!$E$6:$E$455,MATCH(B279,Locations!$A$6:$A$455,0))</f>
        <v>-73.682548175425595</v>
      </c>
      <c r="U279" s="3">
        <f>INDEX(Locations!$D$6:$D$455,MATCH(C279,Locations!$A$6:$A$455,0))</f>
        <v>42.729419003091202</v>
      </c>
      <c r="V279" s="3">
        <f>INDEX(Locations!$E$6:$E$455,MATCH(C279,Locations!$A$6:$A$455,0))</f>
        <v>-73.683055942550993</v>
      </c>
    </row>
    <row r="280" spans="1:22" ht="23.1" customHeight="1">
      <c r="A280" s="1" t="s">
        <v>888</v>
      </c>
      <c r="B280" s="1" t="s">
        <v>389</v>
      </c>
      <c r="C280" s="1" t="s">
        <v>390</v>
      </c>
      <c r="D280" s="1" t="s">
        <v>612</v>
      </c>
      <c r="E280" s="13">
        <f t="shared" si="4"/>
        <v>44.768922146375246</v>
      </c>
      <c r="F280" s="11" t="s">
        <v>70</v>
      </c>
      <c r="G280" s="11" t="s">
        <v>69</v>
      </c>
      <c r="H280" s="11" t="s">
        <v>69</v>
      </c>
      <c r="I280" s="11" t="s">
        <v>69</v>
      </c>
      <c r="J280" s="11" t="s">
        <v>69</v>
      </c>
      <c r="K280" s="14"/>
      <c r="L280" s="14"/>
      <c r="M280" s="11"/>
      <c r="N280" s="12"/>
      <c r="O280" s="11"/>
      <c r="P280" s="11"/>
      <c r="Q280" s="1">
        <v>276</v>
      </c>
      <c r="R280" s="1"/>
      <c r="S280" s="3">
        <f>INDEX(Locations!$D$6:$D$455,MATCH(B280,Locations!$A$6:$A$455,0))</f>
        <v>42.729207492676103</v>
      </c>
      <c r="T280" s="3">
        <f>INDEX(Locations!$E$6:$E$455,MATCH(B280,Locations!$A$6:$A$455,0))</f>
        <v>-73.683102100016399</v>
      </c>
      <c r="U280" s="3">
        <f>INDEX(Locations!$D$6:$D$455,MATCH(C280,Locations!$A$6:$A$455,0))</f>
        <v>42.728805163082299</v>
      </c>
      <c r="V280" s="3">
        <f>INDEX(Locations!$E$6:$E$455,MATCH(C280,Locations!$A$6:$A$455,0))</f>
        <v>-73.683122791293897</v>
      </c>
    </row>
    <row r="281" spans="1:22" ht="23.1" customHeight="1">
      <c r="A281" s="1" t="s">
        <v>889</v>
      </c>
      <c r="B281" s="1" t="s">
        <v>334</v>
      </c>
      <c r="C281" s="1" t="s">
        <v>151</v>
      </c>
      <c r="D281" s="1" t="s">
        <v>612</v>
      </c>
      <c r="E281" s="13">
        <f t="shared" si="4"/>
        <v>22.502199265773605</v>
      </c>
      <c r="F281" s="11" t="s">
        <v>70</v>
      </c>
      <c r="G281" s="11" t="s">
        <v>69</v>
      </c>
      <c r="H281" s="11" t="s">
        <v>69</v>
      </c>
      <c r="I281" s="11" t="s">
        <v>69</v>
      </c>
      <c r="J281" s="11" t="s">
        <v>69</v>
      </c>
      <c r="K281" s="14"/>
      <c r="L281" s="14"/>
      <c r="M281" s="11"/>
      <c r="N281" s="12"/>
      <c r="O281" s="11"/>
      <c r="P281" s="11"/>
      <c r="Q281" s="1">
        <v>277</v>
      </c>
      <c r="R281" s="1"/>
      <c r="S281" s="3">
        <f>INDEX(Locations!$D$6:$D$455,MATCH(B281,Locations!$A$6:$A$455,0))</f>
        <v>42.728512037235298</v>
      </c>
      <c r="T281" s="3">
        <f>INDEX(Locations!$E$6:$E$455,MATCH(B281,Locations!$A$6:$A$455,0))</f>
        <v>-73.681916330648605</v>
      </c>
      <c r="U281" s="3">
        <f>INDEX(Locations!$D$6:$D$455,MATCH(C281,Locations!$A$6:$A$455,0))</f>
        <v>42.728313382796699</v>
      </c>
      <c r="V281" s="3">
        <f>INDEX(Locations!$E$6:$E$455,MATCH(C281,Locations!$A$6:$A$455,0))</f>
        <v>-73.681968858644296</v>
      </c>
    </row>
    <row r="282" spans="1:22" ht="23.1" customHeight="1">
      <c r="A282" s="1" t="s">
        <v>890</v>
      </c>
      <c r="B282" s="1" t="s">
        <v>125</v>
      </c>
      <c r="C282" s="1" t="s">
        <v>391</v>
      </c>
      <c r="D282" s="1" t="s">
        <v>612</v>
      </c>
      <c r="E282" s="13">
        <f t="shared" si="4"/>
        <v>29.478044800146449</v>
      </c>
      <c r="F282" s="11" t="s">
        <v>70</v>
      </c>
      <c r="G282" s="11" t="s">
        <v>69</v>
      </c>
      <c r="H282" s="11" t="s">
        <v>69</v>
      </c>
      <c r="I282" s="11" t="s">
        <v>69</v>
      </c>
      <c r="J282" s="11" t="s">
        <v>69</v>
      </c>
      <c r="K282" s="14"/>
      <c r="L282" s="14"/>
      <c r="M282" s="11"/>
      <c r="N282" s="12"/>
      <c r="O282" s="11"/>
      <c r="P282" s="11"/>
      <c r="Q282" s="1">
        <v>278</v>
      </c>
      <c r="R282" s="1"/>
      <c r="S282" s="3">
        <f>INDEX(Locations!$D$6:$D$455,MATCH(B282,Locations!$A$6:$A$455,0))</f>
        <v>42.729346823390202</v>
      </c>
      <c r="T282" s="3">
        <f>INDEX(Locations!$E$6:$E$455,MATCH(B282,Locations!$A$6:$A$455,0))</f>
        <v>-73.682548175425595</v>
      </c>
      <c r="U282" s="3">
        <f>INDEX(Locations!$D$6:$D$455,MATCH(C282,Locations!$A$6:$A$455,0))</f>
        <v>42.729164960690497</v>
      </c>
      <c r="V282" s="3">
        <f>INDEX(Locations!$E$6:$E$455,MATCH(C282,Locations!$A$6:$A$455,0))</f>
        <v>-73.682285590371194</v>
      </c>
    </row>
    <row r="283" spans="1:22" ht="23.1" customHeight="1">
      <c r="A283" s="1" t="s">
        <v>891</v>
      </c>
      <c r="B283" s="1" t="s">
        <v>336</v>
      </c>
      <c r="C283" s="1" t="s">
        <v>391</v>
      </c>
      <c r="D283" s="1" t="s">
        <v>612</v>
      </c>
      <c r="E283" s="13">
        <f t="shared" si="4"/>
        <v>23.206908049114084</v>
      </c>
      <c r="F283" s="11" t="s">
        <v>70</v>
      </c>
      <c r="G283" s="11" t="s">
        <v>69</v>
      </c>
      <c r="H283" s="11" t="s">
        <v>69</v>
      </c>
      <c r="I283" s="11" t="s">
        <v>69</v>
      </c>
      <c r="J283" s="11" t="s">
        <v>69</v>
      </c>
      <c r="K283" s="14"/>
      <c r="L283" s="14"/>
      <c r="M283" s="11"/>
      <c r="N283" s="12"/>
      <c r="O283" s="11"/>
      <c r="P283" s="11"/>
      <c r="Q283" s="1">
        <v>279</v>
      </c>
      <c r="R283" s="1"/>
      <c r="S283" s="3">
        <f>INDEX(Locations!$D$6:$D$455,MATCH(B283,Locations!$A$6:$A$455,0))</f>
        <v>42.728956898814801</v>
      </c>
      <c r="T283" s="3">
        <f>INDEX(Locations!$E$6:$E$455,MATCH(B283,Locations!$A$6:$A$455,0))</f>
        <v>-73.682263307456907</v>
      </c>
      <c r="U283" s="3">
        <f>INDEX(Locations!$D$6:$D$455,MATCH(C283,Locations!$A$6:$A$455,0))</f>
        <v>42.729164960690497</v>
      </c>
      <c r="V283" s="3">
        <f>INDEX(Locations!$E$6:$E$455,MATCH(C283,Locations!$A$6:$A$455,0))</f>
        <v>-73.682285590371194</v>
      </c>
    </row>
    <row r="284" spans="1:22" ht="23.1" customHeight="1">
      <c r="A284" s="1" t="s">
        <v>892</v>
      </c>
      <c r="B284" s="1" t="s">
        <v>151</v>
      </c>
      <c r="C284" s="1" t="s">
        <v>107</v>
      </c>
      <c r="D284" s="1" t="s">
        <v>612</v>
      </c>
      <c r="E284" s="13">
        <f t="shared" si="4"/>
        <v>60.424580498831226</v>
      </c>
      <c r="F284" s="11" t="s">
        <v>70</v>
      </c>
      <c r="G284" s="11" t="s">
        <v>69</v>
      </c>
      <c r="H284" s="11" t="s">
        <v>69</v>
      </c>
      <c r="I284" s="11" t="s">
        <v>69</v>
      </c>
      <c r="J284" s="11" t="s">
        <v>69</v>
      </c>
      <c r="K284" s="14"/>
      <c r="L284" s="14"/>
      <c r="M284" s="11"/>
      <c r="N284" s="12"/>
      <c r="O284" s="11"/>
      <c r="P284" s="11"/>
      <c r="Q284" s="1">
        <v>280</v>
      </c>
      <c r="R284" s="1"/>
      <c r="S284" s="3">
        <f>INDEX(Locations!$D$6:$D$455,MATCH(B284,Locations!$A$6:$A$455,0))</f>
        <v>42.728313382796699</v>
      </c>
      <c r="T284" s="3">
        <f>INDEX(Locations!$E$6:$E$455,MATCH(B284,Locations!$A$6:$A$455,0))</f>
        <v>-73.681968858644296</v>
      </c>
      <c r="U284" s="3">
        <f>INDEX(Locations!$D$6:$D$455,MATCH(C284,Locations!$A$6:$A$455,0))</f>
        <v>42.728181991284501</v>
      </c>
      <c r="V284" s="3">
        <f>INDEX(Locations!$E$6:$E$455,MATCH(C284,Locations!$A$6:$A$455,0))</f>
        <v>-73.681251050652406</v>
      </c>
    </row>
    <row r="285" spans="1:22" ht="23.1" customHeight="1">
      <c r="A285" s="1" t="s">
        <v>893</v>
      </c>
      <c r="B285" s="1" t="s">
        <v>395</v>
      </c>
      <c r="C285" s="1" t="s">
        <v>107</v>
      </c>
      <c r="D285" s="1" t="s">
        <v>612</v>
      </c>
      <c r="E285" s="13">
        <f t="shared" si="4"/>
        <v>31.031221900961619</v>
      </c>
      <c r="F285" s="11" t="s">
        <v>70</v>
      </c>
      <c r="G285" s="11" t="s">
        <v>69</v>
      </c>
      <c r="H285" s="11" t="s">
        <v>69</v>
      </c>
      <c r="I285" s="11" t="s">
        <v>69</v>
      </c>
      <c r="J285" s="11" t="s">
        <v>69</v>
      </c>
      <c r="K285" s="14"/>
      <c r="L285" s="14"/>
      <c r="M285" s="11"/>
      <c r="N285" s="12"/>
      <c r="O285" s="11"/>
      <c r="P285" s="11"/>
      <c r="Q285" s="1">
        <v>281</v>
      </c>
      <c r="R285" s="1"/>
      <c r="S285" s="3">
        <f>INDEX(Locations!$D$6:$D$455,MATCH(B285,Locations!$A$6:$A$455,0))</f>
        <v>42.728002802920798</v>
      </c>
      <c r="T285" s="3">
        <f>INDEX(Locations!$E$6:$E$455,MATCH(B285,Locations!$A$6:$A$455,0))</f>
        <v>-73.681542296015806</v>
      </c>
      <c r="U285" s="3">
        <f>INDEX(Locations!$D$6:$D$455,MATCH(C285,Locations!$A$6:$A$455,0))</f>
        <v>42.728181991284501</v>
      </c>
      <c r="V285" s="3">
        <f>INDEX(Locations!$E$6:$E$455,MATCH(C285,Locations!$A$6:$A$455,0))</f>
        <v>-73.681251050652406</v>
      </c>
    </row>
    <row r="286" spans="1:22" ht="23.1" customHeight="1">
      <c r="A286" s="1" t="s">
        <v>894</v>
      </c>
      <c r="B286" s="1" t="s">
        <v>161</v>
      </c>
      <c r="C286" s="1" t="s">
        <v>395</v>
      </c>
      <c r="D286" s="1" t="s">
        <v>612</v>
      </c>
      <c r="E286" s="13">
        <f t="shared" si="4"/>
        <v>32.13178201154733</v>
      </c>
      <c r="F286" s="11" t="s">
        <v>70</v>
      </c>
      <c r="G286" s="11" t="s">
        <v>69</v>
      </c>
      <c r="H286" s="11" t="s">
        <v>69</v>
      </c>
      <c r="I286" s="11" t="s">
        <v>69</v>
      </c>
      <c r="J286" s="11" t="s">
        <v>69</v>
      </c>
      <c r="K286" s="14"/>
      <c r="L286" s="14"/>
      <c r="M286" s="11"/>
      <c r="N286" s="12"/>
      <c r="O286" s="11"/>
      <c r="P286" s="11"/>
      <c r="Q286" s="1">
        <v>282</v>
      </c>
      <c r="R286" s="1"/>
      <c r="S286" s="3">
        <f>INDEX(Locations!$D$6:$D$455,MATCH(B286,Locations!$A$6:$A$455,0))</f>
        <v>42.727729731578599</v>
      </c>
      <c r="T286" s="3">
        <f>INDEX(Locations!$E$6:$E$455,MATCH(B286,Locations!$A$6:$A$455,0))</f>
        <v>-73.681413620707005</v>
      </c>
      <c r="U286" s="3">
        <f>INDEX(Locations!$D$6:$D$455,MATCH(C286,Locations!$A$6:$A$455,0))</f>
        <v>42.728002802920798</v>
      </c>
      <c r="V286" s="3">
        <f>INDEX(Locations!$E$6:$E$455,MATCH(C286,Locations!$A$6:$A$455,0))</f>
        <v>-73.681542296015806</v>
      </c>
    </row>
    <row r="287" spans="1:22" ht="23.1" customHeight="1">
      <c r="A287" s="1" t="s">
        <v>895</v>
      </c>
      <c r="B287" s="1" t="s">
        <v>390</v>
      </c>
      <c r="C287" s="1" t="s">
        <v>392</v>
      </c>
      <c r="D287" s="1" t="s">
        <v>612</v>
      </c>
      <c r="E287" s="13">
        <f t="shared" si="4"/>
        <v>26.91200430288157</v>
      </c>
      <c r="F287" s="11" t="s">
        <v>70</v>
      </c>
      <c r="G287" s="11" t="s">
        <v>69</v>
      </c>
      <c r="H287" s="11" t="s">
        <v>69</v>
      </c>
      <c r="I287" s="11" t="s">
        <v>69</v>
      </c>
      <c r="J287" s="11" t="s">
        <v>69</v>
      </c>
      <c r="K287" s="14"/>
      <c r="L287" s="14"/>
      <c r="M287" s="11"/>
      <c r="N287" s="12"/>
      <c r="O287" s="11"/>
      <c r="P287" s="11"/>
      <c r="Q287" s="1">
        <v>283</v>
      </c>
      <c r="R287" s="1"/>
      <c r="S287" s="3">
        <f>INDEX(Locations!$D$6:$D$455,MATCH(B287,Locations!$A$6:$A$455,0))</f>
        <v>42.728805163082299</v>
      </c>
      <c r="T287" s="3">
        <f>INDEX(Locations!$E$6:$E$455,MATCH(B287,Locations!$A$6:$A$455,0))</f>
        <v>-73.683122791293897</v>
      </c>
      <c r="U287" s="3">
        <f>INDEX(Locations!$D$6:$D$455,MATCH(C287,Locations!$A$6:$A$455,0))</f>
        <v>42.728591353641001</v>
      </c>
      <c r="V287" s="3">
        <f>INDEX(Locations!$E$6:$E$455,MATCH(C287,Locations!$A$6:$A$455,0))</f>
        <v>-73.683277180057303</v>
      </c>
    </row>
    <row r="288" spans="1:22" ht="23.1" customHeight="1">
      <c r="A288" s="1" t="s">
        <v>896</v>
      </c>
      <c r="B288" s="1" t="s">
        <v>393</v>
      </c>
      <c r="C288" s="1" t="s">
        <v>392</v>
      </c>
      <c r="D288" s="1" t="s">
        <v>612</v>
      </c>
      <c r="E288" s="13">
        <f t="shared" si="4"/>
        <v>23.232029318642791</v>
      </c>
      <c r="F288" s="11" t="s">
        <v>70</v>
      </c>
      <c r="G288" s="11" t="s">
        <v>69</v>
      </c>
      <c r="H288" s="11" t="s">
        <v>69</v>
      </c>
      <c r="I288" s="11" t="s">
        <v>69</v>
      </c>
      <c r="J288" s="11" t="s">
        <v>69</v>
      </c>
      <c r="K288" s="14"/>
      <c r="L288" s="14"/>
      <c r="M288" s="11"/>
      <c r="N288" s="12"/>
      <c r="O288" s="11"/>
      <c r="P288" s="11"/>
      <c r="Q288" s="1">
        <v>284</v>
      </c>
      <c r="R288" s="1"/>
      <c r="S288" s="3">
        <f>INDEX(Locations!$D$6:$D$455,MATCH(B288,Locations!$A$6:$A$455,0))</f>
        <v>42.728385590791497</v>
      </c>
      <c r="T288" s="3">
        <f>INDEX(Locations!$E$6:$E$455,MATCH(B288,Locations!$A$6:$A$455,0))</f>
        <v>-73.683326520796001</v>
      </c>
      <c r="U288" s="3">
        <f>INDEX(Locations!$D$6:$D$455,MATCH(C288,Locations!$A$6:$A$455,0))</f>
        <v>42.728591353641001</v>
      </c>
      <c r="V288" s="3">
        <f>INDEX(Locations!$E$6:$E$455,MATCH(C288,Locations!$A$6:$A$455,0))</f>
        <v>-73.683277180057303</v>
      </c>
    </row>
    <row r="289" spans="1:22" ht="23.1" customHeight="1">
      <c r="A289" s="1" t="s">
        <v>897</v>
      </c>
      <c r="B289" s="1" t="s">
        <v>394</v>
      </c>
      <c r="C289" s="1" t="s">
        <v>393</v>
      </c>
      <c r="D289" s="1" t="s">
        <v>612</v>
      </c>
      <c r="E289" s="13">
        <f t="shared" si="4"/>
        <v>104.32443496627172</v>
      </c>
      <c r="F289" s="11" t="s">
        <v>70</v>
      </c>
      <c r="G289" s="11" t="s">
        <v>69</v>
      </c>
      <c r="H289" s="11" t="s">
        <v>69</v>
      </c>
      <c r="I289" s="11" t="s">
        <v>69</v>
      </c>
      <c r="J289" s="11" t="s">
        <v>69</v>
      </c>
      <c r="K289" s="14"/>
      <c r="L289" s="14"/>
      <c r="M289" s="11"/>
      <c r="N289" s="12"/>
      <c r="O289" s="11"/>
      <c r="P289" s="11"/>
      <c r="Q289" s="1">
        <v>285</v>
      </c>
      <c r="R289" s="1"/>
      <c r="S289" s="3">
        <f>INDEX(Locations!$D$6:$D$455,MATCH(B289,Locations!$A$6:$A$455,0))</f>
        <v>42.7276958829164</v>
      </c>
      <c r="T289" s="3">
        <f>INDEX(Locations!$E$6:$E$455,MATCH(B289,Locations!$A$6:$A$455,0))</f>
        <v>-73.682460670412098</v>
      </c>
      <c r="U289" s="3">
        <f>INDEX(Locations!$D$6:$D$455,MATCH(C289,Locations!$A$6:$A$455,0))</f>
        <v>42.728385590791497</v>
      </c>
      <c r="V289" s="3">
        <f>INDEX(Locations!$E$6:$E$455,MATCH(C289,Locations!$A$6:$A$455,0))</f>
        <v>-73.683326520796001</v>
      </c>
    </row>
    <row r="290" spans="1:22" ht="23.1" customHeight="1">
      <c r="A290" s="1" t="s">
        <v>898</v>
      </c>
      <c r="B290" s="1" t="s">
        <v>394</v>
      </c>
      <c r="C290" s="1" t="s">
        <v>181</v>
      </c>
      <c r="D290" s="1" t="s">
        <v>612</v>
      </c>
      <c r="E290" s="13">
        <f t="shared" si="4"/>
        <v>156.06339806995786</v>
      </c>
      <c r="F290" s="11" t="s">
        <v>70</v>
      </c>
      <c r="G290" s="11" t="s">
        <v>69</v>
      </c>
      <c r="H290" s="11" t="s">
        <v>69</v>
      </c>
      <c r="I290" s="11" t="s">
        <v>69</v>
      </c>
      <c r="J290" s="11" t="s">
        <v>69</v>
      </c>
      <c r="K290" s="14"/>
      <c r="L290" s="14"/>
      <c r="M290" s="11"/>
      <c r="N290" s="12"/>
      <c r="O290" s="11"/>
      <c r="P290" s="11"/>
      <c r="Q290" s="1">
        <v>286</v>
      </c>
      <c r="R290" s="1"/>
      <c r="S290" s="3">
        <f>INDEX(Locations!$D$6:$D$455,MATCH(B290,Locations!$A$6:$A$455,0))</f>
        <v>42.7276958829164</v>
      </c>
      <c r="T290" s="3">
        <f>INDEX(Locations!$E$6:$E$455,MATCH(B290,Locations!$A$6:$A$455,0))</f>
        <v>-73.682460670412098</v>
      </c>
      <c r="U290" s="3">
        <f>INDEX(Locations!$D$6:$D$455,MATCH(C290,Locations!$A$6:$A$455,0))</f>
        <v>42.727225286618001</v>
      </c>
      <c r="V290" s="3">
        <f>INDEX(Locations!$E$6:$E$455,MATCH(C290,Locations!$A$6:$A$455,0))</f>
        <v>-73.680660665100504</v>
      </c>
    </row>
    <row r="291" spans="1:22" ht="23.1" customHeight="1">
      <c r="A291" s="1" t="s">
        <v>899</v>
      </c>
      <c r="B291" s="1" t="s">
        <v>356</v>
      </c>
      <c r="C291" s="1" t="s">
        <v>396</v>
      </c>
      <c r="D291" s="1" t="s">
        <v>612</v>
      </c>
      <c r="E291" s="13">
        <f t="shared" si="4"/>
        <v>12.673402608593346</v>
      </c>
      <c r="F291" s="11" t="s">
        <v>70</v>
      </c>
      <c r="G291" s="11" t="s">
        <v>69</v>
      </c>
      <c r="H291" s="11" t="s">
        <v>69</v>
      </c>
      <c r="I291" s="11" t="s">
        <v>69</v>
      </c>
      <c r="J291" s="11" t="s">
        <v>69</v>
      </c>
      <c r="K291" s="14"/>
      <c r="L291" s="14"/>
      <c r="M291" s="11"/>
      <c r="N291" s="12"/>
      <c r="O291" s="11"/>
      <c r="P291" s="11"/>
      <c r="Q291" s="1">
        <v>287</v>
      </c>
      <c r="R291" s="1"/>
      <c r="S291" s="3">
        <f>INDEX(Locations!$D$6:$D$455,MATCH(B291,Locations!$A$6:$A$455,0))</f>
        <v>42.728241901650897</v>
      </c>
      <c r="T291" s="3">
        <f>INDEX(Locations!$E$6:$E$455,MATCH(B291,Locations!$A$6:$A$455,0))</f>
        <v>-73.680280128084803</v>
      </c>
      <c r="U291" s="3">
        <f>INDEX(Locations!$D$6:$D$455,MATCH(C291,Locations!$A$6:$A$455,0))</f>
        <v>42.728301676333402</v>
      </c>
      <c r="V291" s="3">
        <f>INDEX(Locations!$E$6:$E$455,MATCH(C291,Locations!$A$6:$A$455,0))</f>
        <v>-73.680148022235699</v>
      </c>
    </row>
    <row r="292" spans="1:22" ht="23.1" customHeight="1">
      <c r="A292" s="1" t="s">
        <v>900</v>
      </c>
      <c r="B292" s="1" t="s">
        <v>355</v>
      </c>
      <c r="C292" s="1" t="s">
        <v>396</v>
      </c>
      <c r="D292" s="1" t="s">
        <v>612</v>
      </c>
      <c r="E292" s="13">
        <f t="shared" si="4"/>
        <v>16.582131251298826</v>
      </c>
      <c r="F292" s="11" t="s">
        <v>70</v>
      </c>
      <c r="G292" s="11" t="s">
        <v>69</v>
      </c>
      <c r="H292" s="11" t="s">
        <v>69</v>
      </c>
      <c r="I292" s="11" t="s">
        <v>69</v>
      </c>
      <c r="J292" s="11" t="s">
        <v>69</v>
      </c>
      <c r="K292" s="14"/>
      <c r="L292" s="14"/>
      <c r="M292" s="11"/>
      <c r="N292" s="12"/>
      <c r="O292" s="11"/>
      <c r="P292" s="11"/>
      <c r="Q292" s="1">
        <v>288</v>
      </c>
      <c r="R292" s="1"/>
      <c r="S292" s="3">
        <f>INDEX(Locations!$D$6:$D$455,MATCH(B292,Locations!$A$6:$A$455,0))</f>
        <v>42.7284373188822</v>
      </c>
      <c r="T292" s="3">
        <f>INDEX(Locations!$E$6:$E$455,MATCH(B292,Locations!$A$6:$A$455,0))</f>
        <v>-73.680232378982694</v>
      </c>
      <c r="U292" s="3">
        <f>INDEX(Locations!$D$6:$D$455,MATCH(C292,Locations!$A$6:$A$455,0))</f>
        <v>42.728301676333402</v>
      </c>
      <c r="V292" s="3">
        <f>INDEX(Locations!$E$6:$E$455,MATCH(C292,Locations!$A$6:$A$455,0))</f>
        <v>-73.680148022235699</v>
      </c>
    </row>
    <row r="293" spans="1:22" ht="23.1" customHeight="1">
      <c r="A293" s="1" t="s">
        <v>901</v>
      </c>
      <c r="B293" s="1" t="s">
        <v>397</v>
      </c>
      <c r="C293" s="1" t="s">
        <v>396</v>
      </c>
      <c r="D293" s="1" t="s">
        <v>612</v>
      </c>
      <c r="E293" s="13">
        <f t="shared" si="4"/>
        <v>125.03207641583876</v>
      </c>
      <c r="F293" s="11" t="s">
        <v>70</v>
      </c>
      <c r="G293" s="11" t="s">
        <v>69</v>
      </c>
      <c r="H293" s="11" t="s">
        <v>69</v>
      </c>
      <c r="I293" s="11" t="s">
        <v>69</v>
      </c>
      <c r="J293" s="11" t="s">
        <v>69</v>
      </c>
      <c r="K293" s="14"/>
      <c r="L293" s="14"/>
      <c r="M293" s="11"/>
      <c r="N293" s="12"/>
      <c r="O293" s="11"/>
      <c r="P293" s="11"/>
      <c r="Q293" s="1">
        <v>289</v>
      </c>
      <c r="R293" s="1"/>
      <c r="S293" s="3">
        <f>INDEX(Locations!$D$6:$D$455,MATCH(B293,Locations!$A$6:$A$455,0))</f>
        <v>42.728069474682101</v>
      </c>
      <c r="T293" s="3">
        <f>INDEX(Locations!$E$6:$E$455,MATCH(B293,Locations!$A$6:$A$455,0))</f>
        <v>-73.6786502920678</v>
      </c>
      <c r="U293" s="3">
        <f>INDEX(Locations!$D$6:$D$455,MATCH(C293,Locations!$A$6:$A$455,0))</f>
        <v>42.728301676333402</v>
      </c>
      <c r="V293" s="3">
        <f>INDEX(Locations!$E$6:$E$455,MATCH(C293,Locations!$A$6:$A$455,0))</f>
        <v>-73.680148022235699</v>
      </c>
    </row>
    <row r="294" spans="1:22" ht="23.1" customHeight="1">
      <c r="A294" s="1" t="s">
        <v>902</v>
      </c>
      <c r="B294" s="1" t="s">
        <v>399</v>
      </c>
      <c r="C294" s="1" t="s">
        <v>398</v>
      </c>
      <c r="D294" s="1" t="s">
        <v>612</v>
      </c>
      <c r="E294" s="13">
        <f t="shared" si="4"/>
        <v>15.142941723694953</v>
      </c>
      <c r="F294" s="11" t="s">
        <v>70</v>
      </c>
      <c r="G294" s="11" t="s">
        <v>69</v>
      </c>
      <c r="H294" s="11" t="s">
        <v>69</v>
      </c>
      <c r="I294" s="11" t="s">
        <v>69</v>
      </c>
      <c r="J294" s="11" t="s">
        <v>69</v>
      </c>
      <c r="K294" s="14"/>
      <c r="L294" s="14"/>
      <c r="M294" s="11"/>
      <c r="N294" s="12"/>
      <c r="O294" s="11"/>
      <c r="P294" s="11"/>
      <c r="Q294" s="1">
        <v>290</v>
      </c>
      <c r="R294" s="1"/>
      <c r="S294" s="3">
        <f>INDEX(Locations!$D$6:$D$455,MATCH(B294,Locations!$A$6:$A$455,0))</f>
        <v>42.727770601269498</v>
      </c>
      <c r="T294" s="3">
        <f>INDEX(Locations!$E$6:$E$455,MATCH(B294,Locations!$A$6:$A$455,0))</f>
        <v>-73.678768073186305</v>
      </c>
      <c r="U294" s="3">
        <f>INDEX(Locations!$D$6:$D$455,MATCH(C294,Locations!$A$6:$A$455,0))</f>
        <v>42.727893599173903</v>
      </c>
      <c r="V294" s="3">
        <f>INDEX(Locations!$E$6:$E$455,MATCH(C294,Locations!$A$6:$A$455,0))</f>
        <v>-73.678688491349504</v>
      </c>
    </row>
    <row r="295" spans="1:22" ht="23.1" customHeight="1">
      <c r="A295" s="1" t="s">
        <v>903</v>
      </c>
      <c r="B295" s="1" t="s">
        <v>397</v>
      </c>
      <c r="C295" s="1" t="s">
        <v>398</v>
      </c>
      <c r="D295" s="1" t="s">
        <v>612</v>
      </c>
      <c r="E295" s="13">
        <f t="shared" si="4"/>
        <v>19.803809920203793</v>
      </c>
      <c r="F295" s="11" t="s">
        <v>70</v>
      </c>
      <c r="G295" s="11" t="s">
        <v>69</v>
      </c>
      <c r="H295" s="11" t="s">
        <v>69</v>
      </c>
      <c r="I295" s="11" t="s">
        <v>69</v>
      </c>
      <c r="J295" s="11" t="s">
        <v>69</v>
      </c>
      <c r="K295" s="14"/>
      <c r="L295" s="14"/>
      <c r="M295" s="11"/>
      <c r="N295" s="12"/>
      <c r="O295" s="11"/>
      <c r="P295" s="11"/>
      <c r="Q295" s="1">
        <v>291</v>
      </c>
      <c r="R295" s="1"/>
      <c r="S295" s="3">
        <f>INDEX(Locations!$D$6:$D$455,MATCH(B295,Locations!$A$6:$A$455,0))</f>
        <v>42.728069474682101</v>
      </c>
      <c r="T295" s="3">
        <f>INDEX(Locations!$E$6:$E$455,MATCH(B295,Locations!$A$6:$A$455,0))</f>
        <v>-73.6786502920678</v>
      </c>
      <c r="U295" s="3">
        <f>INDEX(Locations!$D$6:$D$455,MATCH(C295,Locations!$A$6:$A$455,0))</f>
        <v>42.727893599173903</v>
      </c>
      <c r="V295" s="3">
        <f>INDEX(Locations!$E$6:$E$455,MATCH(C295,Locations!$A$6:$A$455,0))</f>
        <v>-73.678688491349504</v>
      </c>
    </row>
    <row r="296" spans="1:22" ht="23.1" customHeight="1">
      <c r="A296" s="1" t="s">
        <v>904</v>
      </c>
      <c r="B296" s="1" t="s">
        <v>399</v>
      </c>
      <c r="C296" s="1" t="s">
        <v>400</v>
      </c>
      <c r="D296" s="1" t="s">
        <v>612</v>
      </c>
      <c r="E296" s="13">
        <f t="shared" si="4"/>
        <v>69.454097088306469</v>
      </c>
      <c r="F296" s="11" t="s">
        <v>70</v>
      </c>
      <c r="G296" s="11" t="s">
        <v>69</v>
      </c>
      <c r="H296" s="11" t="s">
        <v>69</v>
      </c>
      <c r="I296" s="11" t="s">
        <v>69</v>
      </c>
      <c r="J296" s="11" t="s">
        <v>69</v>
      </c>
      <c r="K296" s="14"/>
      <c r="L296" s="14"/>
      <c r="M296" s="11"/>
      <c r="N296" s="12"/>
      <c r="O296" s="11"/>
      <c r="P296" s="11"/>
      <c r="Q296" s="1">
        <v>292</v>
      </c>
      <c r="R296" s="1"/>
      <c r="S296" s="3">
        <f>INDEX(Locations!$D$6:$D$455,MATCH(B296,Locations!$A$6:$A$455,0))</f>
        <v>42.727770601269498</v>
      </c>
      <c r="T296" s="3">
        <f>INDEX(Locations!$E$6:$E$455,MATCH(B296,Locations!$A$6:$A$455,0))</f>
        <v>-73.678768073186305</v>
      </c>
      <c r="U296" s="3">
        <f>INDEX(Locations!$D$6:$D$455,MATCH(C296,Locations!$A$6:$A$455,0))</f>
        <v>42.7278798050164</v>
      </c>
      <c r="V296" s="3">
        <f>INDEX(Locations!$E$6:$E$455,MATCH(C296,Locations!$A$6:$A$455,0))</f>
        <v>-73.679605274108994</v>
      </c>
    </row>
    <row r="297" spans="1:22" ht="23.1" customHeight="1">
      <c r="A297" s="1" t="s">
        <v>905</v>
      </c>
      <c r="B297" s="1" t="s">
        <v>401</v>
      </c>
      <c r="C297" s="1" t="s">
        <v>400</v>
      </c>
      <c r="D297" s="1" t="s">
        <v>612</v>
      </c>
      <c r="E297" s="13">
        <f t="shared" si="4"/>
        <v>32.072514002470413</v>
      </c>
      <c r="F297" s="11" t="s">
        <v>70</v>
      </c>
      <c r="G297" s="11" t="s">
        <v>69</v>
      </c>
      <c r="H297" s="11" t="s">
        <v>69</v>
      </c>
      <c r="I297" s="11" t="s">
        <v>69</v>
      </c>
      <c r="J297" s="11" t="s">
        <v>69</v>
      </c>
      <c r="K297" s="14"/>
      <c r="L297" s="14"/>
      <c r="M297" s="11"/>
      <c r="N297" s="12"/>
      <c r="O297" s="11"/>
      <c r="P297" s="11"/>
      <c r="Q297" s="1">
        <v>293</v>
      </c>
      <c r="R297" s="1"/>
      <c r="S297" s="3">
        <f>INDEX(Locations!$D$6:$D$455,MATCH(B297,Locations!$A$6:$A$455,0))</f>
        <v>42.728057979550798</v>
      </c>
      <c r="T297" s="3">
        <f>INDEX(Locations!$E$6:$E$455,MATCH(B297,Locations!$A$6:$A$455,0))</f>
        <v>-73.679914051635606</v>
      </c>
      <c r="U297" s="3">
        <f>INDEX(Locations!$D$6:$D$455,MATCH(C297,Locations!$A$6:$A$455,0))</f>
        <v>42.7278798050164</v>
      </c>
      <c r="V297" s="3">
        <f>INDEX(Locations!$E$6:$E$455,MATCH(C297,Locations!$A$6:$A$455,0))</f>
        <v>-73.679605274108994</v>
      </c>
    </row>
    <row r="298" spans="1:22" ht="23.1" customHeight="1">
      <c r="A298" s="1" t="s">
        <v>906</v>
      </c>
      <c r="B298" s="1" t="s">
        <v>402</v>
      </c>
      <c r="C298" s="1" t="s">
        <v>401</v>
      </c>
      <c r="D298" s="1" t="s">
        <v>612</v>
      </c>
      <c r="E298" s="13">
        <f t="shared" si="4"/>
        <v>36.510632545084384</v>
      </c>
      <c r="F298" s="11" t="s">
        <v>70</v>
      </c>
      <c r="G298" s="11" t="s">
        <v>69</v>
      </c>
      <c r="H298" s="11" t="s">
        <v>69</v>
      </c>
      <c r="I298" s="11" t="s">
        <v>69</v>
      </c>
      <c r="J298" s="11" t="s">
        <v>69</v>
      </c>
      <c r="K298" s="14"/>
      <c r="L298" s="14"/>
      <c r="M298" s="11"/>
      <c r="N298" s="12"/>
      <c r="O298" s="11"/>
      <c r="P298" s="11"/>
      <c r="Q298" s="1">
        <v>294</v>
      </c>
      <c r="R298" s="1"/>
      <c r="S298" s="3">
        <f>INDEX(Locations!$D$6:$D$455,MATCH(B298,Locations!$A$6:$A$455,0))</f>
        <v>42.728083268839598</v>
      </c>
      <c r="T298" s="3">
        <f>INDEX(Locations!$E$6:$E$455,MATCH(B298,Locations!$A$6:$A$455,0))</f>
        <v>-73.680359709921504</v>
      </c>
      <c r="U298" s="3">
        <f>INDEX(Locations!$D$6:$D$455,MATCH(C298,Locations!$A$6:$A$455,0))</f>
        <v>42.728057979550798</v>
      </c>
      <c r="V298" s="3">
        <f>INDEX(Locations!$E$6:$E$455,MATCH(C298,Locations!$A$6:$A$455,0))</f>
        <v>-73.679914051635606</v>
      </c>
    </row>
    <row r="299" spans="1:22" ht="23.1" customHeight="1">
      <c r="A299" s="1" t="s">
        <v>907</v>
      </c>
      <c r="B299" s="1" t="s">
        <v>356</v>
      </c>
      <c r="C299" s="1" t="s">
        <v>402</v>
      </c>
      <c r="D299" s="1" t="s">
        <v>612</v>
      </c>
      <c r="E299" s="13">
        <f t="shared" si="4"/>
        <v>18.798804107533353</v>
      </c>
      <c r="F299" s="11" t="s">
        <v>70</v>
      </c>
      <c r="G299" s="11" t="s">
        <v>69</v>
      </c>
      <c r="H299" s="11" t="s">
        <v>69</v>
      </c>
      <c r="I299" s="11" t="s">
        <v>69</v>
      </c>
      <c r="J299" s="11" t="s">
        <v>69</v>
      </c>
      <c r="K299" s="14"/>
      <c r="L299" s="14"/>
      <c r="M299" s="11"/>
      <c r="N299" s="12"/>
      <c r="O299" s="11"/>
      <c r="P299" s="11"/>
      <c r="Q299" s="1">
        <v>295</v>
      </c>
      <c r="R299" s="1"/>
      <c r="S299" s="3">
        <f>INDEX(Locations!$D$6:$D$455,MATCH(B299,Locations!$A$6:$A$455,0))</f>
        <v>42.728241901650897</v>
      </c>
      <c r="T299" s="3">
        <f>INDEX(Locations!$E$6:$E$455,MATCH(B299,Locations!$A$6:$A$455,0))</f>
        <v>-73.680280128084803</v>
      </c>
      <c r="U299" s="3">
        <f>INDEX(Locations!$D$6:$D$455,MATCH(C299,Locations!$A$6:$A$455,0))</f>
        <v>42.728083268839598</v>
      </c>
      <c r="V299" s="3">
        <f>INDEX(Locations!$E$6:$E$455,MATCH(C299,Locations!$A$6:$A$455,0))</f>
        <v>-73.680359709921504</v>
      </c>
    </row>
    <row r="300" spans="1:22" ht="23.1" customHeight="1">
      <c r="A300" s="1" t="s">
        <v>908</v>
      </c>
      <c r="B300" s="1" t="s">
        <v>181</v>
      </c>
      <c r="C300" s="1" t="s">
        <v>402</v>
      </c>
      <c r="D300" s="1" t="s">
        <v>612</v>
      </c>
      <c r="E300" s="13">
        <f t="shared" si="4"/>
        <v>98.519514164670355</v>
      </c>
      <c r="F300" s="11" t="s">
        <v>70</v>
      </c>
      <c r="G300" s="11" t="s">
        <v>69</v>
      </c>
      <c r="H300" s="11" t="s">
        <v>69</v>
      </c>
      <c r="I300" s="11" t="s">
        <v>69</v>
      </c>
      <c r="J300" s="11" t="s">
        <v>69</v>
      </c>
      <c r="K300" s="14"/>
      <c r="L300" s="14"/>
      <c r="M300" s="11"/>
      <c r="N300" s="12"/>
      <c r="O300" s="11"/>
      <c r="P300" s="11"/>
      <c r="Q300" s="1">
        <v>296</v>
      </c>
      <c r="R300" s="1"/>
      <c r="S300" s="3">
        <f>INDEX(Locations!$D$6:$D$455,MATCH(B300,Locations!$A$6:$A$455,0))</f>
        <v>42.727225286618001</v>
      </c>
      <c r="T300" s="3">
        <f>INDEX(Locations!$E$6:$E$455,MATCH(B300,Locations!$A$6:$A$455,0))</f>
        <v>-73.680660665100504</v>
      </c>
      <c r="U300" s="3">
        <f>INDEX(Locations!$D$6:$D$455,MATCH(C300,Locations!$A$6:$A$455,0))</f>
        <v>42.728083268839598</v>
      </c>
      <c r="V300" s="3">
        <f>INDEX(Locations!$E$6:$E$455,MATCH(C300,Locations!$A$6:$A$455,0))</f>
        <v>-73.680359709921504</v>
      </c>
    </row>
    <row r="301" spans="1:22" ht="23.1" customHeight="1">
      <c r="A301" s="1" t="s">
        <v>909</v>
      </c>
      <c r="B301" s="1" t="s">
        <v>403</v>
      </c>
      <c r="C301" s="1" t="s">
        <v>181</v>
      </c>
      <c r="D301" s="1" t="s">
        <v>612</v>
      </c>
      <c r="E301" s="13">
        <f t="shared" si="4"/>
        <v>210.74745389531898</v>
      </c>
      <c r="F301" s="11" t="s">
        <v>70</v>
      </c>
      <c r="G301" s="11" t="s">
        <v>69</v>
      </c>
      <c r="H301" s="11" t="s">
        <v>69</v>
      </c>
      <c r="I301" s="11" t="s">
        <v>69</v>
      </c>
      <c r="J301" s="11" t="s">
        <v>69</v>
      </c>
      <c r="K301" s="14"/>
      <c r="L301" s="14"/>
      <c r="M301" s="11"/>
      <c r="N301" s="12"/>
      <c r="O301" s="11"/>
      <c r="P301" s="11"/>
      <c r="Q301" s="1">
        <v>297</v>
      </c>
      <c r="R301" s="1"/>
      <c r="S301" s="3">
        <f>INDEX(Locations!$D$6:$D$455,MATCH(B301,Locations!$A$6:$A$455,0))</f>
        <v>42.7268509907693</v>
      </c>
      <c r="T301" s="3">
        <f>INDEX(Locations!$E$6:$E$455,MATCH(B301,Locations!$A$6:$A$455,0))</f>
        <v>-73.6781314184922</v>
      </c>
      <c r="U301" s="3">
        <f>INDEX(Locations!$D$6:$D$455,MATCH(C301,Locations!$A$6:$A$455,0))</f>
        <v>42.727225286618001</v>
      </c>
      <c r="V301" s="3">
        <f>INDEX(Locations!$E$6:$E$455,MATCH(C301,Locations!$A$6:$A$455,0))</f>
        <v>-73.680660665100504</v>
      </c>
    </row>
    <row r="302" spans="1:22" ht="23.1" customHeight="1">
      <c r="A302" s="1" t="s">
        <v>910</v>
      </c>
      <c r="B302" s="1" t="s">
        <v>361</v>
      </c>
      <c r="C302" s="1" t="s">
        <v>404</v>
      </c>
      <c r="D302" s="1" t="s">
        <v>612</v>
      </c>
      <c r="E302" s="13">
        <f t="shared" si="4"/>
        <v>20.359123609845614</v>
      </c>
      <c r="F302" s="11" t="s">
        <v>70</v>
      </c>
      <c r="G302" s="11" t="s">
        <v>69</v>
      </c>
      <c r="H302" s="11" t="s">
        <v>69</v>
      </c>
      <c r="I302" s="11" t="s">
        <v>69</v>
      </c>
      <c r="J302" s="11" t="s">
        <v>69</v>
      </c>
      <c r="K302" s="14"/>
      <c r="L302" s="14"/>
      <c r="M302" s="11"/>
      <c r="N302" s="12"/>
      <c r="O302" s="11"/>
      <c r="P302" s="11"/>
      <c r="Q302" s="1">
        <v>298</v>
      </c>
      <c r="R302" s="1"/>
      <c r="S302" s="3">
        <f>INDEX(Locations!$D$6:$D$455,MATCH(B302,Locations!$A$6:$A$455,0))</f>
        <v>42.727180901036199</v>
      </c>
      <c r="T302" s="3">
        <f>INDEX(Locations!$E$6:$E$455,MATCH(B302,Locations!$A$6:$A$455,0))</f>
        <v>-73.677319683757204</v>
      </c>
      <c r="U302" s="3">
        <f>INDEX(Locations!$D$6:$D$455,MATCH(C302,Locations!$A$6:$A$455,0))</f>
        <v>42.727057903131801</v>
      </c>
      <c r="V302" s="3">
        <f>INDEX(Locations!$E$6:$E$455,MATCH(C302,Locations!$A$6:$A$455,0))</f>
        <v>-73.677504313618499</v>
      </c>
    </row>
    <row r="303" spans="1:22" ht="23.1" customHeight="1">
      <c r="A303" s="1" t="s">
        <v>911</v>
      </c>
      <c r="B303" s="1" t="s">
        <v>354</v>
      </c>
      <c r="C303" s="1" t="s">
        <v>405</v>
      </c>
      <c r="D303" s="1" t="s">
        <v>612</v>
      </c>
      <c r="E303" s="13">
        <f t="shared" si="4"/>
        <v>36.474150338041255</v>
      </c>
      <c r="F303" s="11" t="s">
        <v>70</v>
      </c>
      <c r="G303" s="11" t="s">
        <v>69</v>
      </c>
      <c r="H303" s="11" t="s">
        <v>69</v>
      </c>
      <c r="I303" s="11" t="s">
        <v>69</v>
      </c>
      <c r="J303" s="11" t="s">
        <v>69</v>
      </c>
      <c r="K303" s="14"/>
      <c r="L303" s="14"/>
      <c r="M303" s="11"/>
      <c r="N303" s="12"/>
      <c r="O303" s="11"/>
      <c r="P303" s="11"/>
      <c r="Q303" s="1">
        <v>299</v>
      </c>
      <c r="R303" s="1"/>
      <c r="S303" s="3">
        <f>INDEX(Locations!$D$6:$D$455,MATCH(B303,Locations!$A$6:$A$455,0))</f>
        <v>42.727406205608801</v>
      </c>
      <c r="T303" s="3">
        <f>INDEX(Locations!$E$6:$E$455,MATCH(B303,Locations!$A$6:$A$455,0))</f>
        <v>-73.678067753022702</v>
      </c>
      <c r="U303" s="3">
        <f>INDEX(Locations!$D$6:$D$455,MATCH(C303,Locations!$A$6:$A$455,0))</f>
        <v>42.727078594368102</v>
      </c>
      <c r="V303" s="3">
        <f>INDEX(Locations!$E$6:$E$455,MATCH(C303,Locations!$A$6:$A$455,0))</f>
        <v>-73.678090035937004</v>
      </c>
    </row>
    <row r="304" spans="1:22" ht="23.1" customHeight="1">
      <c r="A304" s="1" t="s">
        <v>912</v>
      </c>
      <c r="B304" s="1" t="s">
        <v>403</v>
      </c>
      <c r="C304" s="1" t="s">
        <v>405</v>
      </c>
      <c r="D304" s="1" t="s">
        <v>612</v>
      </c>
      <c r="E304" s="13">
        <f t="shared" si="4"/>
        <v>25.533106721568185</v>
      </c>
      <c r="F304" s="11" t="s">
        <v>70</v>
      </c>
      <c r="G304" s="11" t="s">
        <v>69</v>
      </c>
      <c r="H304" s="11" t="s">
        <v>69</v>
      </c>
      <c r="I304" s="11" t="s">
        <v>69</v>
      </c>
      <c r="J304" s="11" t="s">
        <v>69</v>
      </c>
      <c r="K304" s="14"/>
      <c r="L304" s="14"/>
      <c r="M304" s="11"/>
      <c r="N304" s="12"/>
      <c r="O304" s="11"/>
      <c r="P304" s="11"/>
      <c r="Q304" s="1">
        <v>300</v>
      </c>
      <c r="R304" s="1"/>
      <c r="S304" s="3">
        <f>INDEX(Locations!$D$6:$D$455,MATCH(B304,Locations!$A$6:$A$455,0))</f>
        <v>42.7268509907693</v>
      </c>
      <c r="T304" s="3">
        <f>INDEX(Locations!$E$6:$E$455,MATCH(B304,Locations!$A$6:$A$455,0))</f>
        <v>-73.6781314184922</v>
      </c>
      <c r="U304" s="3">
        <f>INDEX(Locations!$D$6:$D$455,MATCH(C304,Locations!$A$6:$A$455,0))</f>
        <v>42.727078594368102</v>
      </c>
      <c r="V304" s="3">
        <f>INDEX(Locations!$E$6:$E$455,MATCH(C304,Locations!$A$6:$A$455,0))</f>
        <v>-73.678090035937004</v>
      </c>
    </row>
    <row r="305" spans="1:22" ht="23.1" customHeight="1">
      <c r="A305" s="1" t="s">
        <v>913</v>
      </c>
      <c r="B305" s="1" t="s">
        <v>404</v>
      </c>
      <c r="C305" s="1" t="s">
        <v>405</v>
      </c>
      <c r="D305" s="1" t="s">
        <v>612</v>
      </c>
      <c r="E305" s="13">
        <f t="shared" si="4"/>
        <v>47.898927262273141</v>
      </c>
      <c r="F305" s="11" t="s">
        <v>70</v>
      </c>
      <c r="G305" s="11" t="s">
        <v>69</v>
      </c>
      <c r="H305" s="11" t="s">
        <v>69</v>
      </c>
      <c r="I305" s="11" t="s">
        <v>69</v>
      </c>
      <c r="J305" s="11" t="s">
        <v>69</v>
      </c>
      <c r="K305" s="14"/>
      <c r="L305" s="14"/>
      <c r="M305" s="11"/>
      <c r="N305" s="12"/>
      <c r="O305" s="11"/>
      <c r="P305" s="11"/>
      <c r="Q305" s="1">
        <v>301</v>
      </c>
      <c r="R305" s="1"/>
      <c r="S305" s="3">
        <f>INDEX(Locations!$D$6:$D$455,MATCH(B305,Locations!$A$6:$A$455,0))</f>
        <v>42.727057903131801</v>
      </c>
      <c r="T305" s="3">
        <f>INDEX(Locations!$E$6:$E$455,MATCH(B305,Locations!$A$6:$A$455,0))</f>
        <v>-73.677504313618499</v>
      </c>
      <c r="U305" s="3">
        <f>INDEX(Locations!$D$6:$D$455,MATCH(C305,Locations!$A$6:$A$455,0))</f>
        <v>42.727078594368102</v>
      </c>
      <c r="V305" s="3">
        <f>INDEX(Locations!$E$6:$E$455,MATCH(C305,Locations!$A$6:$A$455,0))</f>
        <v>-73.678090035937004</v>
      </c>
    </row>
    <row r="306" spans="1:22" ht="23.1" customHeight="1">
      <c r="A306" s="1" t="s">
        <v>914</v>
      </c>
      <c r="B306" s="1" t="s">
        <v>403</v>
      </c>
      <c r="C306" s="1" t="s">
        <v>406</v>
      </c>
      <c r="D306" s="1" t="s">
        <v>612</v>
      </c>
      <c r="E306" s="13">
        <f t="shared" si="4"/>
        <v>124.26408812538047</v>
      </c>
      <c r="F306" s="11" t="s">
        <v>70</v>
      </c>
      <c r="G306" s="11" t="s">
        <v>69</v>
      </c>
      <c r="H306" s="11" t="s">
        <v>69</v>
      </c>
      <c r="I306" s="11" t="s">
        <v>69</v>
      </c>
      <c r="J306" s="11" t="s">
        <v>69</v>
      </c>
      <c r="K306" s="14"/>
      <c r="L306" s="14"/>
      <c r="M306" s="11"/>
      <c r="N306" s="12"/>
      <c r="O306" s="11"/>
      <c r="P306" s="11"/>
      <c r="Q306" s="1">
        <v>302</v>
      </c>
      <c r="R306" s="1"/>
      <c r="S306" s="3">
        <f>INDEX(Locations!$D$6:$D$455,MATCH(B306,Locations!$A$6:$A$455,0))</f>
        <v>42.7268509907693</v>
      </c>
      <c r="T306" s="3">
        <f>INDEX(Locations!$E$6:$E$455,MATCH(B306,Locations!$A$6:$A$455,0))</f>
        <v>-73.6781314184922</v>
      </c>
      <c r="U306" s="3">
        <f>INDEX(Locations!$D$6:$D$455,MATCH(C306,Locations!$A$6:$A$455,0))</f>
        <v>42.7257589533002</v>
      </c>
      <c r="V306" s="3">
        <f>INDEX(Locations!$E$6:$E$455,MATCH(C306,Locations!$A$6:$A$455,0))</f>
        <v>-73.678454520749398</v>
      </c>
    </row>
    <row r="307" spans="1:22" ht="23.1" customHeight="1">
      <c r="A307" s="1" t="s">
        <v>915</v>
      </c>
      <c r="B307" s="1" t="s">
        <v>369</v>
      </c>
      <c r="C307" s="1" t="s">
        <v>406</v>
      </c>
      <c r="D307" s="1" t="s">
        <v>612</v>
      </c>
      <c r="E307" s="13">
        <f t="shared" si="4"/>
        <v>262.88041221424328</v>
      </c>
      <c r="F307" s="11" t="s">
        <v>70</v>
      </c>
      <c r="G307" s="11" t="s">
        <v>69</v>
      </c>
      <c r="H307" s="11" t="s">
        <v>69</v>
      </c>
      <c r="I307" s="11" t="s">
        <v>69</v>
      </c>
      <c r="J307" s="11" t="s">
        <v>69</v>
      </c>
      <c r="K307" s="14"/>
      <c r="L307" s="14"/>
      <c r="M307" s="11"/>
      <c r="N307" s="12"/>
      <c r="O307" s="11"/>
      <c r="P307" s="11"/>
      <c r="Q307" s="1">
        <v>303</v>
      </c>
      <c r="R307" s="1"/>
      <c r="S307" s="3">
        <f>INDEX(Locations!$D$6:$D$455,MATCH(B307,Locations!$A$6:$A$455,0))</f>
        <v>42.725192243329403</v>
      </c>
      <c r="T307" s="3">
        <f>INDEX(Locations!$E$6:$E$455,MATCH(B307,Locations!$A$6:$A$455,0))</f>
        <v>-73.675330137838102</v>
      </c>
      <c r="U307" s="3">
        <f>INDEX(Locations!$D$6:$D$455,MATCH(C307,Locations!$A$6:$A$455,0))</f>
        <v>42.7257589533002</v>
      </c>
      <c r="V307" s="3">
        <f>INDEX(Locations!$E$6:$E$455,MATCH(C307,Locations!$A$6:$A$455,0))</f>
        <v>-73.678454520749398</v>
      </c>
    </row>
    <row r="308" spans="1:22" ht="23.1" customHeight="1">
      <c r="A308" s="1" t="s">
        <v>916</v>
      </c>
      <c r="B308" s="1" t="s">
        <v>255</v>
      </c>
      <c r="C308" s="1" t="s">
        <v>409</v>
      </c>
      <c r="D308" s="1" t="s">
        <v>612</v>
      </c>
      <c r="E308" s="13">
        <f t="shared" si="4"/>
        <v>132.42404543824659</v>
      </c>
      <c r="F308" s="11" t="s">
        <v>70</v>
      </c>
      <c r="G308" s="11" t="s">
        <v>69</v>
      </c>
      <c r="H308" s="11" t="s">
        <v>69</v>
      </c>
      <c r="I308" s="11" t="s">
        <v>69</v>
      </c>
      <c r="J308" s="11" t="s">
        <v>69</v>
      </c>
      <c r="K308" s="14"/>
      <c r="L308" s="14"/>
      <c r="M308" s="11"/>
      <c r="N308" s="12"/>
      <c r="O308" s="11"/>
      <c r="P308" s="11"/>
      <c r="Q308" s="1">
        <v>304</v>
      </c>
      <c r="R308" s="1"/>
      <c r="S308" s="3">
        <f>INDEX(Locations!$D$6:$D$455,MATCH(B308,Locations!$A$6:$A$455,0))</f>
        <v>42.728000503894599</v>
      </c>
      <c r="T308" s="3">
        <f>INDEX(Locations!$E$6:$E$455,MATCH(B308,Locations!$A$6:$A$455,0))</f>
        <v>-73.672879017265799</v>
      </c>
      <c r="U308" s="3">
        <f>INDEX(Locations!$D$6:$D$455,MATCH(C308,Locations!$A$6:$A$455,0))</f>
        <v>42.7268257014805</v>
      </c>
      <c r="V308" s="3">
        <f>INDEX(Locations!$E$6:$E$455,MATCH(C308,Locations!$A$6:$A$455,0))</f>
        <v>-73.673144820600598</v>
      </c>
    </row>
    <row r="309" spans="1:22" ht="23.1" customHeight="1">
      <c r="A309" s="1" t="s">
        <v>917</v>
      </c>
      <c r="B309" s="1" t="s">
        <v>408</v>
      </c>
      <c r="C309" s="1" t="s">
        <v>409</v>
      </c>
      <c r="D309" s="1" t="s">
        <v>612</v>
      </c>
      <c r="E309" s="13">
        <f t="shared" si="4"/>
        <v>31.311865140348946</v>
      </c>
      <c r="F309" s="11" t="s">
        <v>70</v>
      </c>
      <c r="G309" s="11" t="s">
        <v>69</v>
      </c>
      <c r="H309" s="11" t="s">
        <v>69</v>
      </c>
      <c r="I309" s="11" t="s">
        <v>69</v>
      </c>
      <c r="J309" s="11" t="s">
        <v>69</v>
      </c>
      <c r="K309" s="14"/>
      <c r="L309" s="14"/>
      <c r="M309" s="11"/>
      <c r="N309" s="12"/>
      <c r="O309" s="11"/>
      <c r="P309" s="11"/>
      <c r="Q309" s="1">
        <v>305</v>
      </c>
      <c r="R309" s="1"/>
      <c r="S309" s="3">
        <f>INDEX(Locations!$D$6:$D$455,MATCH(B309,Locations!$A$6:$A$455,0))</f>
        <v>42.726896971294302</v>
      </c>
      <c r="T309" s="3">
        <f>INDEX(Locations!$E$6:$E$455,MATCH(B309,Locations!$A$6:$A$455,0))</f>
        <v>-73.673515671959905</v>
      </c>
      <c r="U309" s="3">
        <f>INDEX(Locations!$D$6:$D$455,MATCH(C309,Locations!$A$6:$A$455,0))</f>
        <v>42.7268257014805</v>
      </c>
      <c r="V309" s="3">
        <f>INDEX(Locations!$E$6:$E$455,MATCH(C309,Locations!$A$6:$A$455,0))</f>
        <v>-73.673144820600598</v>
      </c>
    </row>
    <row r="310" spans="1:22" ht="23.1" customHeight="1">
      <c r="A310" s="1" t="s">
        <v>918</v>
      </c>
      <c r="B310" s="1" t="s">
        <v>407</v>
      </c>
      <c r="C310" s="1" t="s">
        <v>409</v>
      </c>
      <c r="D310" s="1" t="s">
        <v>612</v>
      </c>
      <c r="E310" s="13">
        <f t="shared" si="4"/>
        <v>219.66288568717098</v>
      </c>
      <c r="F310" s="11" t="s">
        <v>70</v>
      </c>
      <c r="G310" s="11" t="s">
        <v>69</v>
      </c>
      <c r="H310" s="11" t="s">
        <v>69</v>
      </c>
      <c r="I310" s="11" t="s">
        <v>69</v>
      </c>
      <c r="J310" s="11" t="s">
        <v>69</v>
      </c>
      <c r="K310" s="14"/>
      <c r="L310" s="14"/>
      <c r="M310" s="11"/>
      <c r="N310" s="12"/>
      <c r="O310" s="11"/>
      <c r="P310" s="11"/>
      <c r="Q310" s="1">
        <v>306</v>
      </c>
      <c r="R310" s="1"/>
      <c r="S310" s="3">
        <f>INDEX(Locations!$D$6:$D$455,MATCH(B310,Locations!$A$6:$A$455,0))</f>
        <v>42.724889921377503</v>
      </c>
      <c r="T310" s="3">
        <f>INDEX(Locations!$E$6:$E$455,MATCH(B310,Locations!$A$6:$A$455,0))</f>
        <v>-73.673681202180404</v>
      </c>
      <c r="U310" s="3">
        <f>INDEX(Locations!$D$6:$D$455,MATCH(C310,Locations!$A$6:$A$455,0))</f>
        <v>42.7268257014805</v>
      </c>
      <c r="V310" s="3">
        <f>INDEX(Locations!$E$6:$E$455,MATCH(C310,Locations!$A$6:$A$455,0))</f>
        <v>-73.673144820600598</v>
      </c>
    </row>
    <row r="311" spans="1:22" ht="23.1" customHeight="1">
      <c r="A311" s="1" t="s">
        <v>919</v>
      </c>
      <c r="B311" s="1" t="s">
        <v>369</v>
      </c>
      <c r="C311" s="1" t="s">
        <v>407</v>
      </c>
      <c r="D311" s="1" t="s">
        <v>612</v>
      </c>
      <c r="E311" s="13">
        <f t="shared" si="4"/>
        <v>138.82624945755813</v>
      </c>
      <c r="F311" s="11" t="s">
        <v>70</v>
      </c>
      <c r="G311" s="11" t="s">
        <v>69</v>
      </c>
      <c r="H311" s="11" t="s">
        <v>69</v>
      </c>
      <c r="I311" s="11" t="s">
        <v>69</v>
      </c>
      <c r="J311" s="11" t="s">
        <v>69</v>
      </c>
      <c r="K311" s="14"/>
      <c r="L311" s="14"/>
      <c r="M311" s="11"/>
      <c r="N311" s="12"/>
      <c r="O311" s="11"/>
      <c r="P311" s="11"/>
      <c r="Q311" s="1">
        <v>307</v>
      </c>
      <c r="R311" s="1"/>
      <c r="S311" s="3">
        <f>INDEX(Locations!$D$6:$D$455,MATCH(B311,Locations!$A$6:$A$455,0))</f>
        <v>42.725192243329403</v>
      </c>
      <c r="T311" s="3">
        <f>INDEX(Locations!$E$6:$E$455,MATCH(B311,Locations!$A$6:$A$455,0))</f>
        <v>-73.675330137838102</v>
      </c>
      <c r="U311" s="3">
        <f>INDEX(Locations!$D$6:$D$455,MATCH(C311,Locations!$A$6:$A$455,0))</f>
        <v>42.724889921377503</v>
      </c>
      <c r="V311" s="3">
        <f>INDEX(Locations!$E$6:$E$455,MATCH(C311,Locations!$A$6:$A$455,0))</f>
        <v>-73.673681202180404</v>
      </c>
    </row>
    <row r="312" spans="1:22" ht="23.1" customHeight="1">
      <c r="A312" s="1" t="s">
        <v>920</v>
      </c>
      <c r="B312" s="1" t="s">
        <v>266</v>
      </c>
      <c r="C312" s="1" t="s">
        <v>410</v>
      </c>
      <c r="D312" s="1" t="s">
        <v>612</v>
      </c>
      <c r="E312" s="13">
        <f t="shared" si="4"/>
        <v>33.888856214388845</v>
      </c>
      <c r="F312" s="11" t="s">
        <v>70</v>
      </c>
      <c r="G312" s="11" t="s">
        <v>69</v>
      </c>
      <c r="H312" s="11" t="s">
        <v>69</v>
      </c>
      <c r="I312" s="11" t="s">
        <v>69</v>
      </c>
      <c r="J312" s="11" t="s">
        <v>69</v>
      </c>
      <c r="K312" s="14"/>
      <c r="L312" s="14"/>
      <c r="M312" s="11"/>
      <c r="N312" s="12"/>
      <c r="O312" s="11"/>
      <c r="P312" s="11"/>
      <c r="Q312" s="1">
        <v>308</v>
      </c>
      <c r="R312" s="1"/>
      <c r="S312" s="3">
        <f>INDEX(Locations!$D$6:$D$455,MATCH(B312,Locations!$A$6:$A$455,0))</f>
        <v>42.727142967103099</v>
      </c>
      <c r="T312" s="3">
        <f>INDEX(Locations!$E$6:$E$455,MATCH(B312,Locations!$A$6:$A$455,0))</f>
        <v>-73.674286024139803</v>
      </c>
      <c r="U312" s="3">
        <f>INDEX(Locations!$D$6:$D$455,MATCH(C312,Locations!$A$6:$A$455,0))</f>
        <v>42.726888924702401</v>
      </c>
      <c r="V312" s="3">
        <f>INDEX(Locations!$E$6:$E$455,MATCH(C312,Locations!$A$6:$A$455,0))</f>
        <v>-73.674056828449906</v>
      </c>
    </row>
    <row r="313" spans="1:22" ht="23.1" customHeight="1">
      <c r="A313" s="1" t="s">
        <v>921</v>
      </c>
      <c r="B313" s="1" t="s">
        <v>366</v>
      </c>
      <c r="C313" s="1" t="s">
        <v>411</v>
      </c>
      <c r="D313" s="1" t="s">
        <v>612</v>
      </c>
      <c r="E313" s="13">
        <f t="shared" si="4"/>
        <v>83.343267849543949</v>
      </c>
      <c r="F313" s="11" t="s">
        <v>70</v>
      </c>
      <c r="G313" s="11" t="s">
        <v>69</v>
      </c>
      <c r="H313" s="11" t="s">
        <v>69</v>
      </c>
      <c r="I313" s="11" t="s">
        <v>69</v>
      </c>
      <c r="J313" s="11" t="s">
        <v>69</v>
      </c>
      <c r="K313" s="14"/>
      <c r="L313" s="14"/>
      <c r="M313" s="11"/>
      <c r="N313" s="12"/>
      <c r="O313" s="11"/>
      <c r="P313" s="11"/>
      <c r="Q313" s="1">
        <v>309</v>
      </c>
      <c r="R313" s="1"/>
      <c r="S313" s="3">
        <f>INDEX(Locations!$D$6:$D$455,MATCH(B313,Locations!$A$6:$A$455,0))</f>
        <v>42.7270199691987</v>
      </c>
      <c r="T313" s="3">
        <f>INDEX(Locations!$E$6:$E$455,MATCH(B313,Locations!$A$6:$A$455,0))</f>
        <v>-73.675354012389107</v>
      </c>
      <c r="U313" s="3">
        <f>INDEX(Locations!$D$6:$D$455,MATCH(C313,Locations!$A$6:$A$455,0))</f>
        <v>42.7268532897955</v>
      </c>
      <c r="V313" s="3">
        <f>INDEX(Locations!$E$6:$E$455,MATCH(C313,Locations!$A$6:$A$455,0))</f>
        <v>-73.674359239429606</v>
      </c>
    </row>
    <row r="314" spans="1:22" ht="23.1" customHeight="1">
      <c r="A314" s="1" t="s">
        <v>922</v>
      </c>
      <c r="B314" s="1" t="s">
        <v>410</v>
      </c>
      <c r="C314" s="1" t="s">
        <v>411</v>
      </c>
      <c r="D314" s="1" t="s">
        <v>612</v>
      </c>
      <c r="E314" s="13">
        <f t="shared" si="4"/>
        <v>25.01774289873147</v>
      </c>
      <c r="F314" s="11" t="s">
        <v>70</v>
      </c>
      <c r="G314" s="11" t="s">
        <v>69</v>
      </c>
      <c r="H314" s="11" t="s">
        <v>69</v>
      </c>
      <c r="I314" s="11" t="s">
        <v>69</v>
      </c>
      <c r="J314" s="11" t="s">
        <v>69</v>
      </c>
      <c r="K314" s="14"/>
      <c r="L314" s="14"/>
      <c r="M314" s="11"/>
      <c r="N314" s="12"/>
      <c r="O314" s="11"/>
      <c r="P314" s="11"/>
      <c r="Q314" s="1">
        <v>310</v>
      </c>
      <c r="R314" s="1"/>
      <c r="S314" s="3">
        <f>INDEX(Locations!$D$6:$D$455,MATCH(B314,Locations!$A$6:$A$455,0))</f>
        <v>42.726888924702401</v>
      </c>
      <c r="T314" s="3">
        <f>INDEX(Locations!$E$6:$E$455,MATCH(B314,Locations!$A$6:$A$455,0))</f>
        <v>-73.674056828449906</v>
      </c>
      <c r="U314" s="3">
        <f>INDEX(Locations!$D$6:$D$455,MATCH(C314,Locations!$A$6:$A$455,0))</f>
        <v>42.7268532897955</v>
      </c>
      <c r="V314" s="3">
        <f>INDEX(Locations!$E$6:$E$455,MATCH(C314,Locations!$A$6:$A$455,0))</f>
        <v>-73.674359239429606</v>
      </c>
    </row>
    <row r="315" spans="1:22" ht="23.1" customHeight="1">
      <c r="A315" s="1" t="s">
        <v>923</v>
      </c>
      <c r="B315" s="1" t="s">
        <v>261</v>
      </c>
      <c r="C315" s="1" t="s">
        <v>415</v>
      </c>
      <c r="D315" s="1" t="s">
        <v>612</v>
      </c>
      <c r="E315" s="13">
        <f t="shared" si="4"/>
        <v>8.3042871227277306</v>
      </c>
      <c r="F315" s="11" t="s">
        <v>70</v>
      </c>
      <c r="G315" s="11" t="s">
        <v>69</v>
      </c>
      <c r="H315" s="11" t="s">
        <v>69</v>
      </c>
      <c r="I315" s="11" t="s">
        <v>69</v>
      </c>
      <c r="J315" s="11" t="s">
        <v>69</v>
      </c>
      <c r="K315" s="14"/>
      <c r="L315" s="14"/>
      <c r="M315" s="11"/>
      <c r="N315" s="12"/>
      <c r="O315" s="11"/>
      <c r="P315" s="11"/>
      <c r="Q315" s="1">
        <v>311</v>
      </c>
      <c r="R315" s="1"/>
      <c r="S315" s="3">
        <f>INDEX(Locations!$D$6:$D$455,MATCH(B315,Locations!$A$6:$A$455,0))</f>
        <v>42.727916589436397</v>
      </c>
      <c r="T315" s="3">
        <f>INDEX(Locations!$E$6:$E$455,MATCH(B315,Locations!$A$6:$A$455,0))</f>
        <v>-73.674703032964402</v>
      </c>
      <c r="U315" s="3">
        <f>INDEX(Locations!$D$6:$D$455,MATCH(C315,Locations!$A$6:$A$455,0))</f>
        <v>42.727853366214497</v>
      </c>
      <c r="V315" s="3">
        <f>INDEX(Locations!$E$6:$E$455,MATCH(C315,Locations!$A$6:$A$455,0))</f>
        <v>-73.674648917315395</v>
      </c>
    </row>
    <row r="316" spans="1:22" ht="23.1" customHeight="1">
      <c r="A316" s="1" t="s">
        <v>924</v>
      </c>
      <c r="B316" s="1" t="s">
        <v>413</v>
      </c>
      <c r="C316" s="1" t="s">
        <v>415</v>
      </c>
      <c r="D316" s="1" t="s">
        <v>612</v>
      </c>
      <c r="E316" s="13">
        <f t="shared" si="4"/>
        <v>75.481414622700498</v>
      </c>
      <c r="F316" s="11" t="s">
        <v>70</v>
      </c>
      <c r="G316" s="11" t="s">
        <v>69</v>
      </c>
      <c r="H316" s="11" t="s">
        <v>69</v>
      </c>
      <c r="I316" s="11" t="s">
        <v>69</v>
      </c>
      <c r="J316" s="11" t="s">
        <v>69</v>
      </c>
      <c r="K316" s="14"/>
      <c r="L316" s="14"/>
      <c r="M316" s="11"/>
      <c r="N316" s="12"/>
      <c r="O316" s="11"/>
      <c r="P316" s="11"/>
      <c r="Q316" s="1">
        <v>312</v>
      </c>
      <c r="R316" s="1"/>
      <c r="S316" s="3">
        <f>INDEX(Locations!$D$6:$D$455,MATCH(B316,Locations!$A$6:$A$455,0))</f>
        <v>42.727598174300702</v>
      </c>
      <c r="T316" s="3">
        <f>INDEX(Locations!$E$6:$E$455,MATCH(B316,Locations!$A$6:$A$455,0))</f>
        <v>-73.675505217879007</v>
      </c>
      <c r="U316" s="3">
        <f>INDEX(Locations!$D$6:$D$455,MATCH(C316,Locations!$A$6:$A$455,0))</f>
        <v>42.727853366214497</v>
      </c>
      <c r="V316" s="3">
        <f>INDEX(Locations!$E$6:$E$455,MATCH(C316,Locations!$A$6:$A$455,0))</f>
        <v>-73.674648917315395</v>
      </c>
    </row>
    <row r="317" spans="1:22" ht="23.1" customHeight="1">
      <c r="A317" s="1" t="s">
        <v>925</v>
      </c>
      <c r="B317" s="1" t="s">
        <v>264</v>
      </c>
      <c r="C317" s="1" t="s">
        <v>415</v>
      </c>
      <c r="D317" s="1" t="s">
        <v>612</v>
      </c>
      <c r="E317" s="13">
        <f t="shared" si="4"/>
        <v>45.70573471580596</v>
      </c>
      <c r="F317" s="11" t="s">
        <v>70</v>
      </c>
      <c r="G317" s="11" t="s">
        <v>69</v>
      </c>
      <c r="H317" s="11" t="s">
        <v>69</v>
      </c>
      <c r="I317" s="11" t="s">
        <v>69</v>
      </c>
      <c r="J317" s="11" t="s">
        <v>69</v>
      </c>
      <c r="K317" s="14"/>
      <c r="L317" s="14"/>
      <c r="M317" s="11"/>
      <c r="N317" s="12"/>
      <c r="O317" s="11"/>
      <c r="P317" s="11"/>
      <c r="Q317" s="1">
        <v>313</v>
      </c>
      <c r="R317" s="1"/>
      <c r="S317" s="3">
        <f>INDEX(Locations!$D$6:$D$455,MATCH(B317,Locations!$A$6:$A$455,0))</f>
        <v>42.727444139541902</v>
      </c>
      <c r="T317" s="3">
        <f>INDEX(Locations!$E$6:$E$455,MATCH(B317,Locations!$A$6:$A$455,0))</f>
        <v>-73.674701441327699</v>
      </c>
      <c r="U317" s="3">
        <f>INDEX(Locations!$D$6:$D$455,MATCH(C317,Locations!$A$6:$A$455,0))</f>
        <v>42.727853366214497</v>
      </c>
      <c r="V317" s="3">
        <f>INDEX(Locations!$E$6:$E$455,MATCH(C317,Locations!$A$6:$A$455,0))</f>
        <v>-73.674648917315395</v>
      </c>
    </row>
    <row r="318" spans="1:22" ht="23.1" customHeight="1">
      <c r="A318" s="1" t="s">
        <v>926</v>
      </c>
      <c r="B318" s="1" t="s">
        <v>413</v>
      </c>
      <c r="C318" s="1" t="s">
        <v>414</v>
      </c>
      <c r="D318" s="1" t="s">
        <v>612</v>
      </c>
      <c r="E318" s="13">
        <f t="shared" si="4"/>
        <v>60.300075729710528</v>
      </c>
      <c r="F318" s="11" t="s">
        <v>70</v>
      </c>
      <c r="G318" s="11" t="s">
        <v>69</v>
      </c>
      <c r="H318" s="11" t="s">
        <v>69</v>
      </c>
      <c r="I318" s="11" t="s">
        <v>69</v>
      </c>
      <c r="J318" s="11" t="s">
        <v>69</v>
      </c>
      <c r="K318" s="14"/>
      <c r="L318" s="14"/>
      <c r="M318" s="11"/>
      <c r="N318" s="12"/>
      <c r="O318" s="11"/>
      <c r="P318" s="11"/>
      <c r="Q318" s="1">
        <v>314</v>
      </c>
      <c r="R318" s="1"/>
      <c r="S318" s="3">
        <f>INDEX(Locations!$D$6:$D$455,MATCH(B318,Locations!$A$6:$A$455,0))</f>
        <v>42.727598174300702</v>
      </c>
      <c r="T318" s="3">
        <f>INDEX(Locations!$E$6:$E$455,MATCH(B318,Locations!$A$6:$A$455,0))</f>
        <v>-73.675505217879007</v>
      </c>
      <c r="U318" s="3">
        <f>INDEX(Locations!$D$6:$D$455,MATCH(C318,Locations!$A$6:$A$455,0))</f>
        <v>42.727057903131801</v>
      </c>
      <c r="V318" s="3">
        <f>INDEX(Locations!$E$6:$E$455,MATCH(C318,Locations!$A$6:$A$455,0))</f>
        <v>-73.675568883348404</v>
      </c>
    </row>
    <row r="319" spans="1:22" ht="23.1" customHeight="1">
      <c r="A319" s="1" t="s">
        <v>927</v>
      </c>
      <c r="B319" s="1" t="s">
        <v>366</v>
      </c>
      <c r="C319" s="1" t="s">
        <v>414</v>
      </c>
      <c r="D319" s="1" t="s">
        <v>612</v>
      </c>
      <c r="E319" s="13">
        <f t="shared" si="4"/>
        <v>18.05108528820988</v>
      </c>
      <c r="F319" s="11" t="s">
        <v>70</v>
      </c>
      <c r="G319" s="11" t="s">
        <v>69</v>
      </c>
      <c r="H319" s="11" t="s">
        <v>69</v>
      </c>
      <c r="I319" s="11" t="s">
        <v>69</v>
      </c>
      <c r="J319" s="11" t="s">
        <v>69</v>
      </c>
      <c r="K319" s="14"/>
      <c r="L319" s="14"/>
      <c r="M319" s="11"/>
      <c r="N319" s="12"/>
      <c r="O319" s="11"/>
      <c r="P319" s="11"/>
      <c r="Q319" s="1">
        <v>315</v>
      </c>
      <c r="R319" s="1"/>
      <c r="S319" s="3">
        <f>INDEX(Locations!$D$6:$D$455,MATCH(B319,Locations!$A$6:$A$455,0))</f>
        <v>42.7270199691987</v>
      </c>
      <c r="T319" s="3">
        <f>INDEX(Locations!$E$6:$E$455,MATCH(B319,Locations!$A$6:$A$455,0))</f>
        <v>-73.675354012389107</v>
      </c>
      <c r="U319" s="3">
        <f>INDEX(Locations!$D$6:$D$455,MATCH(C319,Locations!$A$6:$A$455,0))</f>
        <v>42.727057903131801</v>
      </c>
      <c r="V319" s="3">
        <f>INDEX(Locations!$E$6:$E$455,MATCH(C319,Locations!$A$6:$A$455,0))</f>
        <v>-73.675568883348404</v>
      </c>
    </row>
    <row r="320" spans="1:22" ht="23.1" customHeight="1">
      <c r="A320" s="1" t="s">
        <v>928</v>
      </c>
      <c r="B320" s="1" t="s">
        <v>416</v>
      </c>
      <c r="C320" s="1" t="s">
        <v>413</v>
      </c>
      <c r="D320" s="1" t="s">
        <v>667</v>
      </c>
      <c r="E320" s="13">
        <f t="shared" si="4"/>
        <v>31.135151467440512</v>
      </c>
      <c r="F320" s="11" t="s">
        <v>70</v>
      </c>
      <c r="G320" s="11" t="s">
        <v>69</v>
      </c>
      <c r="H320" s="11" t="s">
        <v>69</v>
      </c>
      <c r="I320" s="11" t="s">
        <v>69</v>
      </c>
      <c r="J320" s="11" t="s">
        <v>69</v>
      </c>
      <c r="K320" s="14"/>
      <c r="L320" s="14"/>
      <c r="M320" s="11"/>
      <c r="N320" s="12"/>
      <c r="O320" s="11"/>
      <c r="P320" s="11"/>
      <c r="Q320" s="1">
        <v>316</v>
      </c>
      <c r="R320" s="1"/>
      <c r="S320" s="3">
        <f>INDEX(Locations!$D$6:$D$455,MATCH(B320,Locations!$A$6:$A$455,0))</f>
        <v>42.727638407260102</v>
      </c>
      <c r="T320" s="3">
        <f>INDEX(Locations!$E$6:$E$455,MATCH(B320,Locations!$A$6:$A$455,0))</f>
        <v>-73.675882435785198</v>
      </c>
      <c r="U320" s="3">
        <f>INDEX(Locations!$D$6:$D$455,MATCH(C320,Locations!$A$6:$A$455,0))</f>
        <v>42.727598174300702</v>
      </c>
      <c r="V320" s="3">
        <f>INDEX(Locations!$E$6:$E$455,MATCH(C320,Locations!$A$6:$A$455,0))</f>
        <v>-73.675505217879007</v>
      </c>
    </row>
    <row r="321" spans="1:22" ht="23.1" customHeight="1">
      <c r="A321" s="1" t="s">
        <v>929</v>
      </c>
      <c r="B321" s="1" t="s">
        <v>416</v>
      </c>
      <c r="C321" s="1" t="s">
        <v>412</v>
      </c>
      <c r="D321" s="1" t="s">
        <v>612</v>
      </c>
      <c r="E321" s="13">
        <f t="shared" si="4"/>
        <v>76.866294082454615</v>
      </c>
      <c r="F321" s="11" t="s">
        <v>70</v>
      </c>
      <c r="G321" s="11" t="s">
        <v>69</v>
      </c>
      <c r="H321" s="11" t="s">
        <v>69</v>
      </c>
      <c r="I321" s="11" t="s">
        <v>69</v>
      </c>
      <c r="J321" s="11" t="s">
        <v>69</v>
      </c>
      <c r="K321" s="14"/>
      <c r="L321" s="14"/>
      <c r="M321" s="11"/>
      <c r="N321" s="12"/>
      <c r="O321" s="11"/>
      <c r="P321" s="11"/>
      <c r="Q321" s="1">
        <v>317</v>
      </c>
      <c r="R321" s="1"/>
      <c r="S321" s="3">
        <f>INDEX(Locations!$D$6:$D$455,MATCH(B321,Locations!$A$6:$A$455,0))</f>
        <v>42.727638407260102</v>
      </c>
      <c r="T321" s="3">
        <f>INDEX(Locations!$E$6:$E$455,MATCH(B321,Locations!$A$6:$A$455,0))</f>
        <v>-73.675882435785198</v>
      </c>
      <c r="U321" s="3">
        <f>INDEX(Locations!$D$6:$D$455,MATCH(C321,Locations!$A$6:$A$455,0))</f>
        <v>42.728290181202098</v>
      </c>
      <c r="V321" s="3">
        <f>INDEX(Locations!$E$6:$E$455,MATCH(C321,Locations!$A$6:$A$455,0))</f>
        <v>-73.676195988222105</v>
      </c>
    </row>
    <row r="322" spans="1:22" ht="23.1" customHeight="1">
      <c r="A322" s="1" t="s">
        <v>930</v>
      </c>
      <c r="B322" s="1" t="s">
        <v>349</v>
      </c>
      <c r="C322" s="1" t="s">
        <v>412</v>
      </c>
      <c r="D322" s="1" t="s">
        <v>612</v>
      </c>
      <c r="E322" s="13">
        <f t="shared" si="4"/>
        <v>45.802306868534814</v>
      </c>
      <c r="F322" s="11" t="s">
        <v>70</v>
      </c>
      <c r="G322" s="11" t="s">
        <v>69</v>
      </c>
      <c r="H322" s="11" t="s">
        <v>69</v>
      </c>
      <c r="I322" s="11" t="s">
        <v>69</v>
      </c>
      <c r="J322" s="11" t="s">
        <v>69</v>
      </c>
      <c r="K322" s="14"/>
      <c r="L322" s="14"/>
      <c r="M322" s="11"/>
      <c r="N322" s="12"/>
      <c r="O322" s="11"/>
      <c r="P322" s="11"/>
      <c r="Q322" s="1">
        <v>318</v>
      </c>
      <c r="R322" s="1"/>
      <c r="S322" s="3">
        <f>INDEX(Locations!$D$6:$D$455,MATCH(B322,Locations!$A$6:$A$455,0))</f>
        <v>42.728690211769703</v>
      </c>
      <c r="T322" s="3">
        <f>INDEX(Locations!$E$6:$E$455,MATCH(B322,Locations!$A$6:$A$455,0))</f>
        <v>-73.676062290736297</v>
      </c>
      <c r="U322" s="3">
        <f>INDEX(Locations!$D$6:$D$455,MATCH(C322,Locations!$A$6:$A$455,0))</f>
        <v>42.728290181202098</v>
      </c>
      <c r="V322" s="3">
        <f>INDEX(Locations!$E$6:$E$455,MATCH(C322,Locations!$A$6:$A$455,0))</f>
        <v>-73.676195988222105</v>
      </c>
    </row>
    <row r="323" spans="1:22" ht="23.1" customHeight="1">
      <c r="A323" s="1" t="s">
        <v>931</v>
      </c>
      <c r="B323" s="1" t="s">
        <v>418</v>
      </c>
      <c r="C323" s="1" t="s">
        <v>419</v>
      </c>
      <c r="D323" s="1" t="s">
        <v>612</v>
      </c>
      <c r="E323" s="13">
        <f t="shared" si="4"/>
        <v>50.717208250365459</v>
      </c>
      <c r="F323" s="11" t="s">
        <v>70</v>
      </c>
      <c r="G323" s="11" t="s">
        <v>69</v>
      </c>
      <c r="H323" s="11" t="s">
        <v>69</v>
      </c>
      <c r="I323" s="11" t="s">
        <v>69</v>
      </c>
      <c r="J323" s="11" t="s">
        <v>69</v>
      </c>
      <c r="K323" s="14"/>
      <c r="L323" s="14"/>
      <c r="M323" s="11"/>
      <c r="N323" s="12"/>
      <c r="O323" s="11"/>
      <c r="P323" s="11"/>
      <c r="Q323" s="1">
        <v>319</v>
      </c>
      <c r="R323" s="1"/>
      <c r="S323" s="3">
        <f>INDEX(Locations!$D$6:$D$455,MATCH(B323,Locations!$A$6:$A$455,0))</f>
        <v>42.732115760883197</v>
      </c>
      <c r="T323" s="3">
        <f>INDEX(Locations!$E$6:$E$455,MATCH(B323,Locations!$A$6:$A$455,0))</f>
        <v>-73.681833565538398</v>
      </c>
      <c r="U323" s="3">
        <f>INDEX(Locations!$D$6:$D$455,MATCH(C323,Locations!$A$6:$A$455,0))</f>
        <v>42.731696188592402</v>
      </c>
      <c r="V323" s="3">
        <f>INDEX(Locations!$E$6:$E$455,MATCH(C323,Locations!$A$6:$A$455,0))</f>
        <v>-73.6815900451179</v>
      </c>
    </row>
    <row r="324" spans="1:22" ht="23.1" customHeight="1">
      <c r="A324" s="1" t="s">
        <v>932</v>
      </c>
      <c r="B324" s="1" t="s">
        <v>417</v>
      </c>
      <c r="C324" s="1" t="s">
        <v>420</v>
      </c>
      <c r="D324" s="1" t="s">
        <v>612</v>
      </c>
      <c r="E324" s="13">
        <f t="shared" si="4"/>
        <v>22.566855917394392</v>
      </c>
      <c r="F324" s="11" t="s">
        <v>70</v>
      </c>
      <c r="G324" s="11" t="s">
        <v>69</v>
      </c>
      <c r="H324" s="11" t="s">
        <v>69</v>
      </c>
      <c r="I324" s="11" t="s">
        <v>69</v>
      </c>
      <c r="J324" s="11" t="s">
        <v>69</v>
      </c>
      <c r="K324" s="14"/>
      <c r="L324" s="14"/>
      <c r="M324" s="11"/>
      <c r="N324" s="12"/>
      <c r="O324" s="11"/>
      <c r="P324" s="11"/>
      <c r="Q324" s="1">
        <v>320</v>
      </c>
      <c r="R324" s="1"/>
      <c r="S324" s="3">
        <f>INDEX(Locations!$D$6:$D$455,MATCH(B324,Locations!$A$6:$A$455,0))</f>
        <v>42.731429501547296</v>
      </c>
      <c r="T324" s="3">
        <f>INDEX(Locations!$E$6:$E$455,MATCH(B324,Locations!$A$6:$A$455,0))</f>
        <v>-73.681266942860603</v>
      </c>
      <c r="U324" s="3">
        <f>INDEX(Locations!$D$6:$D$455,MATCH(C324,Locations!$A$6:$A$455,0))</f>
        <v>42.731563994582999</v>
      </c>
      <c r="V324" s="3">
        <f>INDEX(Locations!$E$6:$E$455,MATCH(C324,Locations!$A$6:$A$455,0))</f>
        <v>-73.681473855636199</v>
      </c>
    </row>
    <row r="325" spans="1:22" ht="23.1" customHeight="1">
      <c r="A325" s="1" t="s">
        <v>933</v>
      </c>
      <c r="B325" s="1" t="s">
        <v>419</v>
      </c>
      <c r="C325" s="1" t="s">
        <v>420</v>
      </c>
      <c r="D325" s="1" t="s">
        <v>612</v>
      </c>
      <c r="E325" s="13">
        <f t="shared" si="4"/>
        <v>17.496572952273386</v>
      </c>
      <c r="F325" s="11" t="s">
        <v>70</v>
      </c>
      <c r="G325" s="11" t="s">
        <v>69</v>
      </c>
      <c r="H325" s="11" t="s">
        <v>69</v>
      </c>
      <c r="I325" s="11" t="s">
        <v>69</v>
      </c>
      <c r="J325" s="11" t="s">
        <v>69</v>
      </c>
      <c r="K325" s="14"/>
      <c r="L325" s="14"/>
      <c r="M325" s="11"/>
      <c r="N325" s="12"/>
      <c r="O325" s="11"/>
      <c r="P325" s="11"/>
      <c r="Q325" s="1">
        <v>321</v>
      </c>
      <c r="R325" s="1"/>
      <c r="S325" s="3">
        <f>INDEX(Locations!$D$6:$D$455,MATCH(B325,Locations!$A$6:$A$455,0))</f>
        <v>42.731696188592402</v>
      </c>
      <c r="T325" s="3">
        <f>INDEX(Locations!$E$6:$E$455,MATCH(B325,Locations!$A$6:$A$455,0))</f>
        <v>-73.6815900451179</v>
      </c>
      <c r="U325" s="3">
        <f>INDEX(Locations!$D$6:$D$455,MATCH(C325,Locations!$A$6:$A$455,0))</f>
        <v>42.731563994582999</v>
      </c>
      <c r="V325" s="3">
        <f>INDEX(Locations!$E$6:$E$455,MATCH(C325,Locations!$A$6:$A$455,0))</f>
        <v>-73.681473855636199</v>
      </c>
    </row>
    <row r="326" spans="1:22" ht="23.1" customHeight="1">
      <c r="A326" s="1" t="s">
        <v>934</v>
      </c>
      <c r="B326" s="1" t="s">
        <v>421</v>
      </c>
      <c r="C326" s="1" t="s">
        <v>420</v>
      </c>
      <c r="D326" s="1" t="s">
        <v>612</v>
      </c>
      <c r="E326" s="13">
        <f t="shared" ref="E326:E389" si="5">2*6371000*ASIN(SQRT(MIN(1,SIN(RADIANS(U326-S326)/2)^2+COS(RADIANS(S326))*COS(RADIANS(U326))*SIN(RADIANS(V326-T326)/2)^2)))</f>
        <v>12.326220815150062</v>
      </c>
      <c r="F326" s="11" t="s">
        <v>70</v>
      </c>
      <c r="G326" s="11" t="s">
        <v>69</v>
      </c>
      <c r="H326" s="11" t="s">
        <v>69</v>
      </c>
      <c r="I326" s="11" t="s">
        <v>69</v>
      </c>
      <c r="J326" s="11" t="s">
        <v>69</v>
      </c>
      <c r="K326" s="14"/>
      <c r="L326" s="14"/>
      <c r="M326" s="11"/>
      <c r="N326" s="12"/>
      <c r="O326" s="11"/>
      <c r="P326" s="11"/>
      <c r="Q326" s="1">
        <v>322</v>
      </c>
      <c r="R326" s="1"/>
      <c r="S326" s="3">
        <f>INDEX(Locations!$D$6:$D$455,MATCH(B326,Locations!$A$6:$A$455,0))</f>
        <v>42.731496173308599</v>
      </c>
      <c r="T326" s="3">
        <f>INDEX(Locations!$E$6:$E$455,MATCH(B326,Locations!$A$6:$A$455,0))</f>
        <v>-73.681593228391307</v>
      </c>
      <c r="U326" s="3">
        <f>INDEX(Locations!$D$6:$D$455,MATCH(C326,Locations!$A$6:$A$455,0))</f>
        <v>42.731563994582999</v>
      </c>
      <c r="V326" s="3">
        <f>INDEX(Locations!$E$6:$E$455,MATCH(C326,Locations!$A$6:$A$455,0))</f>
        <v>-73.681473855636199</v>
      </c>
    </row>
    <row r="327" spans="1:22" ht="23.1" customHeight="1">
      <c r="A327" s="1" t="s">
        <v>935</v>
      </c>
      <c r="B327" s="1" t="s">
        <v>89</v>
      </c>
      <c r="C327" s="1" t="s">
        <v>422</v>
      </c>
      <c r="D327" s="1" t="s">
        <v>612</v>
      </c>
      <c r="E327" s="13">
        <f t="shared" si="5"/>
        <v>12.254094638016753</v>
      </c>
      <c r="F327" s="11" t="s">
        <v>70</v>
      </c>
      <c r="G327" s="11" t="s">
        <v>69</v>
      </c>
      <c r="H327" s="11" t="s">
        <v>69</v>
      </c>
      <c r="I327" s="11" t="s">
        <v>69</v>
      </c>
      <c r="J327" s="11" t="s">
        <v>69</v>
      </c>
      <c r="K327" s="14"/>
      <c r="L327" s="14"/>
      <c r="M327" s="11"/>
      <c r="N327" s="12"/>
      <c r="O327" s="11"/>
      <c r="P327" s="11"/>
      <c r="Q327" s="1">
        <v>323</v>
      </c>
      <c r="R327" s="1"/>
      <c r="S327" s="3">
        <f>INDEX(Locations!$D$6:$D$455,MATCH(B327,Locations!$A$6:$A$455,0))</f>
        <v>42.731225310599697</v>
      </c>
      <c r="T327" s="3">
        <f>INDEX(Locations!$E$6:$E$455,MATCH(B327,Locations!$A$6:$A$455,0))</f>
        <v>-73.681762301392794</v>
      </c>
      <c r="U327" s="3">
        <f>INDEX(Locations!$D$6:$D$455,MATCH(C327,Locations!$A$6:$A$455,0))</f>
        <v>42.731228336750398</v>
      </c>
      <c r="V327" s="3">
        <f>INDEX(Locations!$E$6:$E$455,MATCH(C327,Locations!$A$6:$A$455,0))</f>
        <v>-73.681612328032202</v>
      </c>
    </row>
    <row r="328" spans="1:22" ht="23.1" customHeight="1">
      <c r="A328" s="1" t="s">
        <v>936</v>
      </c>
      <c r="B328" s="1" t="s">
        <v>421</v>
      </c>
      <c r="C328" s="1" t="s">
        <v>422</v>
      </c>
      <c r="D328" s="1" t="s">
        <v>612</v>
      </c>
      <c r="E328" s="13">
        <f t="shared" si="5"/>
        <v>29.822895814764653</v>
      </c>
      <c r="F328" s="11" t="s">
        <v>70</v>
      </c>
      <c r="G328" s="11" t="s">
        <v>69</v>
      </c>
      <c r="H328" s="11" t="s">
        <v>69</v>
      </c>
      <c r="I328" s="11" t="s">
        <v>69</v>
      </c>
      <c r="J328" s="11" t="s">
        <v>69</v>
      </c>
      <c r="K328" s="14"/>
      <c r="L328" s="14"/>
      <c r="M328" s="11"/>
      <c r="N328" s="12"/>
      <c r="O328" s="11"/>
      <c r="P328" s="11"/>
      <c r="Q328" s="1">
        <v>324</v>
      </c>
      <c r="R328" s="1"/>
      <c r="S328" s="3">
        <f>INDEX(Locations!$D$6:$D$455,MATCH(B328,Locations!$A$6:$A$455,0))</f>
        <v>42.731496173308599</v>
      </c>
      <c r="T328" s="3">
        <f>INDEX(Locations!$E$6:$E$455,MATCH(B328,Locations!$A$6:$A$455,0))</f>
        <v>-73.681593228391307</v>
      </c>
      <c r="U328" s="3">
        <f>INDEX(Locations!$D$6:$D$455,MATCH(C328,Locations!$A$6:$A$455,0))</f>
        <v>42.731228336750398</v>
      </c>
      <c r="V328" s="3">
        <f>INDEX(Locations!$E$6:$E$455,MATCH(C328,Locations!$A$6:$A$455,0))</f>
        <v>-73.681612328032202</v>
      </c>
    </row>
    <row r="329" spans="1:22" ht="23.1" customHeight="1">
      <c r="A329" s="1" t="s">
        <v>937</v>
      </c>
      <c r="B329" s="1" t="s">
        <v>418</v>
      </c>
      <c r="C329" s="1" t="s">
        <v>423</v>
      </c>
      <c r="D329" s="1" t="s">
        <v>612</v>
      </c>
      <c r="E329" s="13">
        <f t="shared" si="5"/>
        <v>71.243752486555607</v>
      </c>
      <c r="F329" s="11" t="s">
        <v>70</v>
      </c>
      <c r="G329" s="11" t="s">
        <v>69</v>
      </c>
      <c r="H329" s="11" t="s">
        <v>69</v>
      </c>
      <c r="I329" s="11" t="s">
        <v>69</v>
      </c>
      <c r="J329" s="11" t="s">
        <v>69</v>
      </c>
      <c r="K329" s="14"/>
      <c r="L329" s="14"/>
      <c r="M329" s="11"/>
      <c r="N329" s="12"/>
      <c r="O329" s="11"/>
      <c r="P329" s="11"/>
      <c r="Q329" s="1">
        <v>325</v>
      </c>
      <c r="R329" s="1"/>
      <c r="S329" s="3">
        <f>INDEX(Locations!$D$6:$D$455,MATCH(B329,Locations!$A$6:$A$455,0))</f>
        <v>42.732115760883197</v>
      </c>
      <c r="T329" s="3">
        <f>INDEX(Locations!$E$6:$E$455,MATCH(B329,Locations!$A$6:$A$455,0))</f>
        <v>-73.681833565538398</v>
      </c>
      <c r="U329" s="3">
        <f>INDEX(Locations!$D$6:$D$455,MATCH(C329,Locations!$A$6:$A$455,0))</f>
        <v>42.732108863804399</v>
      </c>
      <c r="V329" s="3">
        <f>INDEX(Locations!$E$6:$E$455,MATCH(C329,Locations!$A$6:$A$455,0))</f>
        <v>-73.682705782469299</v>
      </c>
    </row>
    <row r="330" spans="1:22" ht="23.1" customHeight="1">
      <c r="A330" s="1" t="s">
        <v>938</v>
      </c>
      <c r="B330" s="1" t="s">
        <v>424</v>
      </c>
      <c r="C330" s="1" t="s">
        <v>423</v>
      </c>
      <c r="D330" s="1" t="s">
        <v>612</v>
      </c>
      <c r="E330" s="13">
        <f t="shared" si="5"/>
        <v>45.903592143313546</v>
      </c>
      <c r="F330" s="11" t="s">
        <v>70</v>
      </c>
      <c r="G330" s="11" t="s">
        <v>69</v>
      </c>
      <c r="H330" s="11" t="s">
        <v>69</v>
      </c>
      <c r="I330" s="11" t="s">
        <v>69</v>
      </c>
      <c r="J330" s="11" t="s">
        <v>69</v>
      </c>
      <c r="K330" s="14"/>
      <c r="L330" s="14"/>
      <c r="M330" s="11"/>
      <c r="N330" s="12"/>
      <c r="O330" s="11"/>
      <c r="P330" s="11"/>
      <c r="Q330" s="1">
        <v>326</v>
      </c>
      <c r="R330" s="1"/>
      <c r="S330" s="3">
        <f>INDEX(Locations!$D$6:$D$455,MATCH(B330,Locations!$A$6:$A$455,0))</f>
        <v>42.731851372864298</v>
      </c>
      <c r="T330" s="3">
        <f>INDEX(Locations!$E$6:$E$455,MATCH(B330,Locations!$A$6:$A$455,0))</f>
        <v>-73.683145074208198</v>
      </c>
      <c r="U330" s="3">
        <f>INDEX(Locations!$D$6:$D$455,MATCH(C330,Locations!$A$6:$A$455,0))</f>
        <v>42.732108863804399</v>
      </c>
      <c r="V330" s="3">
        <f>INDEX(Locations!$E$6:$E$455,MATCH(C330,Locations!$A$6:$A$455,0))</f>
        <v>-73.682705782469299</v>
      </c>
    </row>
    <row r="331" spans="1:22" ht="23.1" customHeight="1">
      <c r="A331" s="1" t="s">
        <v>939</v>
      </c>
      <c r="B331" s="1" t="s">
        <v>424</v>
      </c>
      <c r="C331" s="1" t="s">
        <v>425</v>
      </c>
      <c r="D331" s="1" t="s">
        <v>612</v>
      </c>
      <c r="E331" s="13">
        <f t="shared" si="5"/>
        <v>45.499951614114643</v>
      </c>
      <c r="F331" s="11" t="s">
        <v>70</v>
      </c>
      <c r="G331" s="11" t="s">
        <v>69</v>
      </c>
      <c r="H331" s="11" t="s">
        <v>69</v>
      </c>
      <c r="I331" s="11" t="s">
        <v>69</v>
      </c>
      <c r="J331" s="11" t="s">
        <v>69</v>
      </c>
      <c r="K331" s="14"/>
      <c r="L331" s="14"/>
      <c r="M331" s="11"/>
      <c r="N331" s="12"/>
      <c r="O331" s="11"/>
      <c r="P331" s="11"/>
      <c r="Q331" s="1">
        <v>327</v>
      </c>
      <c r="R331" s="1"/>
      <c r="S331" s="3">
        <f>INDEX(Locations!$D$6:$D$455,MATCH(B331,Locations!$A$6:$A$455,0))</f>
        <v>42.731851372864298</v>
      </c>
      <c r="T331" s="3">
        <f>INDEX(Locations!$E$6:$E$455,MATCH(B331,Locations!$A$6:$A$455,0))</f>
        <v>-73.683145074208198</v>
      </c>
      <c r="U331" s="3">
        <f>INDEX(Locations!$D$6:$D$455,MATCH(C331,Locations!$A$6:$A$455,0))</f>
        <v>42.731851372864298</v>
      </c>
      <c r="V331" s="3">
        <f>INDEX(Locations!$E$6:$E$455,MATCH(C331,Locations!$A$6:$A$455,0))</f>
        <v>-73.682588001350894</v>
      </c>
    </row>
    <row r="332" spans="1:22" ht="23.1" customHeight="1">
      <c r="A332" s="1" t="s">
        <v>940</v>
      </c>
      <c r="B332" s="1" t="s">
        <v>421</v>
      </c>
      <c r="C332" s="1" t="s">
        <v>425</v>
      </c>
      <c r="D332" s="1" t="s">
        <v>612</v>
      </c>
      <c r="E332" s="13">
        <f t="shared" si="5"/>
        <v>90.34130271251432</v>
      </c>
      <c r="F332" s="11" t="s">
        <v>70</v>
      </c>
      <c r="G332" s="11" t="s">
        <v>69</v>
      </c>
      <c r="H332" s="11" t="s">
        <v>69</v>
      </c>
      <c r="I332" s="11" t="s">
        <v>69</v>
      </c>
      <c r="J332" s="11" t="s">
        <v>69</v>
      </c>
      <c r="K332" s="14"/>
      <c r="L332" s="14"/>
      <c r="M332" s="11"/>
      <c r="N332" s="12"/>
      <c r="O332" s="11"/>
      <c r="P332" s="11"/>
      <c r="Q332" s="1">
        <v>328</v>
      </c>
      <c r="R332" s="1"/>
      <c r="S332" s="3">
        <f>INDEX(Locations!$D$6:$D$455,MATCH(B332,Locations!$A$6:$A$455,0))</f>
        <v>42.731496173308599</v>
      </c>
      <c r="T332" s="3">
        <f>INDEX(Locations!$E$6:$E$455,MATCH(B332,Locations!$A$6:$A$455,0))</f>
        <v>-73.681593228391307</v>
      </c>
      <c r="U332" s="3">
        <f>INDEX(Locations!$D$6:$D$455,MATCH(C332,Locations!$A$6:$A$455,0))</f>
        <v>42.731851372864298</v>
      </c>
      <c r="V332" s="3">
        <f>INDEX(Locations!$E$6:$E$455,MATCH(C332,Locations!$A$6:$A$455,0))</f>
        <v>-73.682588001350894</v>
      </c>
    </row>
    <row r="333" spans="1:22" ht="23.1" customHeight="1">
      <c r="A333" s="1" t="s">
        <v>941</v>
      </c>
      <c r="B333" s="1" t="s">
        <v>424</v>
      </c>
      <c r="C333" s="1" t="s">
        <v>207</v>
      </c>
      <c r="D333" s="1" t="s">
        <v>612</v>
      </c>
      <c r="E333" s="13">
        <f t="shared" si="5"/>
        <v>16.536406217242611</v>
      </c>
      <c r="F333" s="11" t="s">
        <v>70</v>
      </c>
      <c r="G333" s="11" t="s">
        <v>69</v>
      </c>
      <c r="H333" s="11" t="s">
        <v>69</v>
      </c>
      <c r="I333" s="11" t="s">
        <v>69</v>
      </c>
      <c r="J333" s="11" t="s">
        <v>69</v>
      </c>
      <c r="K333" s="14"/>
      <c r="L333" s="14"/>
      <c r="M333" s="11"/>
      <c r="N333" s="12"/>
      <c r="O333" s="11"/>
      <c r="P333" s="11"/>
      <c r="Q333" s="1">
        <v>329</v>
      </c>
      <c r="R333" s="1"/>
      <c r="S333" s="3">
        <f>INDEX(Locations!$D$6:$D$455,MATCH(B333,Locations!$A$6:$A$455,0))</f>
        <v>42.731851372864298</v>
      </c>
      <c r="T333" s="3">
        <f>INDEX(Locations!$E$6:$E$455,MATCH(B333,Locations!$A$6:$A$455,0))</f>
        <v>-73.683145074208198</v>
      </c>
      <c r="U333" s="3">
        <f>INDEX(Locations!$D$6:$D$455,MATCH(C333,Locations!$A$6:$A$455,0))</f>
        <v>42.731704135048197</v>
      </c>
      <c r="V333" s="3">
        <f>INDEX(Locations!$E$6:$E$455,MATCH(C333,Locations!$A$6:$A$455,0))</f>
        <v>-73.6831166044322</v>
      </c>
    </row>
    <row r="334" spans="1:22" ht="23.1" customHeight="1">
      <c r="A334" s="1" t="s">
        <v>942</v>
      </c>
      <c r="B334" s="1" t="s">
        <v>426</v>
      </c>
      <c r="C334" s="1" t="s">
        <v>425</v>
      </c>
      <c r="D334" s="1" t="s">
        <v>612</v>
      </c>
      <c r="E334" s="13">
        <f t="shared" si="5"/>
        <v>45.184208307165022</v>
      </c>
      <c r="F334" s="11" t="s">
        <v>70</v>
      </c>
      <c r="G334" s="11" t="s">
        <v>69</v>
      </c>
      <c r="H334" s="11" t="s">
        <v>69</v>
      </c>
      <c r="I334" s="11" t="s">
        <v>69</v>
      </c>
      <c r="J334" s="11" t="s">
        <v>69</v>
      </c>
      <c r="K334" s="14"/>
      <c r="L334" s="14"/>
      <c r="M334" s="11"/>
      <c r="N334" s="12"/>
      <c r="O334" s="11"/>
      <c r="P334" s="11"/>
      <c r="Q334" s="1">
        <v>330</v>
      </c>
      <c r="R334" s="1"/>
      <c r="S334" s="3">
        <f>INDEX(Locations!$D$6:$D$455,MATCH(B334,Locations!$A$6:$A$455,0))</f>
        <v>42.731465136454197</v>
      </c>
      <c r="T334" s="3">
        <f>INDEX(Locations!$E$6:$E$455,MATCH(B334,Locations!$A$6:$A$455,0))</f>
        <v>-73.682759898118306</v>
      </c>
      <c r="U334" s="3">
        <f>INDEX(Locations!$D$6:$D$455,MATCH(C334,Locations!$A$6:$A$455,0))</f>
        <v>42.731851372864298</v>
      </c>
      <c r="V334" s="3">
        <f>INDEX(Locations!$E$6:$E$455,MATCH(C334,Locations!$A$6:$A$455,0))</f>
        <v>-73.682588001350894</v>
      </c>
    </row>
    <row r="335" spans="1:22" ht="23.1" customHeight="1">
      <c r="A335" s="1" t="s">
        <v>943</v>
      </c>
      <c r="B335" s="1" t="s">
        <v>421</v>
      </c>
      <c r="C335" s="1" t="s">
        <v>426</v>
      </c>
      <c r="D335" s="1" t="s">
        <v>612</v>
      </c>
      <c r="E335" s="13">
        <f t="shared" si="5"/>
        <v>95.352942852904164</v>
      </c>
      <c r="F335" s="11" t="s">
        <v>70</v>
      </c>
      <c r="G335" s="11" t="s">
        <v>69</v>
      </c>
      <c r="H335" s="11" t="s">
        <v>69</v>
      </c>
      <c r="I335" s="11" t="s">
        <v>69</v>
      </c>
      <c r="J335" s="11" t="s">
        <v>69</v>
      </c>
      <c r="K335" s="14"/>
      <c r="L335" s="14"/>
      <c r="M335" s="11"/>
      <c r="N335" s="12"/>
      <c r="O335" s="11"/>
      <c r="P335" s="11"/>
      <c r="Q335" s="1">
        <v>331</v>
      </c>
      <c r="R335" s="1"/>
      <c r="S335" s="3">
        <f>INDEX(Locations!$D$6:$D$455,MATCH(B335,Locations!$A$6:$A$455,0))</f>
        <v>42.731496173308599</v>
      </c>
      <c r="T335" s="3">
        <f>INDEX(Locations!$E$6:$E$455,MATCH(B335,Locations!$A$6:$A$455,0))</f>
        <v>-73.681593228391307</v>
      </c>
      <c r="U335" s="3">
        <f>INDEX(Locations!$D$6:$D$455,MATCH(C335,Locations!$A$6:$A$455,0))</f>
        <v>42.731465136454197</v>
      </c>
      <c r="V335" s="3">
        <f>INDEX(Locations!$E$6:$E$455,MATCH(C335,Locations!$A$6:$A$455,0))</f>
        <v>-73.682759898118306</v>
      </c>
    </row>
    <row r="336" spans="1:22" ht="23.1" customHeight="1">
      <c r="A336" s="1" t="s">
        <v>944</v>
      </c>
      <c r="B336" s="1" t="s">
        <v>430</v>
      </c>
      <c r="C336" s="1" t="s">
        <v>373</v>
      </c>
      <c r="D336" s="1" t="s">
        <v>612</v>
      </c>
      <c r="E336" s="13">
        <f t="shared" si="5"/>
        <v>18.366343587843843</v>
      </c>
      <c r="F336" s="11" t="s">
        <v>70</v>
      </c>
      <c r="G336" s="11" t="s">
        <v>69</v>
      </c>
      <c r="H336" s="11" t="s">
        <v>69</v>
      </c>
      <c r="I336" s="11" t="s">
        <v>69</v>
      </c>
      <c r="J336" s="11" t="s">
        <v>69</v>
      </c>
      <c r="K336" s="14"/>
      <c r="L336" s="14"/>
      <c r="M336" s="11"/>
      <c r="N336" s="12"/>
      <c r="O336" s="11"/>
      <c r="P336" s="11"/>
      <c r="Q336" s="1">
        <v>332</v>
      </c>
      <c r="R336" s="1"/>
      <c r="S336" s="3">
        <f>INDEX(Locations!$D$6:$D$455,MATCH(B336,Locations!$A$6:$A$455,0))</f>
        <v>42.7309616497053</v>
      </c>
      <c r="T336" s="3">
        <f>INDEX(Locations!$E$6:$E$455,MATCH(B336,Locations!$A$6:$A$455,0))</f>
        <v>-73.683358353530707</v>
      </c>
      <c r="U336" s="3">
        <f>INDEX(Locations!$D$6:$D$455,MATCH(C336,Locations!$A$6:$A$455,0))</f>
        <v>42.730807614946599</v>
      </c>
      <c r="V336" s="3">
        <f>INDEX(Locations!$E$6:$E$455,MATCH(C336,Locations!$A$6:$A$455,0))</f>
        <v>-73.683439527004296</v>
      </c>
    </row>
    <row r="337" spans="1:22" ht="23.1" customHeight="1">
      <c r="A337" s="1" t="s">
        <v>945</v>
      </c>
      <c r="B337" s="1" t="s">
        <v>163</v>
      </c>
      <c r="C337" s="1" t="s">
        <v>430</v>
      </c>
      <c r="D337" s="1" t="s">
        <v>612</v>
      </c>
      <c r="E337" s="13">
        <f t="shared" si="5"/>
        <v>9.8698845842323646</v>
      </c>
      <c r="F337" s="11" t="s">
        <v>70</v>
      </c>
      <c r="G337" s="11" t="s">
        <v>69</v>
      </c>
      <c r="H337" s="11" t="s">
        <v>69</v>
      </c>
      <c r="I337" s="11" t="s">
        <v>69</v>
      </c>
      <c r="J337" s="11" t="s">
        <v>69</v>
      </c>
      <c r="K337" s="14"/>
      <c r="L337" s="14"/>
      <c r="M337" s="11"/>
      <c r="N337" s="12"/>
      <c r="O337" s="11"/>
      <c r="P337" s="11"/>
      <c r="Q337" s="1">
        <v>333</v>
      </c>
      <c r="R337" s="1"/>
      <c r="S337" s="3">
        <f>INDEX(Locations!$D$6:$D$455,MATCH(B337,Locations!$A$6:$A$455,0))</f>
        <v>42.731050009322999</v>
      </c>
      <c r="T337" s="3">
        <f>INDEX(Locations!$E$6:$E$455,MATCH(B337,Locations!$A$6:$A$455,0))</f>
        <v>-73.683346860414602</v>
      </c>
      <c r="U337" s="3">
        <f>INDEX(Locations!$D$6:$D$455,MATCH(C337,Locations!$A$6:$A$455,0))</f>
        <v>42.7309616497053</v>
      </c>
      <c r="V337" s="3">
        <f>INDEX(Locations!$E$6:$E$455,MATCH(C337,Locations!$A$6:$A$455,0))</f>
        <v>-73.683358353530707</v>
      </c>
    </row>
    <row r="338" spans="1:22" ht="23.1" customHeight="1">
      <c r="A338" s="1" t="s">
        <v>946</v>
      </c>
      <c r="B338" s="1" t="s">
        <v>429</v>
      </c>
      <c r="C338" s="1" t="s">
        <v>430</v>
      </c>
      <c r="D338" s="1" t="s">
        <v>612</v>
      </c>
      <c r="E338" s="13">
        <f t="shared" si="5"/>
        <v>21.064086608265423</v>
      </c>
      <c r="F338" s="11" t="s">
        <v>70</v>
      </c>
      <c r="G338" s="11" t="s">
        <v>69</v>
      </c>
      <c r="H338" s="11" t="s">
        <v>69</v>
      </c>
      <c r="I338" s="11" t="s">
        <v>69</v>
      </c>
      <c r="J338" s="11" t="s">
        <v>69</v>
      </c>
      <c r="K338" s="14"/>
      <c r="L338" s="14"/>
      <c r="M338" s="11"/>
      <c r="N338" s="12"/>
      <c r="O338" s="11"/>
      <c r="P338" s="11"/>
      <c r="Q338" s="1">
        <v>334</v>
      </c>
      <c r="R338" s="1"/>
      <c r="S338" s="3">
        <f>INDEX(Locations!$D$6:$D$455,MATCH(B338,Locations!$A$6:$A$455,0))</f>
        <v>42.730991537046599</v>
      </c>
      <c r="T338" s="3">
        <f>INDEX(Locations!$E$6:$E$455,MATCH(B338,Locations!$A$6:$A$455,0))</f>
        <v>-73.683103691653102</v>
      </c>
      <c r="U338" s="3">
        <f>INDEX(Locations!$D$6:$D$455,MATCH(C338,Locations!$A$6:$A$455,0))</f>
        <v>42.7309616497053</v>
      </c>
      <c r="V338" s="3">
        <f>INDEX(Locations!$E$6:$E$455,MATCH(C338,Locations!$A$6:$A$455,0))</f>
        <v>-73.683358353530707</v>
      </c>
    </row>
    <row r="339" spans="1:22" ht="23.1" customHeight="1">
      <c r="A339" s="1" t="s">
        <v>947</v>
      </c>
      <c r="B339" s="1" t="s">
        <v>428</v>
      </c>
      <c r="C339" s="1" t="s">
        <v>429</v>
      </c>
      <c r="D339" s="1" t="s">
        <v>612</v>
      </c>
      <c r="E339" s="13">
        <f t="shared" si="5"/>
        <v>24.854114420091982</v>
      </c>
      <c r="F339" s="11" t="s">
        <v>70</v>
      </c>
      <c r="G339" s="11" t="s">
        <v>69</v>
      </c>
      <c r="H339" s="11" t="s">
        <v>69</v>
      </c>
      <c r="I339" s="11" t="s">
        <v>69</v>
      </c>
      <c r="J339" s="11" t="s">
        <v>69</v>
      </c>
      <c r="K339" s="14"/>
      <c r="L339" s="14"/>
      <c r="M339" s="11"/>
      <c r="N339" s="12"/>
      <c r="O339" s="11"/>
      <c r="P339" s="11"/>
      <c r="Q339" s="1">
        <v>335</v>
      </c>
      <c r="R339" s="1"/>
      <c r="S339" s="3">
        <f>INDEX(Locations!$D$6:$D$455,MATCH(B339,Locations!$A$6:$A$455,0))</f>
        <v>42.731161664989102</v>
      </c>
      <c r="T339" s="3">
        <f>INDEX(Locations!$E$6:$E$455,MATCH(B339,Locations!$A$6:$A$455,0))</f>
        <v>-73.682906328697896</v>
      </c>
      <c r="U339" s="3">
        <f>INDEX(Locations!$D$6:$D$455,MATCH(C339,Locations!$A$6:$A$455,0))</f>
        <v>42.730991537046599</v>
      </c>
      <c r="V339" s="3">
        <f>INDEX(Locations!$E$6:$E$455,MATCH(C339,Locations!$A$6:$A$455,0))</f>
        <v>-73.683103691653102</v>
      </c>
    </row>
    <row r="340" spans="1:22" ht="23.1" customHeight="1">
      <c r="A340" s="1" t="s">
        <v>948</v>
      </c>
      <c r="B340" s="1" t="s">
        <v>426</v>
      </c>
      <c r="C340" s="1" t="s">
        <v>428</v>
      </c>
      <c r="D340" s="1" t="s">
        <v>612</v>
      </c>
      <c r="E340" s="13">
        <f t="shared" si="5"/>
        <v>35.801315622279759</v>
      </c>
      <c r="F340" s="11" t="s">
        <v>70</v>
      </c>
      <c r="G340" s="11" t="s">
        <v>69</v>
      </c>
      <c r="H340" s="11" t="s">
        <v>69</v>
      </c>
      <c r="I340" s="11" t="s">
        <v>69</v>
      </c>
      <c r="J340" s="11" t="s">
        <v>69</v>
      </c>
      <c r="K340" s="14"/>
      <c r="L340" s="14"/>
      <c r="M340" s="11"/>
      <c r="N340" s="12"/>
      <c r="O340" s="11"/>
      <c r="P340" s="11"/>
      <c r="Q340" s="1">
        <v>336</v>
      </c>
      <c r="R340" s="1"/>
      <c r="S340" s="3">
        <f>INDEX(Locations!$D$6:$D$455,MATCH(B340,Locations!$A$6:$A$455,0))</f>
        <v>42.731465136454197</v>
      </c>
      <c r="T340" s="3">
        <f>INDEX(Locations!$E$6:$E$455,MATCH(B340,Locations!$A$6:$A$455,0))</f>
        <v>-73.682759898118306</v>
      </c>
      <c r="U340" s="3">
        <f>INDEX(Locations!$D$6:$D$455,MATCH(C340,Locations!$A$6:$A$455,0))</f>
        <v>42.731161664989102</v>
      </c>
      <c r="V340" s="3">
        <f>INDEX(Locations!$E$6:$E$455,MATCH(C340,Locations!$A$6:$A$455,0))</f>
        <v>-73.682906328697896</v>
      </c>
    </row>
    <row r="341" spans="1:22" ht="23.1" customHeight="1">
      <c r="A341" s="1" t="s">
        <v>949</v>
      </c>
      <c r="B341" s="1" t="s">
        <v>427</v>
      </c>
      <c r="C341" s="1" t="s">
        <v>426</v>
      </c>
      <c r="D341" s="1" t="s">
        <v>612</v>
      </c>
      <c r="E341" s="13">
        <f t="shared" si="5"/>
        <v>56.888043839037465</v>
      </c>
      <c r="F341" s="11" t="s">
        <v>70</v>
      </c>
      <c r="G341" s="11" t="s">
        <v>69</v>
      </c>
      <c r="H341" s="11" t="s">
        <v>69</v>
      </c>
      <c r="I341" s="11" t="s">
        <v>69</v>
      </c>
      <c r="J341" s="11" t="s">
        <v>69</v>
      </c>
      <c r="K341" s="14"/>
      <c r="L341" s="14"/>
      <c r="M341" s="11"/>
      <c r="N341" s="12"/>
      <c r="O341" s="11"/>
      <c r="P341" s="11"/>
      <c r="Q341" s="1">
        <v>337</v>
      </c>
      <c r="R341" s="1"/>
      <c r="S341" s="3">
        <f>INDEX(Locations!$D$6:$D$455,MATCH(B341,Locations!$A$6:$A$455,0))</f>
        <v>42.731030620492902</v>
      </c>
      <c r="T341" s="3">
        <f>INDEX(Locations!$E$6:$E$455,MATCH(B341,Locations!$A$6:$A$455,0))</f>
        <v>-73.682392230032406</v>
      </c>
      <c r="U341" s="3">
        <f>INDEX(Locations!$D$6:$D$455,MATCH(C341,Locations!$A$6:$A$455,0))</f>
        <v>42.731465136454197</v>
      </c>
      <c r="V341" s="3">
        <f>INDEX(Locations!$E$6:$E$455,MATCH(C341,Locations!$A$6:$A$455,0))</f>
        <v>-73.682759898118306</v>
      </c>
    </row>
    <row r="342" spans="1:22" ht="23.1" customHeight="1">
      <c r="A342" s="1" t="s">
        <v>950</v>
      </c>
      <c r="B342" s="1" t="s">
        <v>427</v>
      </c>
      <c r="C342" s="1" t="s">
        <v>431</v>
      </c>
      <c r="D342" s="1" t="s">
        <v>667</v>
      </c>
      <c r="E342" s="13">
        <f t="shared" si="5"/>
        <v>14.406693242587048</v>
      </c>
      <c r="F342" s="11" t="s">
        <v>70</v>
      </c>
      <c r="G342" s="11" t="s">
        <v>69</v>
      </c>
      <c r="H342" s="11" t="s">
        <v>69</v>
      </c>
      <c r="I342" s="11" t="s">
        <v>69</v>
      </c>
      <c r="J342" s="11" t="s">
        <v>69</v>
      </c>
      <c r="K342" s="14"/>
      <c r="L342" s="14"/>
      <c r="M342" s="11"/>
      <c r="N342" s="12"/>
      <c r="O342" s="11"/>
      <c r="P342" s="11"/>
      <c r="Q342" s="1">
        <v>338</v>
      </c>
      <c r="R342" s="1"/>
      <c r="S342" s="3">
        <f>INDEX(Locations!$D$6:$D$455,MATCH(B342,Locations!$A$6:$A$455,0))</f>
        <v>42.731030620492902</v>
      </c>
      <c r="T342" s="3">
        <f>INDEX(Locations!$E$6:$E$455,MATCH(B342,Locations!$A$6:$A$455,0))</f>
        <v>-73.682392230032406</v>
      </c>
      <c r="U342" s="3">
        <f>INDEX(Locations!$D$6:$D$455,MATCH(C342,Locations!$A$6:$A$455,0))</f>
        <v>42.730912220641002</v>
      </c>
      <c r="V342" s="3">
        <f>INDEX(Locations!$E$6:$E$455,MATCH(C342,Locations!$A$6:$A$455,0))</f>
        <v>-73.682320606379406</v>
      </c>
    </row>
    <row r="343" spans="1:22" ht="23.1" customHeight="1">
      <c r="A343" s="1" t="s">
        <v>951</v>
      </c>
      <c r="B343" s="1" t="s">
        <v>357</v>
      </c>
      <c r="C343" s="1" t="s">
        <v>431</v>
      </c>
      <c r="D343" s="1" t="s">
        <v>612</v>
      </c>
      <c r="E343" s="13">
        <f t="shared" si="5"/>
        <v>27.522323749267844</v>
      </c>
      <c r="F343" s="11" t="s">
        <v>70</v>
      </c>
      <c r="G343" s="11" t="s">
        <v>69</v>
      </c>
      <c r="H343" s="11" t="s">
        <v>69</v>
      </c>
      <c r="I343" s="11" t="s">
        <v>69</v>
      </c>
      <c r="J343" s="11" t="s">
        <v>69</v>
      </c>
      <c r="K343" s="14"/>
      <c r="L343" s="14"/>
      <c r="M343" s="11"/>
      <c r="N343" s="12"/>
      <c r="O343" s="11"/>
      <c r="P343" s="11"/>
      <c r="Q343" s="1">
        <v>339</v>
      </c>
      <c r="R343" s="1"/>
      <c r="S343" s="3">
        <f>INDEX(Locations!$D$6:$D$455,MATCH(B343,Locations!$A$6:$A$455,0))</f>
        <v>42.730667374345302</v>
      </c>
      <c r="T343" s="3">
        <f>INDEX(Locations!$E$6:$E$455,MATCH(B343,Locations!$A$6:$A$455,0))</f>
        <v>-73.682369947118204</v>
      </c>
      <c r="U343" s="3">
        <f>INDEX(Locations!$D$6:$D$455,MATCH(C343,Locations!$A$6:$A$455,0))</f>
        <v>42.730912220641002</v>
      </c>
      <c r="V343" s="3">
        <f>INDEX(Locations!$E$6:$E$455,MATCH(C343,Locations!$A$6:$A$455,0))</f>
        <v>-73.682320606379406</v>
      </c>
    </row>
    <row r="344" spans="1:22" ht="23.1" customHeight="1">
      <c r="A344" s="1" t="s">
        <v>952</v>
      </c>
      <c r="B344" s="1" t="s">
        <v>187</v>
      </c>
      <c r="C344" s="1" t="s">
        <v>433</v>
      </c>
      <c r="D344" s="1" t="s">
        <v>612</v>
      </c>
      <c r="E344" s="13">
        <f t="shared" si="5"/>
        <v>46.287120524979919</v>
      </c>
      <c r="F344" s="11" t="s">
        <v>70</v>
      </c>
      <c r="G344" s="11" t="s">
        <v>69</v>
      </c>
      <c r="H344" s="11" t="s">
        <v>69</v>
      </c>
      <c r="I344" s="11" t="s">
        <v>69</v>
      </c>
      <c r="J344" s="11" t="s">
        <v>69</v>
      </c>
      <c r="K344" s="14"/>
      <c r="L344" s="14"/>
      <c r="M344" s="11"/>
      <c r="N344" s="12"/>
      <c r="O344" s="11"/>
      <c r="P344" s="11"/>
      <c r="Q344" s="1">
        <v>340</v>
      </c>
      <c r="R344" s="1"/>
      <c r="S344" s="3">
        <f>INDEX(Locations!$D$6:$D$455,MATCH(B344,Locations!$A$6:$A$455,0))</f>
        <v>42.730775831039601</v>
      </c>
      <c r="T344" s="3">
        <f>INDEX(Locations!$E$6:$E$455,MATCH(B344,Locations!$A$6:$A$455,0))</f>
        <v>-73.6816894720222</v>
      </c>
      <c r="U344" s="3">
        <f>INDEX(Locations!$D$6:$D$455,MATCH(C344,Locations!$A$6:$A$455,0))</f>
        <v>42.731121432029802</v>
      </c>
      <c r="V344" s="3">
        <f>INDEX(Locations!$E$6:$E$455,MATCH(C344,Locations!$A$6:$A$455,0))</f>
        <v>-73.6813735825219</v>
      </c>
    </row>
    <row r="345" spans="1:22" ht="23.1" customHeight="1">
      <c r="A345" s="1" t="s">
        <v>953</v>
      </c>
      <c r="B345" s="1" t="s">
        <v>432</v>
      </c>
      <c r="C345" s="1" t="s">
        <v>433</v>
      </c>
      <c r="D345" s="1" t="s">
        <v>612</v>
      </c>
      <c r="E345" s="13">
        <f t="shared" si="5"/>
        <v>30.869932458740458</v>
      </c>
      <c r="F345" s="11" t="s">
        <v>70</v>
      </c>
      <c r="G345" s="11" t="s">
        <v>69</v>
      </c>
      <c r="H345" s="11" t="s">
        <v>69</v>
      </c>
      <c r="I345" s="11" t="s">
        <v>69</v>
      </c>
      <c r="J345" s="11" t="s">
        <v>69</v>
      </c>
      <c r="K345" s="14"/>
      <c r="L345" s="14"/>
      <c r="M345" s="11"/>
      <c r="N345" s="12"/>
      <c r="O345" s="11"/>
      <c r="P345" s="11"/>
      <c r="Q345" s="1">
        <v>341</v>
      </c>
      <c r="R345" s="1"/>
      <c r="S345" s="3">
        <f>INDEX(Locations!$D$6:$D$455,MATCH(B345,Locations!$A$6:$A$455,0))</f>
        <v>42.731104189332903</v>
      </c>
      <c r="T345" s="3">
        <f>INDEX(Locations!$E$6:$E$455,MATCH(B345,Locations!$A$6:$A$455,0))</f>
        <v>-73.680996364615595</v>
      </c>
      <c r="U345" s="3">
        <f>INDEX(Locations!$D$6:$D$455,MATCH(C345,Locations!$A$6:$A$455,0))</f>
        <v>42.731121432029802</v>
      </c>
      <c r="V345" s="3">
        <f>INDEX(Locations!$E$6:$E$455,MATCH(C345,Locations!$A$6:$A$455,0))</f>
        <v>-73.6813735825219</v>
      </c>
    </row>
    <row r="346" spans="1:22" ht="23.1" customHeight="1">
      <c r="A346" s="1" t="s">
        <v>954</v>
      </c>
      <c r="B346" s="1" t="s">
        <v>286</v>
      </c>
      <c r="C346" s="1" t="s">
        <v>432</v>
      </c>
      <c r="D346" s="1" t="s">
        <v>612</v>
      </c>
      <c r="E346" s="13">
        <f t="shared" si="5"/>
        <v>32.609409537587212</v>
      </c>
      <c r="F346" s="11" t="s">
        <v>70</v>
      </c>
      <c r="G346" s="11" t="s">
        <v>69</v>
      </c>
      <c r="H346" s="11" t="s">
        <v>69</v>
      </c>
      <c r="I346" s="11" t="s">
        <v>69</v>
      </c>
      <c r="J346" s="11" t="s">
        <v>69</v>
      </c>
      <c r="K346" s="14"/>
      <c r="L346" s="14"/>
      <c r="M346" s="11"/>
      <c r="N346" s="12"/>
      <c r="O346" s="11"/>
      <c r="P346" s="11"/>
      <c r="Q346" s="1">
        <v>342</v>
      </c>
      <c r="R346" s="1"/>
      <c r="S346" s="3">
        <f>INDEX(Locations!$D$6:$D$455,MATCH(B346,Locations!$A$6:$A$455,0))</f>
        <v>42.730816811051596</v>
      </c>
      <c r="T346" s="3">
        <f>INDEX(Locations!$E$6:$E$455,MATCH(B346,Locations!$A$6:$A$455,0))</f>
        <v>-73.680916782778894</v>
      </c>
      <c r="U346" s="3">
        <f>INDEX(Locations!$D$6:$D$455,MATCH(C346,Locations!$A$6:$A$455,0))</f>
        <v>42.731104189332903</v>
      </c>
      <c r="V346" s="3">
        <f>INDEX(Locations!$E$6:$E$455,MATCH(C346,Locations!$A$6:$A$455,0))</f>
        <v>-73.680996364615595</v>
      </c>
    </row>
    <row r="347" spans="1:22" ht="23.1" customHeight="1">
      <c r="A347" s="1" t="s">
        <v>955</v>
      </c>
      <c r="B347" s="1" t="s">
        <v>199</v>
      </c>
      <c r="C347" s="1" t="s">
        <v>434</v>
      </c>
      <c r="D347" s="1" t="s">
        <v>612</v>
      </c>
      <c r="E347" s="13">
        <f t="shared" si="5"/>
        <v>32.869411366485984</v>
      </c>
      <c r="F347" s="11" t="s">
        <v>70</v>
      </c>
      <c r="G347" s="11" t="s">
        <v>69</v>
      </c>
      <c r="H347" s="11" t="s">
        <v>69</v>
      </c>
      <c r="I347" s="11" t="s">
        <v>69</v>
      </c>
      <c r="J347" s="11" t="s">
        <v>69</v>
      </c>
      <c r="K347" s="14"/>
      <c r="L347" s="14"/>
      <c r="M347" s="11"/>
      <c r="N347" s="12"/>
      <c r="O347" s="11"/>
      <c r="P347" s="11"/>
      <c r="Q347" s="1">
        <v>343</v>
      </c>
      <c r="R347" s="1"/>
      <c r="S347" s="3">
        <f>INDEX(Locations!$D$6:$D$455,MATCH(B347,Locations!$A$6:$A$455,0))</f>
        <v>42.731083488414399</v>
      </c>
      <c r="T347" s="3">
        <f>INDEX(Locations!$E$6:$E$455,MATCH(B347,Locations!$A$6:$A$455,0))</f>
        <v>-73.680523000728698</v>
      </c>
      <c r="U347" s="3">
        <f>INDEX(Locations!$D$6:$D$455,MATCH(C347,Locations!$A$6:$A$455,0))</f>
        <v>42.730793820789003</v>
      </c>
      <c r="V347" s="3">
        <f>INDEX(Locations!$E$6:$E$455,MATCH(C347,Locations!$A$6:$A$455,0))</f>
        <v>-73.680603230342001</v>
      </c>
    </row>
    <row r="348" spans="1:22" ht="23.1" customHeight="1">
      <c r="A348" s="1" t="s">
        <v>956</v>
      </c>
      <c r="B348" s="1" t="s">
        <v>286</v>
      </c>
      <c r="C348" s="1" t="s">
        <v>434</v>
      </c>
      <c r="D348" s="1" t="s">
        <v>612</v>
      </c>
      <c r="E348" s="13">
        <f t="shared" si="5"/>
        <v>25.737676914965924</v>
      </c>
      <c r="F348" s="11" t="s">
        <v>70</v>
      </c>
      <c r="G348" s="11" t="s">
        <v>69</v>
      </c>
      <c r="H348" s="11" t="s">
        <v>69</v>
      </c>
      <c r="I348" s="11" t="s">
        <v>69</v>
      </c>
      <c r="J348" s="11" t="s">
        <v>69</v>
      </c>
      <c r="K348" s="14"/>
      <c r="L348" s="14"/>
      <c r="M348" s="11"/>
      <c r="N348" s="12"/>
      <c r="O348" s="11"/>
      <c r="P348" s="11"/>
      <c r="Q348" s="1">
        <v>344</v>
      </c>
      <c r="R348" s="1"/>
      <c r="S348" s="3">
        <f>INDEX(Locations!$D$6:$D$455,MATCH(B348,Locations!$A$6:$A$455,0))</f>
        <v>42.730816811051596</v>
      </c>
      <c r="T348" s="3">
        <f>INDEX(Locations!$E$6:$E$455,MATCH(B348,Locations!$A$6:$A$455,0))</f>
        <v>-73.680916782778894</v>
      </c>
      <c r="U348" s="3">
        <f>INDEX(Locations!$D$6:$D$455,MATCH(C348,Locations!$A$6:$A$455,0))</f>
        <v>42.730793820789003</v>
      </c>
      <c r="V348" s="3">
        <f>INDEX(Locations!$E$6:$E$455,MATCH(C348,Locations!$A$6:$A$455,0))</f>
        <v>-73.680603230342001</v>
      </c>
    </row>
    <row r="349" spans="1:22" ht="23.1" customHeight="1">
      <c r="A349" s="1" t="s">
        <v>957</v>
      </c>
      <c r="B349" s="1" t="s">
        <v>285</v>
      </c>
      <c r="C349" s="1" t="s">
        <v>434</v>
      </c>
      <c r="D349" s="1" t="s">
        <v>612</v>
      </c>
      <c r="E349" s="13">
        <f t="shared" si="5"/>
        <v>22.956275968477776</v>
      </c>
      <c r="F349" s="11" t="s">
        <v>70</v>
      </c>
      <c r="G349" s="11" t="s">
        <v>69</v>
      </c>
      <c r="H349" s="11" t="s">
        <v>69</v>
      </c>
      <c r="I349" s="11" t="s">
        <v>69</v>
      </c>
      <c r="J349" s="11" t="s">
        <v>69</v>
      </c>
      <c r="K349" s="14"/>
      <c r="L349" s="14"/>
      <c r="M349" s="11"/>
      <c r="N349" s="12"/>
      <c r="O349" s="11"/>
      <c r="P349" s="11"/>
      <c r="Q349" s="1">
        <v>345</v>
      </c>
      <c r="R349" s="1"/>
      <c r="S349" s="3">
        <f>INDEX(Locations!$D$6:$D$455,MATCH(B349,Locations!$A$6:$A$455,0))</f>
        <v>42.7307524383165</v>
      </c>
      <c r="T349" s="3">
        <f>INDEX(Locations!$E$6:$E$455,MATCH(B349,Locations!$A$6:$A$455,0))</f>
        <v>-73.680327877186798</v>
      </c>
      <c r="U349" s="3">
        <f>INDEX(Locations!$D$6:$D$455,MATCH(C349,Locations!$A$6:$A$455,0))</f>
        <v>42.730793820789003</v>
      </c>
      <c r="V349" s="3">
        <f>INDEX(Locations!$E$6:$E$455,MATCH(C349,Locations!$A$6:$A$455,0))</f>
        <v>-73.680603230342001</v>
      </c>
    </row>
    <row r="350" spans="1:22" ht="23.1" customHeight="1">
      <c r="A350" s="1" t="s">
        <v>958</v>
      </c>
      <c r="B350" s="1" t="s">
        <v>417</v>
      </c>
      <c r="C350" s="1" t="s">
        <v>435</v>
      </c>
      <c r="D350" s="1" t="s">
        <v>612</v>
      </c>
      <c r="E350" s="13">
        <f t="shared" si="5"/>
        <v>76.326676478105043</v>
      </c>
      <c r="F350" s="11" t="s">
        <v>70</v>
      </c>
      <c r="G350" s="11" t="s">
        <v>69</v>
      </c>
      <c r="H350" s="11" t="s">
        <v>69</v>
      </c>
      <c r="I350" s="11" t="s">
        <v>69</v>
      </c>
      <c r="J350" s="11" t="s">
        <v>69</v>
      </c>
      <c r="K350" s="14"/>
      <c r="L350" s="14"/>
      <c r="M350" s="11"/>
      <c r="N350" s="12"/>
      <c r="O350" s="11"/>
      <c r="P350" s="11"/>
      <c r="Q350" s="1">
        <v>346</v>
      </c>
      <c r="R350" s="1"/>
      <c r="S350" s="3">
        <f>INDEX(Locations!$D$6:$D$455,MATCH(B350,Locations!$A$6:$A$455,0))</f>
        <v>42.731429501547296</v>
      </c>
      <c r="T350" s="3">
        <f>INDEX(Locations!$E$6:$E$455,MATCH(B350,Locations!$A$6:$A$455,0))</f>
        <v>-73.681266942860603</v>
      </c>
      <c r="U350" s="3">
        <f>INDEX(Locations!$D$6:$D$455,MATCH(C350,Locations!$A$6:$A$455,0))</f>
        <v>42.731251327012899</v>
      </c>
      <c r="V350" s="3">
        <f>INDEX(Locations!$E$6:$E$455,MATCH(C350,Locations!$A$6:$A$455,0))</f>
        <v>-73.680364484831699</v>
      </c>
    </row>
    <row r="351" spans="1:22" ht="23.1" customHeight="1">
      <c r="A351" s="1" t="s">
        <v>959</v>
      </c>
      <c r="B351" s="1" t="s">
        <v>339</v>
      </c>
      <c r="C351" s="1" t="s">
        <v>435</v>
      </c>
      <c r="D351" s="1" t="s">
        <v>612</v>
      </c>
      <c r="E351" s="13">
        <f t="shared" si="5"/>
        <v>42.57484451133714</v>
      </c>
      <c r="F351" s="11" t="s">
        <v>70</v>
      </c>
      <c r="G351" s="11" t="s">
        <v>69</v>
      </c>
      <c r="H351" s="11" t="s">
        <v>69</v>
      </c>
      <c r="I351" s="11" t="s">
        <v>69</v>
      </c>
      <c r="J351" s="11" t="s">
        <v>69</v>
      </c>
      <c r="K351" s="14"/>
      <c r="L351" s="14"/>
      <c r="M351" s="11"/>
      <c r="N351" s="12"/>
      <c r="O351" s="11"/>
      <c r="P351" s="11"/>
      <c r="Q351" s="1">
        <v>347</v>
      </c>
      <c r="R351" s="1"/>
      <c r="S351" s="3">
        <f>INDEX(Locations!$D$6:$D$455,MATCH(B351,Locations!$A$6:$A$455,0))</f>
        <v>42.731138674726601</v>
      </c>
      <c r="T351" s="3">
        <f>INDEX(Locations!$E$6:$E$455,MATCH(B351,Locations!$A$6:$A$455,0))</f>
        <v>-73.679866302533597</v>
      </c>
      <c r="U351" s="3">
        <f>INDEX(Locations!$D$6:$D$455,MATCH(C351,Locations!$A$6:$A$455,0))</f>
        <v>42.731251327012899</v>
      </c>
      <c r="V351" s="3">
        <f>INDEX(Locations!$E$6:$E$455,MATCH(C351,Locations!$A$6:$A$455,0))</f>
        <v>-73.680364484831699</v>
      </c>
    </row>
    <row r="352" spans="1:22" ht="23.1" customHeight="1">
      <c r="A352" s="1" t="s">
        <v>960</v>
      </c>
      <c r="B352" s="1" t="s">
        <v>437</v>
      </c>
      <c r="C352" s="1" t="s">
        <v>436</v>
      </c>
      <c r="D352" s="1" t="s">
        <v>612</v>
      </c>
      <c r="E352" s="13">
        <f t="shared" si="5"/>
        <v>41.833315747914838</v>
      </c>
      <c r="F352" s="11" t="s">
        <v>70</v>
      </c>
      <c r="G352" s="11" t="s">
        <v>69</v>
      </c>
      <c r="H352" s="11" t="s">
        <v>69</v>
      </c>
      <c r="I352" s="11" t="s">
        <v>69</v>
      </c>
      <c r="J352" s="11" t="s">
        <v>69</v>
      </c>
      <c r="K352" s="14"/>
      <c r="L352" s="14"/>
      <c r="M352" s="11"/>
      <c r="N352" s="12"/>
      <c r="O352" s="11"/>
      <c r="P352" s="11"/>
      <c r="Q352" s="1">
        <v>348</v>
      </c>
      <c r="R352" s="1"/>
      <c r="S352" s="3">
        <f>INDEX(Locations!$D$6:$D$455,MATCH(B352,Locations!$A$6:$A$455,0))</f>
        <v>42.731586984845499</v>
      </c>
      <c r="T352" s="3">
        <f>INDEX(Locations!$E$6:$E$455,MATCH(B352,Locations!$A$6:$A$455,0))</f>
        <v>-73.680834017668602</v>
      </c>
      <c r="U352" s="3">
        <f>INDEX(Locations!$D$6:$D$455,MATCH(C352,Locations!$A$6:$A$455,0))</f>
        <v>42.731419155929203</v>
      </c>
      <c r="V352" s="3">
        <f>INDEX(Locations!$E$6:$E$455,MATCH(C352,Locations!$A$6:$A$455,0))</f>
        <v>-73.680375626288907</v>
      </c>
    </row>
    <row r="353" spans="1:22" ht="23.1" customHeight="1">
      <c r="A353" s="1" t="s">
        <v>961</v>
      </c>
      <c r="B353" s="1" t="s">
        <v>435</v>
      </c>
      <c r="C353" s="1" t="s">
        <v>436</v>
      </c>
      <c r="D353" s="1" t="s">
        <v>612</v>
      </c>
      <c r="E353" s="13">
        <f t="shared" si="5"/>
        <v>18.683898310378947</v>
      </c>
      <c r="F353" s="11" t="s">
        <v>70</v>
      </c>
      <c r="G353" s="11" t="s">
        <v>69</v>
      </c>
      <c r="H353" s="11" t="s">
        <v>69</v>
      </c>
      <c r="I353" s="11" t="s">
        <v>69</v>
      </c>
      <c r="J353" s="11" t="s">
        <v>69</v>
      </c>
      <c r="K353" s="14"/>
      <c r="L353" s="14"/>
      <c r="M353" s="11"/>
      <c r="N353" s="12"/>
      <c r="O353" s="11"/>
      <c r="P353" s="11"/>
      <c r="Q353" s="1">
        <v>349</v>
      </c>
      <c r="R353" s="1"/>
      <c r="S353" s="3">
        <f>INDEX(Locations!$D$6:$D$455,MATCH(B353,Locations!$A$6:$A$455,0))</f>
        <v>42.731251327012899</v>
      </c>
      <c r="T353" s="3">
        <f>INDEX(Locations!$E$6:$E$455,MATCH(B353,Locations!$A$6:$A$455,0))</f>
        <v>-73.680364484831699</v>
      </c>
      <c r="U353" s="3">
        <f>INDEX(Locations!$D$6:$D$455,MATCH(C353,Locations!$A$6:$A$455,0))</f>
        <v>42.731419155929203</v>
      </c>
      <c r="V353" s="3">
        <f>INDEX(Locations!$E$6:$E$455,MATCH(C353,Locations!$A$6:$A$455,0))</f>
        <v>-73.680375626288907</v>
      </c>
    </row>
    <row r="354" spans="1:22" ht="23.1" customHeight="1">
      <c r="A354" s="1" t="s">
        <v>962</v>
      </c>
      <c r="B354" s="1" t="s">
        <v>437</v>
      </c>
      <c r="C354" s="1" t="s">
        <v>438</v>
      </c>
      <c r="D354" s="1" t="s">
        <v>612</v>
      </c>
      <c r="E354" s="13">
        <f t="shared" si="5"/>
        <v>49.328114391610832</v>
      </c>
      <c r="F354" s="11" t="s">
        <v>70</v>
      </c>
      <c r="G354" s="11" t="s">
        <v>69</v>
      </c>
      <c r="H354" s="11" t="s">
        <v>69</v>
      </c>
      <c r="I354" s="11" t="s">
        <v>69</v>
      </c>
      <c r="J354" s="11" t="s">
        <v>69</v>
      </c>
      <c r="K354" s="14"/>
      <c r="L354" s="14"/>
      <c r="M354" s="11"/>
      <c r="N354" s="12"/>
      <c r="O354" s="11"/>
      <c r="P354" s="11"/>
      <c r="Q354" s="1">
        <v>350</v>
      </c>
      <c r="R354" s="1"/>
      <c r="S354" s="3">
        <f>INDEX(Locations!$D$6:$D$455,MATCH(B354,Locations!$A$6:$A$455,0))</f>
        <v>42.731586984845499</v>
      </c>
      <c r="T354" s="3">
        <f>INDEX(Locations!$E$6:$E$455,MATCH(B354,Locations!$A$6:$A$455,0))</f>
        <v>-73.680834017668602</v>
      </c>
      <c r="U354" s="3">
        <f>INDEX(Locations!$D$6:$D$455,MATCH(C354,Locations!$A$6:$A$455,0))</f>
        <v>42.731943333914401</v>
      </c>
      <c r="V354" s="3">
        <f>INDEX(Locations!$E$6:$E$455,MATCH(C354,Locations!$A$6:$A$455,0))</f>
        <v>-73.6811937275708</v>
      </c>
    </row>
    <row r="355" spans="1:22" ht="23.1" customHeight="1">
      <c r="A355" s="1" t="s">
        <v>963</v>
      </c>
      <c r="B355" s="1" t="s">
        <v>85</v>
      </c>
      <c r="C355" s="1" t="s">
        <v>439</v>
      </c>
      <c r="D355" s="1" t="s">
        <v>612</v>
      </c>
      <c r="E355" s="13">
        <f t="shared" si="5"/>
        <v>23.188485272499378</v>
      </c>
      <c r="F355" s="11" t="s">
        <v>70</v>
      </c>
      <c r="G355" s="11" t="s">
        <v>69</v>
      </c>
      <c r="H355" s="11" t="s">
        <v>69</v>
      </c>
      <c r="I355" s="11" t="s">
        <v>69</v>
      </c>
      <c r="J355" s="11" t="s">
        <v>69</v>
      </c>
      <c r="K355" s="14"/>
      <c r="L355" s="14"/>
      <c r="M355" s="11"/>
      <c r="N355" s="12"/>
      <c r="O355" s="11"/>
      <c r="P355" s="11"/>
      <c r="Q355" s="1">
        <v>351</v>
      </c>
      <c r="R355" s="1"/>
      <c r="S355" s="3">
        <f>INDEX(Locations!$D$6:$D$455,MATCH(B355,Locations!$A$6:$A$455,0))</f>
        <v>42.7321517031695</v>
      </c>
      <c r="T355" s="3">
        <f>INDEX(Locations!$E$6:$E$455,MATCH(B355,Locations!$A$6:$A$455,0))</f>
        <v>-73.680855737485302</v>
      </c>
      <c r="U355" s="3">
        <f>INDEX(Locations!$D$6:$D$455,MATCH(C355,Locations!$A$6:$A$455,0))</f>
        <v>42.732154844329401</v>
      </c>
      <c r="V355" s="3">
        <f>INDEX(Locations!$E$6:$E$455,MATCH(C355,Locations!$A$6:$A$455,0))</f>
        <v>-73.681139611921793</v>
      </c>
    </row>
    <row r="356" spans="1:22" ht="23.1" customHeight="1">
      <c r="A356" s="1" t="s">
        <v>964</v>
      </c>
      <c r="B356" s="1" t="s">
        <v>438</v>
      </c>
      <c r="C356" s="1" t="s">
        <v>439</v>
      </c>
      <c r="D356" s="1" t="s">
        <v>612</v>
      </c>
      <c r="E356" s="13">
        <f t="shared" si="5"/>
        <v>23.930611971381424</v>
      </c>
      <c r="F356" s="11" t="s">
        <v>70</v>
      </c>
      <c r="G356" s="11" t="s">
        <v>69</v>
      </c>
      <c r="H356" s="11" t="s">
        <v>69</v>
      </c>
      <c r="I356" s="11" t="s">
        <v>69</v>
      </c>
      <c r="J356" s="11" t="s">
        <v>69</v>
      </c>
      <c r="K356" s="14"/>
      <c r="L356" s="14"/>
      <c r="M356" s="11"/>
      <c r="N356" s="12"/>
      <c r="O356" s="11"/>
      <c r="P356" s="11"/>
      <c r="Q356" s="1">
        <v>352</v>
      </c>
      <c r="R356" s="1"/>
      <c r="S356" s="3">
        <f>INDEX(Locations!$D$6:$D$455,MATCH(B356,Locations!$A$6:$A$455,0))</f>
        <v>42.731943333914401</v>
      </c>
      <c r="T356" s="3">
        <f>INDEX(Locations!$E$6:$E$455,MATCH(B356,Locations!$A$6:$A$455,0))</f>
        <v>-73.6811937275708</v>
      </c>
      <c r="U356" s="3">
        <f>INDEX(Locations!$D$6:$D$455,MATCH(C356,Locations!$A$6:$A$455,0))</f>
        <v>42.732154844329401</v>
      </c>
      <c r="V356" s="3">
        <f>INDEX(Locations!$E$6:$E$455,MATCH(C356,Locations!$A$6:$A$455,0))</f>
        <v>-73.681139611921793</v>
      </c>
    </row>
    <row r="357" spans="1:22" ht="23.1" customHeight="1">
      <c r="A357" s="1" t="s">
        <v>965</v>
      </c>
      <c r="B357" s="1" t="s">
        <v>440</v>
      </c>
      <c r="C357" s="1" t="s">
        <v>438</v>
      </c>
      <c r="D357" s="1" t="s">
        <v>612</v>
      </c>
      <c r="E357" s="13">
        <f t="shared" si="5"/>
        <v>44.759208090414631</v>
      </c>
      <c r="F357" s="11" t="s">
        <v>70</v>
      </c>
      <c r="G357" s="11" t="s">
        <v>69</v>
      </c>
      <c r="H357" s="11" t="s">
        <v>69</v>
      </c>
      <c r="I357" s="11" t="s">
        <v>69</v>
      </c>
      <c r="J357" s="11" t="s">
        <v>69</v>
      </c>
      <c r="K357" s="14"/>
      <c r="L357" s="14"/>
      <c r="M357" s="11"/>
      <c r="N357" s="12"/>
      <c r="O357" s="11"/>
      <c r="P357" s="11"/>
      <c r="Q357" s="1">
        <v>353</v>
      </c>
      <c r="R357" s="1"/>
      <c r="S357" s="3">
        <f>INDEX(Locations!$D$6:$D$455,MATCH(B357,Locations!$A$6:$A$455,0))</f>
        <v>42.732341065455699</v>
      </c>
      <c r="T357" s="3">
        <f>INDEX(Locations!$E$6:$E$455,MATCH(B357,Locations!$A$6:$A$455,0))</f>
        <v>-73.681278084317796</v>
      </c>
      <c r="U357" s="3">
        <f>INDEX(Locations!$D$6:$D$455,MATCH(C357,Locations!$A$6:$A$455,0))</f>
        <v>42.731943333914401</v>
      </c>
      <c r="V357" s="3">
        <f>INDEX(Locations!$E$6:$E$455,MATCH(C357,Locations!$A$6:$A$455,0))</f>
        <v>-73.6811937275708</v>
      </c>
    </row>
    <row r="358" spans="1:22" ht="23.1" customHeight="1">
      <c r="A358" s="1" t="s">
        <v>966</v>
      </c>
      <c r="B358" s="1" t="s">
        <v>441</v>
      </c>
      <c r="C358" s="1" t="s">
        <v>440</v>
      </c>
      <c r="D358" s="1" t="s">
        <v>612</v>
      </c>
      <c r="E358" s="13">
        <f t="shared" si="5"/>
        <v>32.933748457272749</v>
      </c>
      <c r="F358" s="11" t="s">
        <v>70</v>
      </c>
      <c r="G358" s="11" t="s">
        <v>69</v>
      </c>
      <c r="H358" s="11" t="s">
        <v>69</v>
      </c>
      <c r="I358" s="11" t="s">
        <v>69</v>
      </c>
      <c r="J358" s="11" t="s">
        <v>69</v>
      </c>
      <c r="K358" s="14"/>
      <c r="L358" s="14"/>
      <c r="M358" s="11"/>
      <c r="N358" s="12"/>
      <c r="O358" s="11"/>
      <c r="P358" s="11"/>
      <c r="Q358" s="1">
        <v>354</v>
      </c>
      <c r="R358" s="1"/>
      <c r="S358" s="3">
        <f>INDEX(Locations!$D$6:$D$455,MATCH(B358,Locations!$A$6:$A$455,0))</f>
        <v>42.732527286581998</v>
      </c>
      <c r="T358" s="3">
        <f>INDEX(Locations!$E$6:$E$455,MATCH(B358,Locations!$A$6:$A$455,0))</f>
        <v>-73.680964531880903</v>
      </c>
      <c r="U358" s="3">
        <f>INDEX(Locations!$D$6:$D$455,MATCH(C358,Locations!$A$6:$A$455,0))</f>
        <v>42.732341065455699</v>
      </c>
      <c r="V358" s="3">
        <f>INDEX(Locations!$E$6:$E$455,MATCH(C358,Locations!$A$6:$A$455,0))</f>
        <v>-73.681278084317796</v>
      </c>
    </row>
    <row r="359" spans="1:22" ht="23.1" customHeight="1">
      <c r="A359" s="1" t="s">
        <v>967</v>
      </c>
      <c r="B359" s="1" t="s">
        <v>418</v>
      </c>
      <c r="C359" s="1" t="s">
        <v>442</v>
      </c>
      <c r="D359" s="1" t="s">
        <v>612</v>
      </c>
      <c r="E359" s="13">
        <f t="shared" si="5"/>
        <v>109.25381213981927</v>
      </c>
      <c r="F359" s="11" t="s">
        <v>70</v>
      </c>
      <c r="G359" s="11" t="s">
        <v>69</v>
      </c>
      <c r="H359" s="11" t="s">
        <v>69</v>
      </c>
      <c r="I359" s="11" t="s">
        <v>69</v>
      </c>
      <c r="J359" s="11" t="s">
        <v>69</v>
      </c>
      <c r="K359" s="14"/>
      <c r="L359" s="14"/>
      <c r="M359" s="11"/>
      <c r="N359" s="12"/>
      <c r="O359" s="11"/>
      <c r="P359" s="11"/>
      <c r="Q359" s="1">
        <v>355</v>
      </c>
      <c r="R359" s="1"/>
      <c r="S359" s="3">
        <f>INDEX(Locations!$D$6:$D$455,MATCH(B359,Locations!$A$6:$A$455,0))</f>
        <v>42.732115760883197</v>
      </c>
      <c r="T359" s="3">
        <f>INDEX(Locations!$E$6:$E$455,MATCH(B359,Locations!$A$6:$A$455,0))</f>
        <v>-73.681833565538398</v>
      </c>
      <c r="U359" s="3">
        <f>INDEX(Locations!$D$6:$D$455,MATCH(C359,Locations!$A$6:$A$455,0))</f>
        <v>42.732880187111498</v>
      </c>
      <c r="V359" s="3">
        <f>INDEX(Locations!$E$6:$E$455,MATCH(C359,Locations!$A$6:$A$455,0))</f>
        <v>-73.682673949734607</v>
      </c>
    </row>
    <row r="360" spans="1:22" ht="23.1" customHeight="1">
      <c r="A360" s="1" t="s">
        <v>968</v>
      </c>
      <c r="B360" s="1" t="s">
        <v>83</v>
      </c>
      <c r="C360" s="1" t="s">
        <v>442</v>
      </c>
      <c r="D360" s="1" t="s">
        <v>612</v>
      </c>
      <c r="E360" s="13">
        <f t="shared" si="5"/>
        <v>47.025608832918635</v>
      </c>
      <c r="F360" s="11" t="s">
        <v>70</v>
      </c>
      <c r="G360" s="11" t="s">
        <v>69</v>
      </c>
      <c r="H360" s="11" t="s">
        <v>69</v>
      </c>
      <c r="I360" s="11" t="s">
        <v>69</v>
      </c>
      <c r="J360" s="11" t="s">
        <v>69</v>
      </c>
      <c r="K360" s="14"/>
      <c r="L360" s="14"/>
      <c r="M360" s="11"/>
      <c r="N360" s="12"/>
      <c r="O360" s="11"/>
      <c r="P360" s="11"/>
      <c r="Q360" s="1">
        <v>356</v>
      </c>
      <c r="R360" s="1"/>
      <c r="S360" s="3">
        <f>INDEX(Locations!$D$6:$D$455,MATCH(B360,Locations!$A$6:$A$455,0))</f>
        <v>42.732484842934603</v>
      </c>
      <c r="T360" s="3">
        <f>INDEX(Locations!$E$6:$E$455,MATCH(B360,Locations!$A$6:$A$455,0))</f>
        <v>-73.682878421500106</v>
      </c>
      <c r="U360" s="3">
        <f>INDEX(Locations!$D$6:$D$455,MATCH(C360,Locations!$A$6:$A$455,0))</f>
        <v>42.732880187111498</v>
      </c>
      <c r="V360" s="3">
        <f>INDEX(Locations!$E$6:$E$455,MATCH(C360,Locations!$A$6:$A$455,0))</f>
        <v>-73.682673949734607</v>
      </c>
    </row>
    <row r="361" spans="1:22" ht="23.1" customHeight="1">
      <c r="A361" s="1" t="s">
        <v>969</v>
      </c>
      <c r="B361" s="1" t="s">
        <v>381</v>
      </c>
      <c r="C361" s="1" t="s">
        <v>443</v>
      </c>
      <c r="D361" s="1" t="s">
        <v>612</v>
      </c>
      <c r="E361" s="13">
        <f t="shared" si="5"/>
        <v>46.716890464825383</v>
      </c>
      <c r="F361" s="11" t="s">
        <v>70</v>
      </c>
      <c r="G361" s="11" t="s">
        <v>69</v>
      </c>
      <c r="H361" s="11" t="s">
        <v>69</v>
      </c>
      <c r="I361" s="11" t="s">
        <v>69</v>
      </c>
      <c r="J361" s="11" t="s">
        <v>69</v>
      </c>
      <c r="K361" s="14"/>
      <c r="L361" s="14"/>
      <c r="M361" s="11"/>
      <c r="N361" s="12"/>
      <c r="O361" s="11"/>
      <c r="P361" s="11"/>
      <c r="Q361" s="1">
        <v>357</v>
      </c>
      <c r="R361" s="1"/>
      <c r="S361" s="3">
        <f>INDEX(Locations!$D$6:$D$455,MATCH(B361,Locations!$A$6:$A$455,0))</f>
        <v>42.728537326524098</v>
      </c>
      <c r="T361" s="3">
        <f>INDEX(Locations!$E$6:$E$455,MATCH(B361,Locations!$A$6:$A$455,0))</f>
        <v>-73.684852900425199</v>
      </c>
      <c r="U361" s="3">
        <f>INDEX(Locations!$D$6:$D$455,MATCH(C361,Locations!$A$6:$A$455,0))</f>
        <v>42.7281269503383</v>
      </c>
      <c r="V361" s="3">
        <f>INDEX(Locations!$E$6:$E$455,MATCH(C361,Locations!$A$6:$A$455,0))</f>
        <v>-73.684975456453799</v>
      </c>
    </row>
    <row r="362" spans="1:22" ht="23.1" customHeight="1">
      <c r="A362" s="1" t="s">
        <v>970</v>
      </c>
      <c r="B362" s="1" t="s">
        <v>394</v>
      </c>
      <c r="C362" s="1" t="s">
        <v>443</v>
      </c>
      <c r="D362" s="1" t="s">
        <v>612</v>
      </c>
      <c r="E362" s="13">
        <f t="shared" si="5"/>
        <v>210.93116402464355</v>
      </c>
      <c r="F362" s="11" t="s">
        <v>70</v>
      </c>
      <c r="G362" s="11" t="s">
        <v>69</v>
      </c>
      <c r="H362" s="11" t="s">
        <v>69</v>
      </c>
      <c r="I362" s="11" t="s">
        <v>69</v>
      </c>
      <c r="J362" s="11" t="s">
        <v>69</v>
      </c>
      <c r="K362" s="14"/>
      <c r="L362" s="14"/>
      <c r="M362" s="11"/>
      <c r="N362" s="12"/>
      <c r="O362" s="11"/>
      <c r="P362" s="11"/>
      <c r="Q362" s="1">
        <v>358</v>
      </c>
      <c r="R362" s="1"/>
      <c r="S362" s="3">
        <f>INDEX(Locations!$D$6:$D$455,MATCH(B362,Locations!$A$6:$A$455,0))</f>
        <v>42.7276958829164</v>
      </c>
      <c r="T362" s="3">
        <f>INDEX(Locations!$E$6:$E$455,MATCH(B362,Locations!$A$6:$A$455,0))</f>
        <v>-73.682460670412098</v>
      </c>
      <c r="U362" s="3">
        <f>INDEX(Locations!$D$6:$D$455,MATCH(C362,Locations!$A$6:$A$455,0))</f>
        <v>42.7281269503383</v>
      </c>
      <c r="V362" s="3">
        <f>INDEX(Locations!$E$6:$E$455,MATCH(C362,Locations!$A$6:$A$455,0))</f>
        <v>-73.684975456453799</v>
      </c>
    </row>
    <row r="363" spans="1:22" ht="23.1" customHeight="1">
      <c r="A363" s="1" t="s">
        <v>971</v>
      </c>
      <c r="B363" s="1" t="s">
        <v>352</v>
      </c>
      <c r="C363" s="1" t="s">
        <v>444</v>
      </c>
      <c r="D363" s="1" t="s">
        <v>612</v>
      </c>
      <c r="E363" s="13">
        <f t="shared" si="5"/>
        <v>44.223274065440684</v>
      </c>
      <c r="F363" s="11" t="s">
        <v>70</v>
      </c>
      <c r="G363" s="11" t="s">
        <v>69</v>
      </c>
      <c r="H363" s="11" t="s">
        <v>69</v>
      </c>
      <c r="I363" s="11" t="s">
        <v>69</v>
      </c>
      <c r="J363" s="11" t="s">
        <v>69</v>
      </c>
      <c r="K363" s="14"/>
      <c r="L363" s="14"/>
      <c r="M363" s="11"/>
      <c r="N363" s="12"/>
      <c r="O363" s="11"/>
      <c r="P363" s="11"/>
      <c r="Q363" s="1">
        <v>359</v>
      </c>
      <c r="R363" s="1"/>
      <c r="S363" s="3">
        <f>INDEX(Locations!$D$6:$D$455,MATCH(B363,Locations!$A$6:$A$455,0))</f>
        <v>42.728218911388403</v>
      </c>
      <c r="T363" s="3">
        <f>INDEX(Locations!$E$6:$E$455,MATCH(B363,Locations!$A$6:$A$455,0))</f>
        <v>-73.677924505716604</v>
      </c>
      <c r="U363" s="3">
        <f>INDEX(Locations!$D$6:$D$455,MATCH(C363,Locations!$A$6:$A$455,0))</f>
        <v>42.727831525465099</v>
      </c>
      <c r="V363" s="3">
        <f>INDEX(Locations!$E$6:$E$455,MATCH(C363,Locations!$A$6:$A$455,0))</f>
        <v>-73.678047061745204</v>
      </c>
    </row>
    <row r="364" spans="1:22" ht="23.1" customHeight="1">
      <c r="A364" s="1" t="s">
        <v>972</v>
      </c>
      <c r="B364" s="1" t="s">
        <v>398</v>
      </c>
      <c r="C364" s="1" t="s">
        <v>444</v>
      </c>
      <c r="D364" s="1" t="s">
        <v>612</v>
      </c>
      <c r="E364" s="13">
        <f t="shared" si="5"/>
        <v>52.846010184243781</v>
      </c>
      <c r="F364" s="11" t="s">
        <v>70</v>
      </c>
      <c r="G364" s="11" t="s">
        <v>69</v>
      </c>
      <c r="H364" s="11" t="s">
        <v>69</v>
      </c>
      <c r="I364" s="11" t="s">
        <v>69</v>
      </c>
      <c r="J364" s="11" t="s">
        <v>69</v>
      </c>
      <c r="K364" s="14"/>
      <c r="L364" s="14"/>
      <c r="M364" s="11"/>
      <c r="N364" s="12"/>
      <c r="O364" s="11"/>
      <c r="P364" s="11"/>
      <c r="Q364" s="1">
        <v>360</v>
      </c>
      <c r="R364" s="1"/>
      <c r="S364" s="3">
        <f>INDEX(Locations!$D$6:$D$455,MATCH(B364,Locations!$A$6:$A$455,0))</f>
        <v>42.727893599173903</v>
      </c>
      <c r="T364" s="3">
        <f>INDEX(Locations!$E$6:$E$455,MATCH(B364,Locations!$A$6:$A$455,0))</f>
        <v>-73.678688491349504</v>
      </c>
      <c r="U364" s="3">
        <f>INDEX(Locations!$D$6:$D$455,MATCH(C364,Locations!$A$6:$A$455,0))</f>
        <v>42.727831525465099</v>
      </c>
      <c r="V364" s="3">
        <f>INDEX(Locations!$E$6:$E$455,MATCH(C364,Locations!$A$6:$A$455,0))</f>
        <v>-73.678047061745204</v>
      </c>
    </row>
    <row r="365" spans="1:22" ht="23.1" customHeight="1">
      <c r="A365" s="1" t="s">
        <v>973</v>
      </c>
      <c r="B365" s="1" t="s">
        <v>354</v>
      </c>
      <c r="C365" s="1" t="s">
        <v>444</v>
      </c>
      <c r="D365" s="1" t="s">
        <v>612</v>
      </c>
      <c r="E365" s="13">
        <f t="shared" si="5"/>
        <v>47.323600181097966</v>
      </c>
      <c r="F365" s="11" t="s">
        <v>70</v>
      </c>
      <c r="G365" s="11" t="s">
        <v>69</v>
      </c>
      <c r="H365" s="11" t="s">
        <v>69</v>
      </c>
      <c r="I365" s="11" t="s">
        <v>69</v>
      </c>
      <c r="J365" s="11" t="s">
        <v>69</v>
      </c>
      <c r="K365" s="14"/>
      <c r="L365" s="14"/>
      <c r="M365" s="11"/>
      <c r="N365" s="12"/>
      <c r="O365" s="11"/>
      <c r="P365" s="11"/>
      <c r="Q365" s="1">
        <v>361</v>
      </c>
      <c r="R365" s="1"/>
      <c r="S365" s="3">
        <f>INDEX(Locations!$D$6:$D$455,MATCH(B365,Locations!$A$6:$A$455,0))</f>
        <v>42.727406205608801</v>
      </c>
      <c r="T365" s="3">
        <f>INDEX(Locations!$E$6:$E$455,MATCH(B365,Locations!$A$6:$A$455,0))</f>
        <v>-73.678067753022702</v>
      </c>
      <c r="U365" s="3">
        <f>INDEX(Locations!$D$6:$D$455,MATCH(C365,Locations!$A$6:$A$455,0))</f>
        <v>42.727831525465099</v>
      </c>
      <c r="V365" s="3">
        <f>INDEX(Locations!$E$6:$E$455,MATCH(C365,Locations!$A$6:$A$455,0))</f>
        <v>-73.678047061745204</v>
      </c>
    </row>
    <row r="366" spans="1:22" ht="23.1" customHeight="1">
      <c r="A366" s="1" t="s">
        <v>974</v>
      </c>
      <c r="B366" s="1" t="s">
        <v>441</v>
      </c>
      <c r="C366" s="1" t="s">
        <v>445</v>
      </c>
      <c r="D366" s="1" t="s">
        <v>612</v>
      </c>
      <c r="E366" s="13">
        <f t="shared" si="5"/>
        <v>67.685129884310541</v>
      </c>
      <c r="F366" s="11" t="s">
        <v>70</v>
      </c>
      <c r="G366" s="11" t="s">
        <v>69</v>
      </c>
      <c r="H366" s="11" t="s">
        <v>69</v>
      </c>
      <c r="I366" s="11" t="s">
        <v>69</v>
      </c>
      <c r="J366" s="11" t="s">
        <v>69</v>
      </c>
      <c r="K366" s="14"/>
      <c r="L366" s="14"/>
      <c r="M366" s="11"/>
      <c r="N366" s="12"/>
      <c r="O366" s="11"/>
      <c r="P366" s="11"/>
      <c r="Q366" s="1">
        <v>362</v>
      </c>
      <c r="R366" s="1"/>
      <c r="S366" s="3">
        <f>INDEX(Locations!$D$6:$D$455,MATCH(B366,Locations!$A$6:$A$455,0))</f>
        <v>42.732527286581998</v>
      </c>
      <c r="T366" s="3">
        <f>INDEX(Locations!$E$6:$E$455,MATCH(B366,Locations!$A$6:$A$455,0))</f>
        <v>-73.680964531880903</v>
      </c>
      <c r="U366" s="3">
        <f>INDEX(Locations!$D$6:$D$455,MATCH(C366,Locations!$A$6:$A$455,0))</f>
        <v>42.732943410333398</v>
      </c>
      <c r="V366" s="3">
        <f>INDEX(Locations!$E$6:$E$455,MATCH(C366,Locations!$A$6:$A$455,0))</f>
        <v>-73.680359709921504</v>
      </c>
    </row>
    <row r="367" spans="1:22" ht="23.1" customHeight="1">
      <c r="A367" s="1" t="s">
        <v>975</v>
      </c>
      <c r="B367" s="1" t="s">
        <v>141</v>
      </c>
      <c r="C367" s="1" t="s">
        <v>445</v>
      </c>
      <c r="D367" s="1" t="s">
        <v>612</v>
      </c>
      <c r="E367" s="13">
        <f t="shared" si="5"/>
        <v>45.279260994519021</v>
      </c>
      <c r="F367" s="11" t="s">
        <v>70</v>
      </c>
      <c r="G367" s="11" t="s">
        <v>69</v>
      </c>
      <c r="H367" s="11" t="s">
        <v>69</v>
      </c>
      <c r="I367" s="11" t="s">
        <v>69</v>
      </c>
      <c r="J367" s="11" t="s">
        <v>69</v>
      </c>
      <c r="K367" s="14"/>
      <c r="L367" s="14"/>
      <c r="M367" s="11"/>
      <c r="N367" s="12"/>
      <c r="O367" s="11"/>
      <c r="P367" s="11"/>
      <c r="Q367" s="1">
        <v>363</v>
      </c>
      <c r="R367" s="1"/>
      <c r="S367" s="3">
        <f>INDEX(Locations!$D$6:$D$455,MATCH(B367,Locations!$A$6:$A$455,0))</f>
        <v>42.733169239406401</v>
      </c>
      <c r="T367" s="3">
        <f>INDEX(Locations!$E$6:$E$455,MATCH(B367,Locations!$A$6:$A$455,0))</f>
        <v>-73.6798983927157</v>
      </c>
      <c r="U367" s="3">
        <f>INDEX(Locations!$D$6:$D$455,MATCH(C367,Locations!$A$6:$A$455,0))</f>
        <v>42.732943410333398</v>
      </c>
      <c r="V367" s="3">
        <f>INDEX(Locations!$E$6:$E$455,MATCH(C367,Locations!$A$6:$A$455,0))</f>
        <v>-73.680359709921504</v>
      </c>
    </row>
    <row r="368" spans="1:22" ht="23.1" customHeight="1">
      <c r="A368" s="1" t="s">
        <v>976</v>
      </c>
      <c r="B368" s="1" t="s">
        <v>191</v>
      </c>
      <c r="C368" s="1" t="s">
        <v>445</v>
      </c>
      <c r="D368" s="1" t="s">
        <v>612</v>
      </c>
      <c r="E368" s="13">
        <f t="shared" si="5"/>
        <v>39.56479787376113</v>
      </c>
      <c r="F368" s="11" t="s">
        <v>70</v>
      </c>
      <c r="G368" s="11" t="s">
        <v>69</v>
      </c>
      <c r="H368" s="11" t="s">
        <v>69</v>
      </c>
      <c r="I368" s="11" t="s">
        <v>69</v>
      </c>
      <c r="J368" s="11" t="s">
        <v>69</v>
      </c>
      <c r="K368" s="14"/>
      <c r="L368" s="14"/>
      <c r="M368" s="11"/>
      <c r="N368" s="12"/>
      <c r="O368" s="11"/>
      <c r="P368" s="11"/>
      <c r="Q368" s="1">
        <v>364</v>
      </c>
      <c r="R368" s="1"/>
      <c r="S368" s="3">
        <f>INDEX(Locations!$D$6:$D$455,MATCH(B368,Locations!$A$6:$A$455,0))</f>
        <v>42.732888777618101</v>
      </c>
      <c r="T368" s="3">
        <f>INDEX(Locations!$E$6:$E$455,MATCH(B368,Locations!$A$6:$A$455,0))</f>
        <v>-73.680838380621395</v>
      </c>
      <c r="U368" s="3">
        <f>INDEX(Locations!$D$6:$D$455,MATCH(C368,Locations!$A$6:$A$455,0))</f>
        <v>42.732943410333398</v>
      </c>
      <c r="V368" s="3">
        <f>INDEX(Locations!$E$6:$E$455,MATCH(C368,Locations!$A$6:$A$455,0))</f>
        <v>-73.680359709921504</v>
      </c>
    </row>
    <row r="369" spans="1:22" ht="23.1" customHeight="1">
      <c r="A369" s="1" t="s">
        <v>977</v>
      </c>
      <c r="B369" s="1" t="s">
        <v>91</v>
      </c>
      <c r="C369" s="1" t="s">
        <v>445</v>
      </c>
      <c r="D369" s="1" t="s">
        <v>612</v>
      </c>
      <c r="E369" s="13">
        <f t="shared" si="5"/>
        <v>33.323166816637745</v>
      </c>
      <c r="F369" s="11" t="s">
        <v>70</v>
      </c>
      <c r="G369" s="11" t="s">
        <v>69</v>
      </c>
      <c r="H369" s="11" t="s">
        <v>69</v>
      </c>
      <c r="I369" s="11" t="s">
        <v>69</v>
      </c>
      <c r="J369" s="11" t="s">
        <v>69</v>
      </c>
      <c r="K369" s="14"/>
      <c r="L369" s="14"/>
      <c r="M369" s="11"/>
      <c r="N369" s="12"/>
      <c r="O369" s="11"/>
      <c r="P369" s="11"/>
      <c r="Q369" s="1">
        <v>365</v>
      </c>
      <c r="R369" s="1"/>
      <c r="S369" s="3">
        <f>INDEX(Locations!$D$6:$D$455,MATCH(B369,Locations!$A$6:$A$455,0))</f>
        <v>42.732661261208698</v>
      </c>
      <c r="T369" s="3">
        <f>INDEX(Locations!$E$6:$E$455,MATCH(B369,Locations!$A$6:$A$455,0))</f>
        <v>-73.680222203385199</v>
      </c>
      <c r="U369" s="3">
        <f>INDEX(Locations!$D$6:$D$455,MATCH(C369,Locations!$A$6:$A$455,0))</f>
        <v>42.732943410333398</v>
      </c>
      <c r="V369" s="3">
        <f>INDEX(Locations!$E$6:$E$455,MATCH(C369,Locations!$A$6:$A$455,0))</f>
        <v>-73.680359709921504</v>
      </c>
    </row>
    <row r="370" spans="1:22" ht="23.1" customHeight="1">
      <c r="A370" s="1" t="s">
        <v>978</v>
      </c>
      <c r="B370" s="1" t="s">
        <v>446</v>
      </c>
      <c r="C370" s="1" t="s">
        <v>445</v>
      </c>
      <c r="D370" s="1" t="s">
        <v>612</v>
      </c>
      <c r="E370" s="13">
        <f t="shared" si="5"/>
        <v>41.040536275026064</v>
      </c>
      <c r="F370" s="11" t="s">
        <v>70</v>
      </c>
      <c r="G370" s="11" t="s">
        <v>69</v>
      </c>
      <c r="H370" s="11" t="s">
        <v>69</v>
      </c>
      <c r="I370" s="11" t="s">
        <v>69</v>
      </c>
      <c r="J370" s="11" t="s">
        <v>69</v>
      </c>
      <c r="K370" s="14"/>
      <c r="L370" s="14"/>
      <c r="M370" s="11"/>
      <c r="N370" s="12"/>
      <c r="O370" s="11"/>
      <c r="P370" s="11"/>
      <c r="Q370" s="1">
        <v>366</v>
      </c>
      <c r="R370" s="1"/>
      <c r="S370" s="3">
        <f>INDEX(Locations!$D$6:$D$455,MATCH(B370,Locations!$A$6:$A$455,0))</f>
        <v>42.732828459020801</v>
      </c>
      <c r="T370" s="3">
        <f>INDEX(Locations!$E$6:$E$455,MATCH(B370,Locations!$A$6:$A$455,0))</f>
        <v>-73.6798822189009</v>
      </c>
      <c r="U370" s="3">
        <f>INDEX(Locations!$D$6:$D$455,MATCH(C370,Locations!$A$6:$A$455,0))</f>
        <v>42.732943410333398</v>
      </c>
      <c r="V370" s="3">
        <f>INDEX(Locations!$E$6:$E$455,MATCH(C370,Locations!$A$6:$A$455,0))</f>
        <v>-73.680359709921504</v>
      </c>
    </row>
    <row r="371" spans="1:22" ht="23.1" customHeight="1">
      <c r="A371" s="1" t="s">
        <v>979</v>
      </c>
      <c r="B371" s="1" t="s">
        <v>91</v>
      </c>
      <c r="C371" s="1" t="s">
        <v>446</v>
      </c>
      <c r="D371" s="1" t="s">
        <v>612</v>
      </c>
      <c r="E371" s="13">
        <f t="shared" si="5"/>
        <v>33.417555004567241</v>
      </c>
      <c r="F371" s="11" t="s">
        <v>70</v>
      </c>
      <c r="G371" s="11" t="s">
        <v>69</v>
      </c>
      <c r="H371" s="11" t="s">
        <v>69</v>
      </c>
      <c r="I371" s="11" t="s">
        <v>69</v>
      </c>
      <c r="J371" s="11" t="s">
        <v>69</v>
      </c>
      <c r="K371" s="14"/>
      <c r="L371" s="14"/>
      <c r="M371" s="11"/>
      <c r="N371" s="12"/>
      <c r="O371" s="11"/>
      <c r="P371" s="11"/>
      <c r="Q371" s="1">
        <v>367</v>
      </c>
      <c r="R371" s="1"/>
      <c r="S371" s="3">
        <f>INDEX(Locations!$D$6:$D$455,MATCH(B371,Locations!$A$6:$A$455,0))</f>
        <v>42.732661261208698</v>
      </c>
      <c r="T371" s="3">
        <f>INDEX(Locations!$E$6:$E$455,MATCH(B371,Locations!$A$6:$A$455,0))</f>
        <v>-73.680222203385199</v>
      </c>
      <c r="U371" s="3">
        <f>INDEX(Locations!$D$6:$D$455,MATCH(C371,Locations!$A$6:$A$455,0))</f>
        <v>42.732828459020801</v>
      </c>
      <c r="V371" s="3">
        <f>INDEX(Locations!$E$6:$E$455,MATCH(C371,Locations!$A$6:$A$455,0))</f>
        <v>-73.6798822189009</v>
      </c>
    </row>
    <row r="372" spans="1:22" ht="23.1" customHeight="1">
      <c r="A372" s="1" t="s">
        <v>980</v>
      </c>
      <c r="B372" s="1" t="s">
        <v>445</v>
      </c>
      <c r="C372" s="1" t="s">
        <v>448</v>
      </c>
      <c r="D372" s="1" t="s">
        <v>612</v>
      </c>
      <c r="E372" s="13">
        <f t="shared" si="5"/>
        <v>26.900879019520453</v>
      </c>
      <c r="F372" s="11" t="s">
        <v>70</v>
      </c>
      <c r="G372" s="11" t="s">
        <v>69</v>
      </c>
      <c r="H372" s="11" t="s">
        <v>69</v>
      </c>
      <c r="I372" s="11" t="s">
        <v>69</v>
      </c>
      <c r="J372" s="11" t="s">
        <v>69</v>
      </c>
      <c r="K372" s="14"/>
      <c r="L372" s="14"/>
      <c r="M372" s="11"/>
      <c r="N372" s="12"/>
      <c r="O372" s="11"/>
      <c r="P372" s="11"/>
      <c r="Q372" s="1">
        <v>368</v>
      </c>
      <c r="R372" s="1"/>
      <c r="S372" s="3">
        <f>INDEX(Locations!$D$6:$D$455,MATCH(B372,Locations!$A$6:$A$455,0))</f>
        <v>42.732943410333398</v>
      </c>
      <c r="T372" s="3">
        <f>INDEX(Locations!$E$6:$E$455,MATCH(B372,Locations!$A$6:$A$455,0))</f>
        <v>-73.680359709921504</v>
      </c>
      <c r="U372" s="3">
        <f>INDEX(Locations!$D$6:$D$455,MATCH(C372,Locations!$A$6:$A$455,0))</f>
        <v>42.733081351908403</v>
      </c>
      <c r="V372" s="3">
        <f>INDEX(Locations!$E$6:$E$455,MATCH(C372,Locations!$A$6:$A$455,0))</f>
        <v>-73.680630288166498</v>
      </c>
    </row>
    <row r="373" spans="1:22" ht="23.1" customHeight="1">
      <c r="A373" s="1" t="s">
        <v>981</v>
      </c>
      <c r="B373" s="1" t="s">
        <v>447</v>
      </c>
      <c r="C373" s="1" t="s">
        <v>449</v>
      </c>
      <c r="D373" s="1" t="s">
        <v>612</v>
      </c>
      <c r="E373" s="13">
        <f t="shared" si="5"/>
        <v>69.51990594919117</v>
      </c>
      <c r="F373" s="11" t="s">
        <v>70</v>
      </c>
      <c r="G373" s="11" t="s">
        <v>69</v>
      </c>
      <c r="H373" s="11" t="s">
        <v>69</v>
      </c>
      <c r="I373" s="11" t="s">
        <v>69</v>
      </c>
      <c r="J373" s="11" t="s">
        <v>69</v>
      </c>
      <c r="K373" s="14"/>
      <c r="L373" s="14"/>
      <c r="M373" s="11"/>
      <c r="N373" s="12"/>
      <c r="O373" s="11"/>
      <c r="P373" s="11"/>
      <c r="Q373" s="1">
        <v>369</v>
      </c>
      <c r="R373" s="1"/>
      <c r="S373" s="3">
        <f>INDEX(Locations!$D$6:$D$455,MATCH(B373,Locations!$A$6:$A$455,0))</f>
        <v>42.733460691239799</v>
      </c>
      <c r="T373" s="3">
        <f>INDEX(Locations!$E$6:$E$455,MATCH(B373,Locations!$A$6:$A$455,0))</f>
        <v>-73.679595724288603</v>
      </c>
      <c r="U373" s="3">
        <f>INDEX(Locations!$D$6:$D$455,MATCH(C373,Locations!$A$6:$A$455,0))</f>
        <v>42.733606679406698</v>
      </c>
      <c r="V373" s="3">
        <f>INDEX(Locations!$E$6:$E$455,MATCH(C373,Locations!$A$6:$A$455,0))</f>
        <v>-73.680423375390902</v>
      </c>
    </row>
    <row r="374" spans="1:22" ht="23.1" customHeight="1">
      <c r="A374" s="1" t="s">
        <v>982</v>
      </c>
      <c r="B374" s="1" t="s">
        <v>448</v>
      </c>
      <c r="C374" s="1" t="s">
        <v>449</v>
      </c>
      <c r="D374" s="1" t="s">
        <v>612</v>
      </c>
      <c r="E374" s="13">
        <f t="shared" si="5"/>
        <v>60.809227445532777</v>
      </c>
      <c r="F374" s="11" t="s">
        <v>70</v>
      </c>
      <c r="G374" s="11" t="s">
        <v>69</v>
      </c>
      <c r="H374" s="11" t="s">
        <v>69</v>
      </c>
      <c r="I374" s="11" t="s">
        <v>69</v>
      </c>
      <c r="J374" s="11" t="s">
        <v>69</v>
      </c>
      <c r="K374" s="14"/>
      <c r="L374" s="14"/>
      <c r="M374" s="11"/>
      <c r="N374" s="12"/>
      <c r="O374" s="11"/>
      <c r="P374" s="11"/>
      <c r="Q374" s="1">
        <v>370</v>
      </c>
      <c r="R374" s="1"/>
      <c r="S374" s="3">
        <f>INDEX(Locations!$D$6:$D$455,MATCH(B374,Locations!$A$6:$A$455,0))</f>
        <v>42.733081351908403</v>
      </c>
      <c r="T374" s="3">
        <f>INDEX(Locations!$E$6:$E$455,MATCH(B374,Locations!$A$6:$A$455,0))</f>
        <v>-73.680630288166498</v>
      </c>
      <c r="U374" s="3">
        <f>INDEX(Locations!$D$6:$D$455,MATCH(C374,Locations!$A$6:$A$455,0))</f>
        <v>42.733606679406698</v>
      </c>
      <c r="V374" s="3">
        <f>INDEX(Locations!$E$6:$E$455,MATCH(C374,Locations!$A$6:$A$455,0))</f>
        <v>-73.680423375390902</v>
      </c>
    </row>
    <row r="375" spans="1:22" ht="23.1" customHeight="1">
      <c r="A375" s="1" t="s">
        <v>983</v>
      </c>
      <c r="B375" s="1" t="s">
        <v>451</v>
      </c>
      <c r="C375" s="1" t="s">
        <v>450</v>
      </c>
      <c r="D375" s="1" t="s">
        <v>612</v>
      </c>
      <c r="E375" s="13">
        <f t="shared" si="5"/>
        <v>62.798746949956794</v>
      </c>
      <c r="F375" s="11" t="s">
        <v>70</v>
      </c>
      <c r="G375" s="11" t="s">
        <v>69</v>
      </c>
      <c r="H375" s="11" t="s">
        <v>69</v>
      </c>
      <c r="I375" s="11" t="s">
        <v>69</v>
      </c>
      <c r="J375" s="11" t="s">
        <v>69</v>
      </c>
      <c r="K375" s="14"/>
      <c r="L375" s="14"/>
      <c r="M375" s="11"/>
      <c r="N375" s="12"/>
      <c r="O375" s="11"/>
      <c r="P375" s="11"/>
      <c r="Q375" s="1">
        <v>371</v>
      </c>
      <c r="R375" s="1"/>
      <c r="S375" s="3">
        <f>INDEX(Locations!$D$6:$D$455,MATCH(B375,Locations!$A$6:$A$455,0))</f>
        <v>42.733242283746002</v>
      </c>
      <c r="T375" s="3">
        <f>INDEX(Locations!$E$6:$E$455,MATCH(B375,Locations!$A$6:$A$455,0))</f>
        <v>-73.681558212383194</v>
      </c>
      <c r="U375" s="3">
        <f>INDEX(Locations!$D$6:$D$455,MATCH(C375,Locations!$A$6:$A$455,0))</f>
        <v>42.733798648098599</v>
      </c>
      <c r="V375" s="3">
        <f>INDEX(Locations!$E$6:$E$455,MATCH(C375,Locations!$A$6:$A$455,0))</f>
        <v>-73.681426106534104</v>
      </c>
    </row>
    <row r="376" spans="1:22" ht="23.1" customHeight="1">
      <c r="A376" s="1" t="s">
        <v>984</v>
      </c>
      <c r="B376" s="1" t="s">
        <v>449</v>
      </c>
      <c r="C376" s="1" t="s">
        <v>450</v>
      </c>
      <c r="D376" s="1" t="s">
        <v>612</v>
      </c>
      <c r="E376" s="13">
        <f t="shared" si="5"/>
        <v>84.63359057343277</v>
      </c>
      <c r="F376" s="11" t="s">
        <v>70</v>
      </c>
      <c r="G376" s="11" t="s">
        <v>69</v>
      </c>
      <c r="H376" s="11" t="s">
        <v>69</v>
      </c>
      <c r="I376" s="11" t="s">
        <v>69</v>
      </c>
      <c r="J376" s="11" t="s">
        <v>69</v>
      </c>
      <c r="K376" s="14"/>
      <c r="L376" s="14"/>
      <c r="M376" s="11"/>
      <c r="N376" s="12"/>
      <c r="O376" s="11"/>
      <c r="P376" s="11"/>
      <c r="Q376" s="1">
        <v>372</v>
      </c>
      <c r="R376" s="1"/>
      <c r="S376" s="3">
        <f>INDEX(Locations!$D$6:$D$455,MATCH(B376,Locations!$A$6:$A$455,0))</f>
        <v>42.733606679406698</v>
      </c>
      <c r="T376" s="3">
        <f>INDEX(Locations!$E$6:$E$455,MATCH(B376,Locations!$A$6:$A$455,0))</f>
        <v>-73.680423375390902</v>
      </c>
      <c r="U376" s="3">
        <f>INDEX(Locations!$D$6:$D$455,MATCH(C376,Locations!$A$6:$A$455,0))</f>
        <v>42.733798648098599</v>
      </c>
      <c r="V376" s="3">
        <f>INDEX(Locations!$E$6:$E$455,MATCH(C376,Locations!$A$6:$A$455,0))</f>
        <v>-73.681426106534104</v>
      </c>
    </row>
    <row r="377" spans="1:22" ht="23.1" customHeight="1">
      <c r="A377" s="1" t="s">
        <v>985</v>
      </c>
      <c r="B377" s="1" t="s">
        <v>452</v>
      </c>
      <c r="C377" s="1" t="s">
        <v>450</v>
      </c>
      <c r="D377" s="1" t="s">
        <v>612</v>
      </c>
      <c r="E377" s="13">
        <f t="shared" si="5"/>
        <v>76.941827966350715</v>
      </c>
      <c r="F377" s="11" t="s">
        <v>70</v>
      </c>
      <c r="G377" s="11" t="s">
        <v>69</v>
      </c>
      <c r="H377" s="11" t="s">
        <v>69</v>
      </c>
      <c r="I377" s="11" t="s">
        <v>69</v>
      </c>
      <c r="J377" s="11" t="s">
        <v>69</v>
      </c>
      <c r="K377" s="14"/>
      <c r="L377" s="14"/>
      <c r="M377" s="11"/>
      <c r="N377" s="12"/>
      <c r="O377" s="11"/>
      <c r="P377" s="11"/>
      <c r="Q377" s="1">
        <v>373</v>
      </c>
      <c r="R377" s="1"/>
      <c r="S377" s="3">
        <f>INDEX(Locations!$D$6:$D$455,MATCH(B377,Locations!$A$6:$A$455,0))</f>
        <v>42.733936589673597</v>
      </c>
      <c r="T377" s="3">
        <f>INDEX(Locations!$E$6:$E$455,MATCH(B377,Locations!$A$6:$A$455,0))</f>
        <v>-73.682349255840606</v>
      </c>
      <c r="U377" s="3">
        <f>INDEX(Locations!$D$6:$D$455,MATCH(C377,Locations!$A$6:$A$455,0))</f>
        <v>42.733798648098599</v>
      </c>
      <c r="V377" s="3">
        <f>INDEX(Locations!$E$6:$E$455,MATCH(C377,Locations!$A$6:$A$455,0))</f>
        <v>-73.681426106534104</v>
      </c>
    </row>
    <row r="378" spans="1:22" ht="23.1" customHeight="1">
      <c r="A378" s="1" t="s">
        <v>986</v>
      </c>
      <c r="B378" s="1" t="s">
        <v>448</v>
      </c>
      <c r="C378" s="1" t="s">
        <v>451</v>
      </c>
      <c r="D378" s="1" t="s">
        <v>612</v>
      </c>
      <c r="E378" s="13">
        <f t="shared" si="5"/>
        <v>77.872287476392842</v>
      </c>
      <c r="F378" s="11" t="s">
        <v>70</v>
      </c>
      <c r="G378" s="11" t="s">
        <v>69</v>
      </c>
      <c r="H378" s="11" t="s">
        <v>69</v>
      </c>
      <c r="I378" s="11" t="s">
        <v>69</v>
      </c>
      <c r="J378" s="11" t="s">
        <v>69</v>
      </c>
      <c r="K378" s="14"/>
      <c r="L378" s="14"/>
      <c r="M378" s="11"/>
      <c r="N378" s="12"/>
      <c r="O378" s="11"/>
      <c r="P378" s="11"/>
      <c r="Q378" s="1">
        <v>374</v>
      </c>
      <c r="R378" s="1"/>
      <c r="S378" s="3">
        <f>INDEX(Locations!$D$6:$D$455,MATCH(B378,Locations!$A$6:$A$455,0))</f>
        <v>42.733081351908403</v>
      </c>
      <c r="T378" s="3">
        <f>INDEX(Locations!$E$6:$E$455,MATCH(B378,Locations!$A$6:$A$455,0))</f>
        <v>-73.680630288166498</v>
      </c>
      <c r="U378" s="3">
        <f>INDEX(Locations!$D$6:$D$455,MATCH(C378,Locations!$A$6:$A$455,0))</f>
        <v>42.733242283746002</v>
      </c>
      <c r="V378" s="3">
        <f>INDEX(Locations!$E$6:$E$455,MATCH(C378,Locations!$A$6:$A$455,0))</f>
        <v>-73.681558212383194</v>
      </c>
    </row>
    <row r="379" spans="1:22" ht="23.1" customHeight="1">
      <c r="A379" s="1" t="s">
        <v>987</v>
      </c>
      <c r="B379" s="1" t="s">
        <v>452</v>
      </c>
      <c r="C379" s="1" t="s">
        <v>442</v>
      </c>
      <c r="D379" s="1" t="s">
        <v>612</v>
      </c>
      <c r="E379" s="13">
        <f t="shared" si="5"/>
        <v>120.42290885041682</v>
      </c>
      <c r="F379" s="11" t="s">
        <v>70</v>
      </c>
      <c r="G379" s="11" t="s">
        <v>69</v>
      </c>
      <c r="H379" s="11" t="s">
        <v>69</v>
      </c>
      <c r="I379" s="11" t="s">
        <v>69</v>
      </c>
      <c r="J379" s="11" t="s">
        <v>69</v>
      </c>
      <c r="K379" s="14"/>
      <c r="L379" s="14"/>
      <c r="M379" s="11"/>
      <c r="N379" s="12"/>
      <c r="O379" s="11"/>
      <c r="P379" s="11"/>
      <c r="Q379" s="1">
        <v>375</v>
      </c>
      <c r="R379" s="1"/>
      <c r="S379" s="3">
        <f>INDEX(Locations!$D$6:$D$455,MATCH(B379,Locations!$A$6:$A$455,0))</f>
        <v>42.733936589673597</v>
      </c>
      <c r="T379" s="3">
        <f>INDEX(Locations!$E$6:$E$455,MATCH(B379,Locations!$A$6:$A$455,0))</f>
        <v>-73.682349255840606</v>
      </c>
      <c r="U379" s="3">
        <f>INDEX(Locations!$D$6:$D$455,MATCH(C379,Locations!$A$6:$A$455,0))</f>
        <v>42.732880187111498</v>
      </c>
      <c r="V379" s="3">
        <f>INDEX(Locations!$E$6:$E$455,MATCH(C379,Locations!$A$6:$A$455,0))</f>
        <v>-73.682673949734607</v>
      </c>
    </row>
    <row r="380" spans="1:22" ht="23.1" customHeight="1">
      <c r="A380" s="1" t="s">
        <v>988</v>
      </c>
      <c r="B380" s="1" t="s">
        <v>212</v>
      </c>
      <c r="C380" s="1" t="s">
        <v>455</v>
      </c>
      <c r="D380" s="1" t="s">
        <v>612</v>
      </c>
      <c r="E380" s="13">
        <f t="shared" si="5"/>
        <v>8.9179886932946584</v>
      </c>
      <c r="F380" s="11" t="s">
        <v>70</v>
      </c>
      <c r="G380" s="11" t="s">
        <v>69</v>
      </c>
      <c r="H380" s="11" t="s">
        <v>69</v>
      </c>
      <c r="I380" s="11" t="s">
        <v>69</v>
      </c>
      <c r="J380" s="11" t="s">
        <v>69</v>
      </c>
      <c r="K380" s="14"/>
      <c r="L380" s="14"/>
      <c r="M380" s="11"/>
      <c r="N380" s="12"/>
      <c r="O380" s="11"/>
      <c r="P380" s="11"/>
      <c r="Q380" s="1">
        <v>376</v>
      </c>
      <c r="R380" s="1"/>
      <c r="S380" s="3">
        <f>INDEX(Locations!$D$6:$D$455,MATCH(B380,Locations!$A$6:$A$455,0))</f>
        <v>42.730920869999999</v>
      </c>
      <c r="T380" s="3">
        <f>INDEX(Locations!$E$6:$E$455,MATCH(B380,Locations!$A$6:$A$455,0))</f>
        <v>-73.684311800000003</v>
      </c>
      <c r="U380" s="3">
        <f>INDEX(Locations!$D$6:$D$455,MATCH(C380,Locations!$A$6:$A$455,0))</f>
        <v>42.730889230378502</v>
      </c>
      <c r="V380" s="3">
        <f>INDEX(Locations!$E$6:$E$455,MATCH(C380,Locations!$A$6:$A$455,0))</f>
        <v>-73.684211470820898</v>
      </c>
    </row>
    <row r="381" spans="1:22" ht="23.1" customHeight="1">
      <c r="A381" s="1" t="s">
        <v>989</v>
      </c>
      <c r="B381" s="1" t="s">
        <v>454</v>
      </c>
      <c r="C381" s="1" t="s">
        <v>455</v>
      </c>
      <c r="D381" s="1" t="s">
        <v>612</v>
      </c>
      <c r="E381" s="13">
        <f t="shared" si="5"/>
        <v>250.33488459889276</v>
      </c>
      <c r="F381" s="11" t="s">
        <v>70</v>
      </c>
      <c r="G381" s="11" t="s">
        <v>69</v>
      </c>
      <c r="H381" s="11" t="s">
        <v>69</v>
      </c>
      <c r="I381" s="11" t="s">
        <v>69</v>
      </c>
      <c r="J381" s="11" t="s">
        <v>69</v>
      </c>
      <c r="K381" s="14"/>
      <c r="L381" s="14"/>
      <c r="M381" s="11"/>
      <c r="N381" s="12"/>
      <c r="O381" s="11"/>
      <c r="P381" s="11"/>
      <c r="Q381" s="1">
        <v>377</v>
      </c>
      <c r="R381" s="1"/>
      <c r="S381" s="3">
        <f>INDEX(Locations!$D$6:$D$455,MATCH(B381,Locations!$A$6:$A$455,0))</f>
        <v>42.733097445092199</v>
      </c>
      <c r="T381" s="3">
        <f>INDEX(Locations!$E$6:$E$455,MATCH(B381,Locations!$A$6:$A$455,0))</f>
        <v>-73.683614607045101</v>
      </c>
      <c r="U381" s="3">
        <f>INDEX(Locations!$D$6:$D$455,MATCH(C381,Locations!$A$6:$A$455,0))</f>
        <v>42.730889230378502</v>
      </c>
      <c r="V381" s="3">
        <f>INDEX(Locations!$E$6:$E$455,MATCH(C381,Locations!$A$6:$A$455,0))</f>
        <v>-73.684211470820898</v>
      </c>
    </row>
    <row r="382" spans="1:22" ht="23.1" customHeight="1">
      <c r="A382" s="1" t="s">
        <v>990</v>
      </c>
      <c r="B382" s="1" t="s">
        <v>452</v>
      </c>
      <c r="C382" s="1" t="s">
        <v>453</v>
      </c>
      <c r="D382" s="1" t="s">
        <v>612</v>
      </c>
      <c r="E382" s="13">
        <f t="shared" si="5"/>
        <v>93.061572242636444</v>
      </c>
      <c r="F382" s="11" t="s">
        <v>70</v>
      </c>
      <c r="G382" s="11" t="s">
        <v>69</v>
      </c>
      <c r="H382" s="11" t="s">
        <v>69</v>
      </c>
      <c r="I382" s="11" t="s">
        <v>69</v>
      </c>
      <c r="J382" s="11" t="s">
        <v>69</v>
      </c>
      <c r="K382" s="14"/>
      <c r="L382" s="14"/>
      <c r="M382" s="11"/>
      <c r="N382" s="12"/>
      <c r="O382" s="11"/>
      <c r="P382" s="11"/>
      <c r="Q382" s="1">
        <v>378</v>
      </c>
      <c r="R382" s="1"/>
      <c r="S382" s="3">
        <f>INDEX(Locations!$D$6:$D$455,MATCH(B382,Locations!$A$6:$A$455,0))</f>
        <v>42.733936589673597</v>
      </c>
      <c r="T382" s="3">
        <f>INDEX(Locations!$E$6:$E$455,MATCH(B382,Locations!$A$6:$A$455,0))</f>
        <v>-73.682349255840606</v>
      </c>
      <c r="U382" s="3">
        <f>INDEX(Locations!$D$6:$D$455,MATCH(C382,Locations!$A$6:$A$455,0))</f>
        <v>42.733713584127301</v>
      </c>
      <c r="V382" s="3">
        <f>INDEX(Locations!$E$6:$E$455,MATCH(C382,Locations!$A$6:$A$455,0))</f>
        <v>-73.683447485187898</v>
      </c>
    </row>
    <row r="383" spans="1:22" ht="23.1" customHeight="1">
      <c r="A383" s="1" t="s">
        <v>991</v>
      </c>
      <c r="B383" s="1" t="s">
        <v>442</v>
      </c>
      <c r="C383" s="1" t="s">
        <v>454</v>
      </c>
      <c r="D383" s="1" t="s">
        <v>612</v>
      </c>
      <c r="E383" s="13">
        <f t="shared" si="5"/>
        <v>80.537122408652152</v>
      </c>
      <c r="F383" s="11" t="s">
        <v>70</v>
      </c>
      <c r="G383" s="11" t="s">
        <v>69</v>
      </c>
      <c r="H383" s="11" t="s">
        <v>69</v>
      </c>
      <c r="I383" s="11" t="s">
        <v>69</v>
      </c>
      <c r="J383" s="11" t="s">
        <v>69</v>
      </c>
      <c r="K383" s="14"/>
      <c r="L383" s="14"/>
      <c r="M383" s="11"/>
      <c r="N383" s="12"/>
      <c r="O383" s="11"/>
      <c r="P383" s="11"/>
      <c r="Q383" s="1">
        <v>379</v>
      </c>
      <c r="R383" s="1"/>
      <c r="S383" s="3">
        <f>INDEX(Locations!$D$6:$D$455,MATCH(B383,Locations!$A$6:$A$455,0))</f>
        <v>42.732880187111498</v>
      </c>
      <c r="T383" s="3">
        <f>INDEX(Locations!$E$6:$E$455,MATCH(B383,Locations!$A$6:$A$455,0))</f>
        <v>-73.682673949734607</v>
      </c>
      <c r="U383" s="3">
        <f>INDEX(Locations!$D$6:$D$455,MATCH(C383,Locations!$A$6:$A$455,0))</f>
        <v>42.733097445092199</v>
      </c>
      <c r="V383" s="3">
        <f>INDEX(Locations!$E$6:$E$455,MATCH(C383,Locations!$A$6:$A$455,0))</f>
        <v>-73.683614607045101</v>
      </c>
    </row>
    <row r="384" spans="1:22" ht="23.1" customHeight="1">
      <c r="A384" s="1" t="s">
        <v>992</v>
      </c>
      <c r="B384" s="1" t="s">
        <v>453</v>
      </c>
      <c r="C384" s="1" t="s">
        <v>454</v>
      </c>
      <c r="D384" s="1" t="s">
        <v>612</v>
      </c>
      <c r="E384" s="13">
        <f t="shared" si="5"/>
        <v>69.858021501802128</v>
      </c>
      <c r="F384" s="11" t="s">
        <v>70</v>
      </c>
      <c r="G384" s="11" t="s">
        <v>69</v>
      </c>
      <c r="H384" s="11" t="s">
        <v>69</v>
      </c>
      <c r="I384" s="11" t="s">
        <v>69</v>
      </c>
      <c r="J384" s="11" t="s">
        <v>69</v>
      </c>
      <c r="K384" s="14"/>
      <c r="L384" s="14"/>
      <c r="M384" s="11"/>
      <c r="N384" s="12"/>
      <c r="O384" s="11"/>
      <c r="P384" s="11"/>
      <c r="Q384" s="1">
        <v>380</v>
      </c>
      <c r="R384" s="1"/>
      <c r="S384" s="3">
        <f>INDEX(Locations!$D$6:$D$455,MATCH(B384,Locations!$A$6:$A$455,0))</f>
        <v>42.733713584127301</v>
      </c>
      <c r="T384" s="3">
        <f>INDEX(Locations!$E$6:$E$455,MATCH(B384,Locations!$A$6:$A$455,0))</f>
        <v>-73.683447485187898</v>
      </c>
      <c r="U384" s="3">
        <f>INDEX(Locations!$D$6:$D$455,MATCH(C384,Locations!$A$6:$A$455,0))</f>
        <v>42.733097445092199</v>
      </c>
      <c r="V384" s="3">
        <f>INDEX(Locations!$E$6:$E$455,MATCH(C384,Locations!$A$6:$A$455,0))</f>
        <v>-73.683614607045101</v>
      </c>
    </row>
    <row r="385" spans="1:22" ht="23.1" customHeight="1">
      <c r="A385" s="1" t="s">
        <v>993</v>
      </c>
      <c r="B385" s="1" t="s">
        <v>455</v>
      </c>
      <c r="C385" s="1" t="s">
        <v>457</v>
      </c>
      <c r="D385" s="1" t="s">
        <v>612</v>
      </c>
      <c r="E385" s="13">
        <f t="shared" si="5"/>
        <v>41.337359675428246</v>
      </c>
      <c r="F385" s="11" t="s">
        <v>70</v>
      </c>
      <c r="G385" s="11" t="s">
        <v>69</v>
      </c>
      <c r="H385" s="11" t="s">
        <v>69</v>
      </c>
      <c r="I385" s="11" t="s">
        <v>69</v>
      </c>
      <c r="J385" s="11" t="s">
        <v>69</v>
      </c>
      <c r="K385" s="14"/>
      <c r="L385" s="14"/>
      <c r="M385" s="11"/>
      <c r="N385" s="12"/>
      <c r="O385" s="11"/>
      <c r="P385" s="11"/>
      <c r="Q385" s="1">
        <v>381</v>
      </c>
      <c r="R385" s="1"/>
      <c r="S385" s="3">
        <f>INDEX(Locations!$D$6:$D$455,MATCH(B385,Locations!$A$6:$A$455,0))</f>
        <v>42.730889230378502</v>
      </c>
      <c r="T385" s="3">
        <f>INDEX(Locations!$E$6:$E$455,MATCH(B385,Locations!$A$6:$A$455,0))</f>
        <v>-73.684211470820898</v>
      </c>
      <c r="U385" s="3">
        <f>INDEX(Locations!$D$6:$D$455,MATCH(C385,Locations!$A$6:$A$455,0))</f>
        <v>42.730529432770197</v>
      </c>
      <c r="V385" s="3">
        <f>INDEX(Locations!$E$6:$E$455,MATCH(C385,Locations!$A$6:$A$455,0))</f>
        <v>-73.684338801759694</v>
      </c>
    </row>
    <row r="386" spans="1:22" ht="23.1" customHeight="1">
      <c r="A386" s="1" t="s">
        <v>994</v>
      </c>
      <c r="B386" s="1" t="s">
        <v>375</v>
      </c>
      <c r="C386" s="1" t="s">
        <v>457</v>
      </c>
      <c r="D386" s="1" t="s">
        <v>612</v>
      </c>
      <c r="E386" s="13">
        <f t="shared" si="5"/>
        <v>31.210937770995784</v>
      </c>
      <c r="F386" s="11" t="s">
        <v>70</v>
      </c>
      <c r="G386" s="11" t="s">
        <v>69</v>
      </c>
      <c r="H386" s="11" t="s">
        <v>69</v>
      </c>
      <c r="I386" s="11" t="s">
        <v>69</v>
      </c>
      <c r="J386" s="11" t="s">
        <v>69</v>
      </c>
      <c r="K386" s="14"/>
      <c r="L386" s="14"/>
      <c r="M386" s="11"/>
      <c r="N386" s="12"/>
      <c r="O386" s="11"/>
      <c r="P386" s="11"/>
      <c r="Q386" s="1">
        <v>382</v>
      </c>
      <c r="R386" s="1"/>
      <c r="S386" s="3">
        <f>INDEX(Locations!$D$6:$D$455,MATCH(B386,Locations!$A$6:$A$455,0))</f>
        <v>42.730251250593902</v>
      </c>
      <c r="T386" s="3">
        <f>INDEX(Locations!$E$6:$E$455,MATCH(B386,Locations!$A$6:$A$455,0))</f>
        <v>-73.684389734135195</v>
      </c>
      <c r="U386" s="3">
        <f>INDEX(Locations!$D$6:$D$455,MATCH(C386,Locations!$A$6:$A$455,0))</f>
        <v>42.730529432770197</v>
      </c>
      <c r="V386" s="3">
        <f>INDEX(Locations!$E$6:$E$455,MATCH(C386,Locations!$A$6:$A$455,0))</f>
        <v>-73.684338801759694</v>
      </c>
    </row>
    <row r="387" spans="1:22" ht="23.1" customHeight="1">
      <c r="A387" s="1" t="s">
        <v>995</v>
      </c>
      <c r="B387" s="1" t="s">
        <v>456</v>
      </c>
      <c r="C387" s="1" t="s">
        <v>457</v>
      </c>
      <c r="D387" s="1" t="s">
        <v>612</v>
      </c>
      <c r="E387" s="13">
        <f t="shared" si="5"/>
        <v>109.65630794292289</v>
      </c>
      <c r="F387" s="11" t="s">
        <v>70</v>
      </c>
      <c r="G387" s="11" t="s">
        <v>69</v>
      </c>
      <c r="H387" s="11" t="s">
        <v>69</v>
      </c>
      <c r="I387" s="11" t="s">
        <v>69</v>
      </c>
      <c r="J387" s="11" t="s">
        <v>69</v>
      </c>
      <c r="K387" s="14"/>
      <c r="L387" s="14"/>
      <c r="M387" s="11"/>
      <c r="N387" s="12"/>
      <c r="O387" s="11"/>
      <c r="P387" s="11"/>
      <c r="Q387" s="1">
        <v>383</v>
      </c>
      <c r="R387" s="1"/>
      <c r="S387" s="3">
        <f>INDEX(Locations!$D$6:$D$455,MATCH(B387,Locations!$A$6:$A$455,0))</f>
        <v>42.730619094794001</v>
      </c>
      <c r="T387" s="3">
        <f>INDEX(Locations!$E$6:$E$455,MATCH(B387,Locations!$A$6:$A$455,0))</f>
        <v>-73.685675776617302</v>
      </c>
      <c r="U387" s="3">
        <f>INDEX(Locations!$D$6:$D$455,MATCH(C387,Locations!$A$6:$A$455,0))</f>
        <v>42.730529432770197</v>
      </c>
      <c r="V387" s="3">
        <f>INDEX(Locations!$E$6:$E$455,MATCH(C387,Locations!$A$6:$A$455,0))</f>
        <v>-73.684338801759694</v>
      </c>
    </row>
    <row r="388" spans="1:22" ht="23.1" customHeight="1">
      <c r="A388" s="1" t="s">
        <v>996</v>
      </c>
      <c r="B388" s="1" t="s">
        <v>458</v>
      </c>
      <c r="C388" s="1" t="s">
        <v>87</v>
      </c>
      <c r="D388" s="1" t="s">
        <v>612</v>
      </c>
      <c r="E388" s="13">
        <f t="shared" si="5"/>
        <v>28.926742237920841</v>
      </c>
      <c r="F388" s="11" t="s">
        <v>70</v>
      </c>
      <c r="G388" s="11" t="s">
        <v>69</v>
      </c>
      <c r="H388" s="11" t="s">
        <v>69</v>
      </c>
      <c r="I388" s="11" t="s">
        <v>69</v>
      </c>
      <c r="J388" s="11" t="s">
        <v>69</v>
      </c>
      <c r="K388" s="14"/>
      <c r="L388" s="14"/>
      <c r="M388" s="11"/>
      <c r="N388" s="12"/>
      <c r="O388" s="11"/>
      <c r="P388" s="11"/>
      <c r="Q388" s="1">
        <v>384</v>
      </c>
      <c r="R388" s="1"/>
      <c r="S388" s="3">
        <f>INDEX(Locations!$D$6:$D$455,MATCH(B388,Locations!$A$6:$A$455,0))</f>
        <v>42.731334091957898</v>
      </c>
      <c r="T388" s="3">
        <f>INDEX(Locations!$E$6:$E$455,MATCH(B388,Locations!$A$6:$A$455,0))</f>
        <v>-73.6855166129438</v>
      </c>
      <c r="U388" s="3">
        <f>INDEX(Locations!$D$6:$D$455,MATCH(C388,Locations!$A$6:$A$455,0))</f>
        <v>42.731351135494002</v>
      </c>
      <c r="V388" s="3">
        <f>INDEX(Locations!$E$6:$E$455,MATCH(C388,Locations!$A$6:$A$455,0))</f>
        <v>-73.685870010025795</v>
      </c>
    </row>
    <row r="389" spans="1:22" ht="23.1" customHeight="1">
      <c r="A389" s="1" t="s">
        <v>997</v>
      </c>
      <c r="B389" s="1" t="s">
        <v>459</v>
      </c>
      <c r="C389" s="1" t="s">
        <v>458</v>
      </c>
      <c r="D389" s="1" t="s">
        <v>612</v>
      </c>
      <c r="E389" s="13">
        <f t="shared" si="5"/>
        <v>28.131221886079341</v>
      </c>
      <c r="F389" s="11" t="s">
        <v>70</v>
      </c>
      <c r="G389" s="11" t="s">
        <v>69</v>
      </c>
      <c r="H389" s="11" t="s">
        <v>69</v>
      </c>
      <c r="I389" s="11" t="s">
        <v>69</v>
      </c>
      <c r="J389" s="11" t="s">
        <v>69</v>
      </c>
      <c r="K389" s="14"/>
      <c r="L389" s="14"/>
      <c r="M389" s="11"/>
      <c r="N389" s="12"/>
      <c r="O389" s="11"/>
      <c r="P389" s="11"/>
      <c r="Q389" s="1">
        <v>385</v>
      </c>
      <c r="R389" s="1"/>
      <c r="S389" s="3">
        <f>INDEX(Locations!$D$6:$D$455,MATCH(B389,Locations!$A$6:$A$455,0))</f>
        <v>42.731586984845499</v>
      </c>
      <c r="T389" s="3">
        <f>INDEX(Locations!$E$6:$E$455,MATCH(B389,Locations!$A$6:$A$455,0))</f>
        <v>-73.685526162764205</v>
      </c>
      <c r="U389" s="3">
        <f>INDEX(Locations!$D$6:$D$455,MATCH(C389,Locations!$A$6:$A$455,0))</f>
        <v>42.731334091957898</v>
      </c>
      <c r="V389" s="3">
        <f>INDEX(Locations!$E$6:$E$455,MATCH(C389,Locations!$A$6:$A$455,0))</f>
        <v>-73.6855166129438</v>
      </c>
    </row>
    <row r="390" spans="1:22" ht="23.1" customHeight="1">
      <c r="A390" s="1" t="s">
        <v>998</v>
      </c>
      <c r="B390" s="1" t="s">
        <v>462</v>
      </c>
      <c r="C390" s="1" t="s">
        <v>456</v>
      </c>
      <c r="D390" s="1" t="s">
        <v>612</v>
      </c>
      <c r="E390" s="13">
        <f t="shared" ref="E390:E453" si="6">2*6371000*ASIN(SQRT(MIN(1,SIN(RADIANS(U390-S390)/2)^2+COS(RADIANS(S390))*COS(RADIANS(U390))*SIN(RADIANS(V390-T390)/2)^2)))</f>
        <v>59.867191428311621</v>
      </c>
      <c r="F390" s="11" t="s">
        <v>70</v>
      </c>
      <c r="G390" s="11" t="s">
        <v>69</v>
      </c>
      <c r="H390" s="11" t="s">
        <v>69</v>
      </c>
      <c r="I390" s="11" t="s">
        <v>69</v>
      </c>
      <c r="J390" s="11" t="s">
        <v>69</v>
      </c>
      <c r="K390" s="14"/>
      <c r="L390" s="14"/>
      <c r="M390" s="11"/>
      <c r="N390" s="12"/>
      <c r="O390" s="11"/>
      <c r="P390" s="11"/>
      <c r="Q390" s="1">
        <v>386</v>
      </c>
      <c r="R390" s="1"/>
      <c r="S390" s="3">
        <f>INDEX(Locations!$D$6:$D$455,MATCH(B390,Locations!$A$6:$A$455,0))</f>
        <v>42.730644384082801</v>
      </c>
      <c r="T390" s="3">
        <f>INDEX(Locations!$E$6:$E$455,MATCH(B390,Locations!$A$6:$A$455,0))</f>
        <v>-73.686407929515497</v>
      </c>
      <c r="U390" s="3">
        <f>INDEX(Locations!$D$6:$D$455,MATCH(C390,Locations!$A$6:$A$455,0))</f>
        <v>42.730619094794001</v>
      </c>
      <c r="V390" s="3">
        <f>INDEX(Locations!$E$6:$E$455,MATCH(C390,Locations!$A$6:$A$455,0))</f>
        <v>-73.685675776617302</v>
      </c>
    </row>
    <row r="391" spans="1:22" ht="23.1" customHeight="1">
      <c r="A391" s="1" t="s">
        <v>999</v>
      </c>
      <c r="B391" s="1" t="s">
        <v>461</v>
      </c>
      <c r="C391" s="1" t="s">
        <v>462</v>
      </c>
      <c r="D391" s="1" t="s">
        <v>612</v>
      </c>
      <c r="E391" s="13">
        <f t="shared" si="6"/>
        <v>109.85555867038151</v>
      </c>
      <c r="F391" s="11" t="s">
        <v>70</v>
      </c>
      <c r="G391" s="11" t="s">
        <v>69</v>
      </c>
      <c r="H391" s="11" t="s">
        <v>69</v>
      </c>
      <c r="I391" s="11" t="s">
        <v>69</v>
      </c>
      <c r="J391" s="11" t="s">
        <v>69</v>
      </c>
      <c r="K391" s="14"/>
      <c r="L391" s="14"/>
      <c r="M391" s="11"/>
      <c r="N391" s="12"/>
      <c r="O391" s="11"/>
      <c r="P391" s="11"/>
      <c r="Q391" s="1">
        <v>387</v>
      </c>
      <c r="R391" s="1"/>
      <c r="S391" s="3">
        <f>INDEX(Locations!$D$6:$D$455,MATCH(B391,Locations!$A$6:$A$455,0))</f>
        <v>42.731621470239297</v>
      </c>
      <c r="T391" s="3">
        <f>INDEX(Locations!$E$6:$E$455,MATCH(B391,Locations!$A$6:$A$455,0))</f>
        <v>-73.686208974923602</v>
      </c>
      <c r="U391" s="3">
        <f>INDEX(Locations!$D$6:$D$455,MATCH(C391,Locations!$A$6:$A$455,0))</f>
        <v>42.730644384082801</v>
      </c>
      <c r="V391" s="3">
        <f>INDEX(Locations!$E$6:$E$455,MATCH(C391,Locations!$A$6:$A$455,0))</f>
        <v>-73.686407929515497</v>
      </c>
    </row>
    <row r="392" spans="1:22" ht="23.1" customHeight="1">
      <c r="A392" s="1" t="s">
        <v>1000</v>
      </c>
      <c r="B392" s="1" t="s">
        <v>459</v>
      </c>
      <c r="C392" s="1" t="s">
        <v>461</v>
      </c>
      <c r="D392" s="1" t="s">
        <v>612</v>
      </c>
      <c r="E392" s="13">
        <f t="shared" si="6"/>
        <v>55.901835716159653</v>
      </c>
      <c r="F392" s="11" t="s">
        <v>70</v>
      </c>
      <c r="G392" s="11" t="s">
        <v>69</v>
      </c>
      <c r="H392" s="11" t="s">
        <v>69</v>
      </c>
      <c r="I392" s="11" t="s">
        <v>69</v>
      </c>
      <c r="J392" s="11" t="s">
        <v>69</v>
      </c>
      <c r="K392" s="14"/>
      <c r="L392" s="14"/>
      <c r="M392" s="11"/>
      <c r="N392" s="12"/>
      <c r="O392" s="11"/>
      <c r="P392" s="11"/>
      <c r="Q392" s="1">
        <v>388</v>
      </c>
      <c r="R392" s="1"/>
      <c r="S392" s="3">
        <f>INDEX(Locations!$D$6:$D$455,MATCH(B392,Locations!$A$6:$A$455,0))</f>
        <v>42.731586984845499</v>
      </c>
      <c r="T392" s="3">
        <f>INDEX(Locations!$E$6:$E$455,MATCH(B392,Locations!$A$6:$A$455,0))</f>
        <v>-73.685526162764205</v>
      </c>
      <c r="U392" s="3">
        <f>INDEX(Locations!$D$6:$D$455,MATCH(C392,Locations!$A$6:$A$455,0))</f>
        <v>42.731621470239297</v>
      </c>
      <c r="V392" s="3">
        <f>INDEX(Locations!$E$6:$E$455,MATCH(C392,Locations!$A$6:$A$455,0))</f>
        <v>-73.686208974923602</v>
      </c>
    </row>
    <row r="393" spans="1:22" ht="23.1" customHeight="1">
      <c r="A393" s="1" t="s">
        <v>1001</v>
      </c>
      <c r="B393" s="1" t="s">
        <v>458</v>
      </c>
      <c r="C393" s="1" t="s">
        <v>456</v>
      </c>
      <c r="D393" s="1" t="s">
        <v>612</v>
      </c>
      <c r="E393" s="13">
        <f t="shared" si="6"/>
        <v>80.559912596554994</v>
      </c>
      <c r="F393" s="11" t="s">
        <v>70</v>
      </c>
      <c r="G393" s="11" t="s">
        <v>69</v>
      </c>
      <c r="H393" s="11" t="s">
        <v>69</v>
      </c>
      <c r="I393" s="11" t="s">
        <v>69</v>
      </c>
      <c r="J393" s="11" t="s">
        <v>69</v>
      </c>
      <c r="K393" s="14"/>
      <c r="L393" s="14"/>
      <c r="M393" s="11"/>
      <c r="N393" s="12"/>
      <c r="O393" s="11"/>
      <c r="P393" s="11"/>
      <c r="Q393" s="1">
        <v>389</v>
      </c>
      <c r="R393" s="1"/>
      <c r="S393" s="3">
        <f>INDEX(Locations!$D$6:$D$455,MATCH(B393,Locations!$A$6:$A$455,0))</f>
        <v>42.731334091957898</v>
      </c>
      <c r="T393" s="3">
        <f>INDEX(Locations!$E$6:$E$455,MATCH(B393,Locations!$A$6:$A$455,0))</f>
        <v>-73.6855166129438</v>
      </c>
      <c r="U393" s="3">
        <f>INDEX(Locations!$D$6:$D$455,MATCH(C393,Locations!$A$6:$A$455,0))</f>
        <v>42.730619094794001</v>
      </c>
      <c r="V393" s="3">
        <f>INDEX(Locations!$E$6:$E$455,MATCH(C393,Locations!$A$6:$A$455,0))</f>
        <v>-73.685675776617302</v>
      </c>
    </row>
    <row r="394" spans="1:22" ht="23.1" customHeight="1">
      <c r="A394" s="1" t="s">
        <v>1002</v>
      </c>
      <c r="B394" s="1" t="s">
        <v>460</v>
      </c>
      <c r="C394" s="1" t="s">
        <v>461</v>
      </c>
      <c r="D394" s="1" t="s">
        <v>612</v>
      </c>
      <c r="E394" s="13">
        <f t="shared" si="6"/>
        <v>25.413145631146662</v>
      </c>
      <c r="F394" s="11" t="s">
        <v>70</v>
      </c>
      <c r="G394" s="11" t="s">
        <v>69</v>
      </c>
      <c r="H394" s="11" t="s">
        <v>69</v>
      </c>
      <c r="I394" s="11" t="s">
        <v>69</v>
      </c>
      <c r="J394" s="11" t="s">
        <v>69</v>
      </c>
      <c r="K394" s="14"/>
      <c r="L394" s="14"/>
      <c r="M394" s="11"/>
      <c r="N394" s="12"/>
      <c r="O394" s="11"/>
      <c r="P394" s="11"/>
      <c r="Q394" s="1">
        <v>390</v>
      </c>
      <c r="R394" s="1"/>
      <c r="S394" s="3">
        <f>INDEX(Locations!$D$6:$D$455,MATCH(B394,Locations!$A$6:$A$455,0))</f>
        <v>42.731637563423</v>
      </c>
      <c r="T394" s="3">
        <f>INDEX(Locations!$E$6:$E$455,MATCH(B394,Locations!$A$6:$A$455,0))</f>
        <v>-73.686519344087003</v>
      </c>
      <c r="U394" s="3">
        <f>INDEX(Locations!$D$6:$D$455,MATCH(C394,Locations!$A$6:$A$455,0))</f>
        <v>42.731621470239297</v>
      </c>
      <c r="V394" s="3">
        <f>INDEX(Locations!$E$6:$E$455,MATCH(C394,Locations!$A$6:$A$455,0))</f>
        <v>-73.686208974923602</v>
      </c>
    </row>
    <row r="395" spans="1:22" ht="23.1" customHeight="1">
      <c r="A395" s="1" t="s">
        <v>1003</v>
      </c>
      <c r="B395" s="1" t="s">
        <v>463</v>
      </c>
      <c r="C395" s="1" t="s">
        <v>460</v>
      </c>
      <c r="D395" s="1" t="s">
        <v>612</v>
      </c>
      <c r="E395" s="13">
        <f t="shared" si="6"/>
        <v>227.04887070446907</v>
      </c>
      <c r="F395" s="11" t="s">
        <v>70</v>
      </c>
      <c r="G395" s="11" t="s">
        <v>69</v>
      </c>
      <c r="H395" s="11" t="s">
        <v>69</v>
      </c>
      <c r="I395" s="11" t="s">
        <v>69</v>
      </c>
      <c r="J395" s="11" t="s">
        <v>69</v>
      </c>
      <c r="K395" s="14"/>
      <c r="L395" s="14"/>
      <c r="M395" s="11"/>
      <c r="N395" s="12"/>
      <c r="O395" s="11"/>
      <c r="P395" s="11"/>
      <c r="Q395" s="1">
        <v>391</v>
      </c>
      <c r="R395" s="1"/>
      <c r="S395" s="3">
        <f>INDEX(Locations!$D$6:$D$455,MATCH(B395,Locations!$A$6:$A$455,0))</f>
        <v>42.733633118208601</v>
      </c>
      <c r="T395" s="3">
        <f>INDEX(Locations!$E$6:$E$455,MATCH(B395,Locations!$A$6:$A$455,0))</f>
        <v>-73.685930438494907</v>
      </c>
      <c r="U395" s="3">
        <f>INDEX(Locations!$D$6:$D$455,MATCH(C395,Locations!$A$6:$A$455,0))</f>
        <v>42.731637563423</v>
      </c>
      <c r="V395" s="3">
        <f>INDEX(Locations!$E$6:$E$455,MATCH(C395,Locations!$A$6:$A$455,0))</f>
        <v>-73.686519344087003</v>
      </c>
    </row>
    <row r="396" spans="1:22" ht="23.1" customHeight="1">
      <c r="A396" s="1" t="s">
        <v>1004</v>
      </c>
      <c r="B396" s="1" t="s">
        <v>453</v>
      </c>
      <c r="C396" s="1" t="s">
        <v>464</v>
      </c>
      <c r="D396" s="1" t="s">
        <v>612</v>
      </c>
      <c r="E396" s="13">
        <f t="shared" si="6"/>
        <v>122.96460574275496</v>
      </c>
      <c r="F396" s="11" t="s">
        <v>70</v>
      </c>
      <c r="G396" s="11" t="s">
        <v>69</v>
      </c>
      <c r="H396" s="11" t="s">
        <v>69</v>
      </c>
      <c r="I396" s="11" t="s">
        <v>69</v>
      </c>
      <c r="J396" s="11" t="s">
        <v>69</v>
      </c>
      <c r="K396" s="14"/>
      <c r="L396" s="14"/>
      <c r="M396" s="11"/>
      <c r="N396" s="12"/>
      <c r="O396" s="11"/>
      <c r="P396" s="11"/>
      <c r="Q396" s="1">
        <v>392</v>
      </c>
      <c r="R396" s="1"/>
      <c r="S396" s="3">
        <f>INDEX(Locations!$D$6:$D$455,MATCH(B396,Locations!$A$6:$A$455,0))</f>
        <v>42.733713584127301</v>
      </c>
      <c r="T396" s="3">
        <f>INDEX(Locations!$E$6:$E$455,MATCH(B396,Locations!$A$6:$A$455,0))</f>
        <v>-73.683447485187898</v>
      </c>
      <c r="U396" s="3">
        <f>INDEX(Locations!$D$6:$D$455,MATCH(C396,Locations!$A$6:$A$455,0))</f>
        <v>42.733437700977298</v>
      </c>
      <c r="V396" s="3">
        <f>INDEX(Locations!$E$6:$E$455,MATCH(C396,Locations!$A$6:$A$455,0))</f>
        <v>-73.684905424437403</v>
      </c>
    </row>
    <row r="397" spans="1:22" ht="23.1" customHeight="1">
      <c r="A397" s="1" t="s">
        <v>1005</v>
      </c>
      <c r="B397" s="1" t="s">
        <v>454</v>
      </c>
      <c r="C397" s="1" t="s">
        <v>464</v>
      </c>
      <c r="D397" s="1" t="s">
        <v>612</v>
      </c>
      <c r="E397" s="13">
        <f t="shared" si="6"/>
        <v>112.01080437060303</v>
      </c>
      <c r="F397" s="11" t="s">
        <v>70</v>
      </c>
      <c r="G397" s="11" t="s">
        <v>69</v>
      </c>
      <c r="H397" s="11" t="s">
        <v>69</v>
      </c>
      <c r="I397" s="11" t="s">
        <v>69</v>
      </c>
      <c r="J397" s="11" t="s">
        <v>69</v>
      </c>
      <c r="K397" s="14"/>
      <c r="L397" s="14"/>
      <c r="M397" s="11"/>
      <c r="N397" s="12"/>
      <c r="O397" s="11"/>
      <c r="P397" s="11"/>
      <c r="Q397" s="1">
        <v>393</v>
      </c>
      <c r="R397" s="1"/>
      <c r="S397" s="3">
        <f>INDEX(Locations!$D$6:$D$455,MATCH(B397,Locations!$A$6:$A$455,0))</f>
        <v>42.733097445092199</v>
      </c>
      <c r="T397" s="3">
        <f>INDEX(Locations!$E$6:$E$455,MATCH(B397,Locations!$A$6:$A$455,0))</f>
        <v>-73.683614607045101</v>
      </c>
      <c r="U397" s="3">
        <f>INDEX(Locations!$D$6:$D$455,MATCH(C397,Locations!$A$6:$A$455,0))</f>
        <v>42.733437700977298</v>
      </c>
      <c r="V397" s="3">
        <f>INDEX(Locations!$E$6:$E$455,MATCH(C397,Locations!$A$6:$A$455,0))</f>
        <v>-73.684905424437403</v>
      </c>
    </row>
    <row r="398" spans="1:22" ht="23.1" customHeight="1">
      <c r="A398" s="1" t="s">
        <v>1006</v>
      </c>
      <c r="B398" s="1" t="s">
        <v>463</v>
      </c>
      <c r="C398" s="1" t="s">
        <v>464</v>
      </c>
      <c r="D398" s="1" t="s">
        <v>612</v>
      </c>
      <c r="E398" s="13">
        <f t="shared" si="6"/>
        <v>86.491675307731086</v>
      </c>
      <c r="F398" s="11" t="s">
        <v>70</v>
      </c>
      <c r="G398" s="11" t="s">
        <v>69</v>
      </c>
      <c r="H398" s="11" t="s">
        <v>69</v>
      </c>
      <c r="I398" s="11" t="s">
        <v>69</v>
      </c>
      <c r="J398" s="11" t="s">
        <v>69</v>
      </c>
      <c r="K398" s="14"/>
      <c r="L398" s="14"/>
      <c r="M398" s="11"/>
      <c r="N398" s="12"/>
      <c r="O398" s="11"/>
      <c r="P398" s="11"/>
      <c r="Q398" s="1">
        <v>394</v>
      </c>
      <c r="R398" s="1"/>
      <c r="S398" s="3">
        <f>INDEX(Locations!$D$6:$D$455,MATCH(B398,Locations!$A$6:$A$455,0))</f>
        <v>42.733633118208601</v>
      </c>
      <c r="T398" s="3">
        <f>INDEX(Locations!$E$6:$E$455,MATCH(B398,Locations!$A$6:$A$455,0))</f>
        <v>-73.685930438494907</v>
      </c>
      <c r="U398" s="3">
        <f>INDEX(Locations!$D$6:$D$455,MATCH(C398,Locations!$A$6:$A$455,0))</f>
        <v>42.733437700977298</v>
      </c>
      <c r="V398" s="3">
        <f>INDEX(Locations!$E$6:$E$455,MATCH(C398,Locations!$A$6:$A$455,0))</f>
        <v>-73.684905424437403</v>
      </c>
    </row>
    <row r="399" spans="1:22" ht="23.1" customHeight="1">
      <c r="A399" s="1" t="s">
        <v>1007</v>
      </c>
      <c r="B399" s="1" t="s">
        <v>460</v>
      </c>
      <c r="C399" s="1" t="s">
        <v>467</v>
      </c>
      <c r="D399" s="1" t="s">
        <v>612</v>
      </c>
      <c r="E399" s="13">
        <f t="shared" si="6"/>
        <v>233.32241548216308</v>
      </c>
      <c r="F399" s="11" t="s">
        <v>70</v>
      </c>
      <c r="G399" s="11" t="s">
        <v>69</v>
      </c>
      <c r="H399" s="11" t="s">
        <v>69</v>
      </c>
      <c r="I399" s="11" t="s">
        <v>69</v>
      </c>
      <c r="J399" s="11" t="s">
        <v>69</v>
      </c>
      <c r="K399" s="14"/>
      <c r="L399" s="14"/>
      <c r="M399" s="11"/>
      <c r="N399" s="12"/>
      <c r="O399" s="11"/>
      <c r="P399" s="11"/>
      <c r="Q399" s="1">
        <v>395</v>
      </c>
      <c r="R399" s="1"/>
      <c r="S399" s="3">
        <f>INDEX(Locations!$D$6:$D$455,MATCH(B399,Locations!$A$6:$A$455,0))</f>
        <v>42.731637563423</v>
      </c>
      <c r="T399" s="3">
        <f>INDEX(Locations!$E$6:$E$455,MATCH(B399,Locations!$A$6:$A$455,0))</f>
        <v>-73.686519344087003</v>
      </c>
      <c r="U399" s="3">
        <f>INDEX(Locations!$D$6:$D$455,MATCH(C399,Locations!$A$6:$A$455,0))</f>
        <v>42.729563841744998</v>
      </c>
      <c r="V399" s="3">
        <f>INDEX(Locations!$E$6:$E$455,MATCH(C399,Locations!$A$6:$A$455,0))</f>
        <v>-73.686955452552496</v>
      </c>
    </row>
    <row r="400" spans="1:22" ht="23.1" customHeight="1">
      <c r="A400" s="1" t="s">
        <v>1008</v>
      </c>
      <c r="B400" s="1" t="s">
        <v>466</v>
      </c>
      <c r="C400" s="1" t="s">
        <v>467</v>
      </c>
      <c r="D400" s="1" t="s">
        <v>612</v>
      </c>
      <c r="E400" s="13">
        <f t="shared" si="6"/>
        <v>68.800257526860022</v>
      </c>
      <c r="F400" s="11" t="s">
        <v>70</v>
      </c>
      <c r="G400" s="11" t="s">
        <v>69</v>
      </c>
      <c r="H400" s="11" t="s">
        <v>69</v>
      </c>
      <c r="I400" s="11" t="s">
        <v>69</v>
      </c>
      <c r="J400" s="11" t="s">
        <v>69</v>
      </c>
      <c r="K400" s="14"/>
      <c r="L400" s="14"/>
      <c r="M400" s="11"/>
      <c r="N400" s="12"/>
      <c r="O400" s="11"/>
      <c r="P400" s="11"/>
      <c r="Q400" s="1">
        <v>396</v>
      </c>
      <c r="R400" s="1"/>
      <c r="S400" s="3">
        <f>INDEX(Locations!$D$6:$D$455,MATCH(B400,Locations!$A$6:$A$455,0))</f>
        <v>42.729448890432401</v>
      </c>
      <c r="T400" s="3">
        <f>INDEX(Locations!$E$6:$E$455,MATCH(B400,Locations!$A$6:$A$455,0))</f>
        <v>-73.686127801450098</v>
      </c>
      <c r="U400" s="3">
        <f>INDEX(Locations!$D$6:$D$455,MATCH(C400,Locations!$A$6:$A$455,0))</f>
        <v>42.729563841744998</v>
      </c>
      <c r="V400" s="3">
        <f>INDEX(Locations!$E$6:$E$455,MATCH(C400,Locations!$A$6:$A$455,0))</f>
        <v>-73.686955452552496</v>
      </c>
    </row>
    <row r="401" spans="1:22" ht="23.1" customHeight="1">
      <c r="A401" s="1" t="s">
        <v>1009</v>
      </c>
      <c r="B401" s="1" t="s">
        <v>465</v>
      </c>
      <c r="C401" s="1" t="s">
        <v>467</v>
      </c>
      <c r="D401" s="1" t="s">
        <v>612</v>
      </c>
      <c r="E401" s="13">
        <f t="shared" si="6"/>
        <v>136.99871240145836</v>
      </c>
      <c r="F401" s="11" t="s">
        <v>70</v>
      </c>
      <c r="G401" s="11" t="s">
        <v>69</v>
      </c>
      <c r="H401" s="11" t="s">
        <v>69</v>
      </c>
      <c r="I401" s="11" t="s">
        <v>69</v>
      </c>
      <c r="J401" s="11" t="s">
        <v>69</v>
      </c>
      <c r="K401" s="14"/>
      <c r="L401" s="14"/>
      <c r="M401" s="11"/>
      <c r="N401" s="12"/>
      <c r="O401" s="11"/>
      <c r="P401" s="11"/>
      <c r="Q401" s="1">
        <v>397</v>
      </c>
      <c r="R401" s="1"/>
      <c r="S401" s="3">
        <f>INDEX(Locations!$D$6:$D$455,MATCH(B401,Locations!$A$6:$A$455,0))</f>
        <v>42.728345357832197</v>
      </c>
      <c r="T401" s="3">
        <f>INDEX(Locations!$E$6:$E$455,MATCH(B401,Locations!$A$6:$A$455,0))</f>
        <v>-73.687203747883103</v>
      </c>
      <c r="U401" s="3">
        <f>INDEX(Locations!$D$6:$D$455,MATCH(C401,Locations!$A$6:$A$455,0))</f>
        <v>42.729563841744998</v>
      </c>
      <c r="V401" s="3">
        <f>INDEX(Locations!$E$6:$E$455,MATCH(C401,Locations!$A$6:$A$455,0))</f>
        <v>-73.686955452552496</v>
      </c>
    </row>
    <row r="402" spans="1:22" ht="23.1" customHeight="1">
      <c r="A402" s="1" t="s">
        <v>1010</v>
      </c>
      <c r="B402" s="1" t="s">
        <v>443</v>
      </c>
      <c r="C402" s="1" t="s">
        <v>469</v>
      </c>
      <c r="D402" s="1" t="s">
        <v>612</v>
      </c>
      <c r="E402" s="13">
        <f t="shared" si="6"/>
        <v>74.509021677260662</v>
      </c>
      <c r="F402" s="11" t="s">
        <v>70</v>
      </c>
      <c r="G402" s="11" t="s">
        <v>69</v>
      </c>
      <c r="H402" s="11" t="s">
        <v>69</v>
      </c>
      <c r="I402" s="11" t="s">
        <v>69</v>
      </c>
      <c r="J402" s="11" t="s">
        <v>69</v>
      </c>
      <c r="K402" s="14"/>
      <c r="L402" s="14"/>
      <c r="M402" s="11"/>
      <c r="N402" s="12"/>
      <c r="O402" s="11"/>
      <c r="P402" s="11"/>
      <c r="Q402" s="1">
        <v>398</v>
      </c>
      <c r="R402" s="1"/>
      <c r="S402" s="3">
        <f>INDEX(Locations!$D$6:$D$455,MATCH(B402,Locations!$A$6:$A$455,0))</f>
        <v>42.7281269503383</v>
      </c>
      <c r="T402" s="3">
        <f>INDEX(Locations!$E$6:$E$455,MATCH(B402,Locations!$A$6:$A$455,0))</f>
        <v>-73.684975456453799</v>
      </c>
      <c r="U402" s="3">
        <f>INDEX(Locations!$D$6:$D$455,MATCH(C402,Locations!$A$6:$A$455,0))</f>
        <v>42.727471727856901</v>
      </c>
      <c r="V402" s="3">
        <f>INDEX(Locations!$E$6:$E$455,MATCH(C402,Locations!$A$6:$A$455,0))</f>
        <v>-73.685166452862006</v>
      </c>
    </row>
    <row r="403" spans="1:22" ht="23.1" customHeight="1">
      <c r="A403" s="1" t="s">
        <v>1011</v>
      </c>
      <c r="B403" s="1" t="s">
        <v>465</v>
      </c>
      <c r="C403" s="1" t="s">
        <v>468</v>
      </c>
      <c r="D403" s="1" t="s">
        <v>612</v>
      </c>
      <c r="E403" s="13">
        <f t="shared" si="6"/>
        <v>57.946771761170552</v>
      </c>
      <c r="F403" s="11" t="s">
        <v>70</v>
      </c>
      <c r="G403" s="11" t="s">
        <v>69</v>
      </c>
      <c r="H403" s="11" t="s">
        <v>69</v>
      </c>
      <c r="I403" s="11" t="s">
        <v>69</v>
      </c>
      <c r="J403" s="11" t="s">
        <v>69</v>
      </c>
      <c r="K403" s="14"/>
      <c r="L403" s="14"/>
      <c r="M403" s="11"/>
      <c r="N403" s="12"/>
      <c r="O403" s="11"/>
      <c r="P403" s="11"/>
      <c r="Q403" s="1">
        <v>399</v>
      </c>
      <c r="R403" s="1"/>
      <c r="S403" s="3">
        <f>INDEX(Locations!$D$6:$D$455,MATCH(B403,Locations!$A$6:$A$455,0))</f>
        <v>42.728345357832197</v>
      </c>
      <c r="T403" s="3">
        <f>INDEX(Locations!$E$6:$E$455,MATCH(B403,Locations!$A$6:$A$455,0))</f>
        <v>-73.687203747883103</v>
      </c>
      <c r="U403" s="3">
        <f>INDEX(Locations!$D$6:$D$455,MATCH(C403,Locations!$A$6:$A$455,0))</f>
        <v>42.728115455207103</v>
      </c>
      <c r="V403" s="3">
        <f>INDEX(Locations!$E$6:$E$455,MATCH(C403,Locations!$A$6:$A$455,0))</f>
        <v>-73.686567093188998</v>
      </c>
    </row>
    <row r="404" spans="1:22" ht="23.1" customHeight="1">
      <c r="A404" s="1" t="s">
        <v>1012</v>
      </c>
      <c r="B404" s="1" t="s">
        <v>470</v>
      </c>
      <c r="C404" s="1" t="s">
        <v>468</v>
      </c>
      <c r="D404" s="1" t="s">
        <v>612</v>
      </c>
      <c r="E404" s="13">
        <f t="shared" si="6"/>
        <v>54.053776051279463</v>
      </c>
      <c r="F404" s="11" t="s">
        <v>70</v>
      </c>
      <c r="G404" s="11" t="s">
        <v>69</v>
      </c>
      <c r="H404" s="11" t="s">
        <v>69</v>
      </c>
      <c r="I404" s="11" t="s">
        <v>69</v>
      </c>
      <c r="J404" s="11" t="s">
        <v>69</v>
      </c>
      <c r="K404" s="14"/>
      <c r="L404" s="14"/>
      <c r="M404" s="11"/>
      <c r="N404" s="12"/>
      <c r="O404" s="11"/>
      <c r="P404" s="11"/>
      <c r="Q404" s="1">
        <v>400</v>
      </c>
      <c r="R404" s="1"/>
      <c r="S404" s="3">
        <f>INDEX(Locations!$D$6:$D$455,MATCH(B404,Locations!$A$6:$A$455,0))</f>
        <v>42.727805086663302</v>
      </c>
      <c r="T404" s="3">
        <f>INDEX(Locations!$E$6:$E$455,MATCH(B404,Locations!$A$6:$A$455,0))</f>
        <v>-73.686057769433802</v>
      </c>
      <c r="U404" s="3">
        <f>INDEX(Locations!$D$6:$D$455,MATCH(C404,Locations!$A$6:$A$455,0))</f>
        <v>42.728115455207103</v>
      </c>
      <c r="V404" s="3">
        <f>INDEX(Locations!$E$6:$E$455,MATCH(C404,Locations!$A$6:$A$455,0))</f>
        <v>-73.686567093188998</v>
      </c>
    </row>
    <row r="405" spans="1:22" ht="23.1" customHeight="1">
      <c r="A405" s="1" t="s">
        <v>1013</v>
      </c>
      <c r="B405" s="1" t="s">
        <v>469</v>
      </c>
      <c r="C405" s="1" t="s">
        <v>470</v>
      </c>
      <c r="D405" s="1" t="s">
        <v>612</v>
      </c>
      <c r="E405" s="13">
        <f t="shared" si="6"/>
        <v>81.698048468327457</v>
      </c>
      <c r="F405" s="11" t="s">
        <v>70</v>
      </c>
      <c r="G405" s="11" t="s">
        <v>69</v>
      </c>
      <c r="H405" s="11" t="s">
        <v>69</v>
      </c>
      <c r="I405" s="11" t="s">
        <v>69</v>
      </c>
      <c r="J405" s="11" t="s">
        <v>69</v>
      </c>
      <c r="K405" s="14"/>
      <c r="L405" s="14"/>
      <c r="M405" s="11"/>
      <c r="N405" s="12"/>
      <c r="O405" s="11"/>
      <c r="P405" s="11"/>
      <c r="Q405" s="1">
        <v>401</v>
      </c>
      <c r="R405" s="1"/>
      <c r="S405" s="3">
        <f>INDEX(Locations!$D$6:$D$455,MATCH(B405,Locations!$A$6:$A$455,0))</f>
        <v>42.727471727856901</v>
      </c>
      <c r="T405" s="3">
        <f>INDEX(Locations!$E$6:$E$455,MATCH(B405,Locations!$A$6:$A$455,0))</f>
        <v>-73.685166452862006</v>
      </c>
      <c r="U405" s="3">
        <f>INDEX(Locations!$D$6:$D$455,MATCH(C405,Locations!$A$6:$A$455,0))</f>
        <v>42.727805086663302</v>
      </c>
      <c r="V405" s="3">
        <f>INDEX(Locations!$E$6:$E$455,MATCH(C405,Locations!$A$6:$A$455,0))</f>
        <v>-73.686057769433802</v>
      </c>
    </row>
    <row r="406" spans="1:22" ht="23.1" customHeight="1">
      <c r="A406" s="1" t="s">
        <v>1014</v>
      </c>
      <c r="B406" s="1" t="s">
        <v>471</v>
      </c>
      <c r="C406" s="1" t="s">
        <v>472</v>
      </c>
      <c r="D406" s="1" t="s">
        <v>612</v>
      </c>
      <c r="E406" s="13">
        <f t="shared" si="6"/>
        <v>57.040170803758869</v>
      </c>
      <c r="F406" s="11" t="s">
        <v>70</v>
      </c>
      <c r="G406" s="11" t="s">
        <v>69</v>
      </c>
      <c r="H406" s="11" t="s">
        <v>69</v>
      </c>
      <c r="I406" s="11" t="s">
        <v>69</v>
      </c>
      <c r="J406" s="11" t="s">
        <v>69</v>
      </c>
      <c r="K406" s="14"/>
      <c r="L406" s="14"/>
      <c r="M406" s="11"/>
      <c r="N406" s="12"/>
      <c r="O406" s="11"/>
      <c r="P406" s="11"/>
      <c r="Q406" s="1">
        <v>402</v>
      </c>
      <c r="R406" s="1"/>
      <c r="S406" s="3">
        <f>INDEX(Locations!$D$6:$D$455,MATCH(B406,Locations!$A$6:$A$455,0))</f>
        <v>42.733288264271003</v>
      </c>
      <c r="T406" s="3">
        <f>INDEX(Locations!$E$6:$E$455,MATCH(B406,Locations!$A$6:$A$455,0))</f>
        <v>-73.678497494941297</v>
      </c>
      <c r="U406" s="3">
        <f>INDEX(Locations!$D$6:$D$455,MATCH(C406,Locations!$A$6:$A$455,0))</f>
        <v>42.732784777522099</v>
      </c>
      <c r="V406" s="3">
        <f>INDEX(Locations!$E$6:$E$455,MATCH(C406,Locations!$A$6:$A$455,0))</f>
        <v>-73.678631192427005</v>
      </c>
    </row>
    <row r="407" spans="1:22" ht="23.1" customHeight="1">
      <c r="A407" s="1" t="s">
        <v>1015</v>
      </c>
      <c r="B407" s="1" t="s">
        <v>473</v>
      </c>
      <c r="C407" s="1" t="s">
        <v>477</v>
      </c>
      <c r="D407" s="1" t="s">
        <v>612</v>
      </c>
      <c r="E407" s="13">
        <f t="shared" si="6"/>
        <v>10.146813333149343</v>
      </c>
      <c r="F407" s="11" t="s">
        <v>70</v>
      </c>
      <c r="G407" s="11" t="s">
        <v>69</v>
      </c>
      <c r="H407" s="11" t="s">
        <v>69</v>
      </c>
      <c r="I407" s="11" t="s">
        <v>69</v>
      </c>
      <c r="J407" s="11" t="s">
        <v>69</v>
      </c>
      <c r="K407" s="14"/>
      <c r="L407" s="14"/>
      <c r="M407" s="11"/>
      <c r="N407" s="12"/>
      <c r="O407" s="11"/>
      <c r="P407" s="11"/>
      <c r="Q407" s="1">
        <v>403</v>
      </c>
      <c r="R407" s="1"/>
      <c r="S407" s="3">
        <f>INDEX(Locations!$D$6:$D$455,MATCH(B407,Locations!$A$6:$A$455,0))</f>
        <v>42.732843402691501</v>
      </c>
      <c r="T407" s="3">
        <f>INDEX(Locations!$E$6:$E$455,MATCH(B407,Locations!$A$6:$A$455,0))</f>
        <v>-73.679049792888407</v>
      </c>
      <c r="U407" s="3">
        <f>INDEX(Locations!$D$6:$D$455,MATCH(C407,Locations!$A$6:$A$455,0))</f>
        <v>42.732828459020801</v>
      </c>
      <c r="V407" s="3">
        <f>INDEX(Locations!$E$6:$E$455,MATCH(C407,Locations!$A$6:$A$455,0))</f>
        <v>-73.678927236859806</v>
      </c>
    </row>
    <row r="408" spans="1:22" ht="23.1" customHeight="1">
      <c r="A408" s="1" t="s">
        <v>1016</v>
      </c>
      <c r="B408" s="1" t="s">
        <v>472</v>
      </c>
      <c r="C408" s="1" t="s">
        <v>477</v>
      </c>
      <c r="D408" s="1" t="s">
        <v>612</v>
      </c>
      <c r="E408" s="13">
        <f t="shared" si="6"/>
        <v>24.662626788890666</v>
      </c>
      <c r="F408" s="11" t="s">
        <v>70</v>
      </c>
      <c r="G408" s="11" t="s">
        <v>69</v>
      </c>
      <c r="H408" s="11" t="s">
        <v>69</v>
      </c>
      <c r="I408" s="11" t="s">
        <v>69</v>
      </c>
      <c r="J408" s="11" t="s">
        <v>69</v>
      </c>
      <c r="K408" s="14"/>
      <c r="L408" s="14"/>
      <c r="M408" s="11"/>
      <c r="N408" s="12"/>
      <c r="O408" s="11"/>
      <c r="P408" s="11"/>
      <c r="Q408" s="1">
        <v>404</v>
      </c>
      <c r="R408" s="1"/>
      <c r="S408" s="3">
        <f>INDEX(Locations!$D$6:$D$455,MATCH(B408,Locations!$A$6:$A$455,0))</f>
        <v>42.732784777522099</v>
      </c>
      <c r="T408" s="3">
        <f>INDEX(Locations!$E$6:$E$455,MATCH(B408,Locations!$A$6:$A$455,0))</f>
        <v>-73.678631192427005</v>
      </c>
      <c r="U408" s="3">
        <f>INDEX(Locations!$D$6:$D$455,MATCH(C408,Locations!$A$6:$A$455,0))</f>
        <v>42.732828459020801</v>
      </c>
      <c r="V408" s="3">
        <f>INDEX(Locations!$E$6:$E$455,MATCH(C408,Locations!$A$6:$A$455,0))</f>
        <v>-73.678927236859806</v>
      </c>
    </row>
    <row r="409" spans="1:22" ht="23.1" customHeight="1">
      <c r="A409" s="1" t="s">
        <v>1017</v>
      </c>
      <c r="B409" s="1" t="s">
        <v>476</v>
      </c>
      <c r="C409" s="1" t="s">
        <v>477</v>
      </c>
      <c r="D409" s="1" t="s">
        <v>612</v>
      </c>
      <c r="E409" s="13">
        <f t="shared" si="6"/>
        <v>28.069008666641057</v>
      </c>
      <c r="F409" s="11" t="s">
        <v>70</v>
      </c>
      <c r="G409" s="11" t="s">
        <v>69</v>
      </c>
      <c r="H409" s="11" t="s">
        <v>69</v>
      </c>
      <c r="I409" s="11" t="s">
        <v>69</v>
      </c>
      <c r="J409" s="11" t="s">
        <v>69</v>
      </c>
      <c r="K409" s="14"/>
      <c r="L409" s="14"/>
      <c r="M409" s="11"/>
      <c r="N409" s="12"/>
      <c r="O409" s="11"/>
      <c r="P409" s="11"/>
      <c r="Q409" s="1">
        <v>405</v>
      </c>
      <c r="R409" s="1"/>
      <c r="S409" s="3">
        <f>INDEX(Locations!$D$6:$D$455,MATCH(B409,Locations!$A$6:$A$455,0))</f>
        <v>42.732577865159499</v>
      </c>
      <c r="T409" s="3">
        <f>INDEX(Locations!$E$6:$E$455,MATCH(B409,Locations!$A$6:$A$455,0))</f>
        <v>-73.678968619414903</v>
      </c>
      <c r="U409" s="3">
        <f>INDEX(Locations!$D$6:$D$455,MATCH(C409,Locations!$A$6:$A$455,0))</f>
        <v>42.732828459020801</v>
      </c>
      <c r="V409" s="3">
        <f>INDEX(Locations!$E$6:$E$455,MATCH(C409,Locations!$A$6:$A$455,0))</f>
        <v>-73.678927236859806</v>
      </c>
    </row>
    <row r="410" spans="1:22" ht="23.1" customHeight="1">
      <c r="A410" s="1" t="s">
        <v>1018</v>
      </c>
      <c r="B410" s="1" t="s">
        <v>475</v>
      </c>
      <c r="C410" s="1" t="s">
        <v>476</v>
      </c>
      <c r="D410" s="1" t="s">
        <v>612</v>
      </c>
      <c r="E410" s="13">
        <f t="shared" si="6"/>
        <v>35.660064945875767</v>
      </c>
      <c r="F410" s="11" t="s">
        <v>70</v>
      </c>
      <c r="G410" s="11" t="s">
        <v>69</v>
      </c>
      <c r="H410" s="11" t="s">
        <v>69</v>
      </c>
      <c r="I410" s="11" t="s">
        <v>69</v>
      </c>
      <c r="J410" s="11" t="s">
        <v>69</v>
      </c>
      <c r="K410" s="14"/>
      <c r="L410" s="14"/>
      <c r="M410" s="11"/>
      <c r="N410" s="12"/>
      <c r="O410" s="11"/>
      <c r="P410" s="11"/>
      <c r="Q410" s="1">
        <v>406</v>
      </c>
      <c r="R410" s="1"/>
      <c r="S410" s="3">
        <f>INDEX(Locations!$D$6:$D$455,MATCH(B410,Locations!$A$6:$A$455,0))</f>
        <v>42.732770983364603</v>
      </c>
      <c r="T410" s="3">
        <f>INDEX(Locations!$E$6:$E$455,MATCH(B410,Locations!$A$6:$A$455,0))</f>
        <v>-73.679317187859894</v>
      </c>
      <c r="U410" s="3">
        <f>INDEX(Locations!$D$6:$D$455,MATCH(C410,Locations!$A$6:$A$455,0))</f>
        <v>42.732577865159499</v>
      </c>
      <c r="V410" s="3">
        <f>INDEX(Locations!$E$6:$E$455,MATCH(C410,Locations!$A$6:$A$455,0))</f>
        <v>-73.678968619414903</v>
      </c>
    </row>
    <row r="411" spans="1:22" ht="23.1" customHeight="1">
      <c r="A411" s="1" t="s">
        <v>1019</v>
      </c>
      <c r="B411" s="1" t="s">
        <v>474</v>
      </c>
      <c r="C411" s="1" t="s">
        <v>475</v>
      </c>
      <c r="D411" s="1" t="s">
        <v>612</v>
      </c>
      <c r="E411" s="13">
        <f t="shared" si="6"/>
        <v>27.868613928601079</v>
      </c>
      <c r="F411" s="11" t="s">
        <v>70</v>
      </c>
      <c r="G411" s="11" t="s">
        <v>69</v>
      </c>
      <c r="H411" s="11" t="s">
        <v>69</v>
      </c>
      <c r="I411" s="11" t="s">
        <v>69</v>
      </c>
      <c r="J411" s="11" t="s">
        <v>69</v>
      </c>
      <c r="K411" s="14"/>
      <c r="L411" s="14"/>
      <c r="M411" s="11"/>
      <c r="N411" s="12"/>
      <c r="O411" s="11"/>
      <c r="P411" s="11"/>
      <c r="Q411" s="1">
        <v>407</v>
      </c>
      <c r="R411" s="1"/>
      <c r="S411" s="3">
        <f>INDEX(Locations!$D$6:$D$455,MATCH(B411,Locations!$A$6:$A$455,0))</f>
        <v>42.733006633555298</v>
      </c>
      <c r="T411" s="3">
        <f>INDEX(Locations!$E$6:$E$455,MATCH(B411,Locations!$A$6:$A$455,0))</f>
        <v>-73.679433377341596</v>
      </c>
      <c r="U411" s="3">
        <f>INDEX(Locations!$D$6:$D$455,MATCH(C411,Locations!$A$6:$A$455,0))</f>
        <v>42.732770983364603</v>
      </c>
      <c r="V411" s="3">
        <f>INDEX(Locations!$E$6:$E$455,MATCH(C411,Locations!$A$6:$A$455,0))</f>
        <v>-73.679317187859894</v>
      </c>
    </row>
    <row r="412" spans="1:22" ht="23.1" customHeight="1">
      <c r="A412" s="1" t="s">
        <v>1020</v>
      </c>
      <c r="B412" s="1" t="s">
        <v>473</v>
      </c>
      <c r="C412" s="1" t="s">
        <v>474</v>
      </c>
      <c r="D412" s="1" t="s">
        <v>612</v>
      </c>
      <c r="E412" s="13">
        <f t="shared" si="6"/>
        <v>36.207339637762125</v>
      </c>
      <c r="F412" s="11" t="s">
        <v>70</v>
      </c>
      <c r="G412" s="11" t="s">
        <v>69</v>
      </c>
      <c r="H412" s="11" t="s">
        <v>69</v>
      </c>
      <c r="I412" s="11" t="s">
        <v>69</v>
      </c>
      <c r="J412" s="11" t="s">
        <v>69</v>
      </c>
      <c r="K412" s="14"/>
      <c r="L412" s="14"/>
      <c r="M412" s="11"/>
      <c r="N412" s="12"/>
      <c r="O412" s="11"/>
      <c r="P412" s="11"/>
      <c r="Q412" s="1">
        <v>408</v>
      </c>
      <c r="R412" s="1"/>
      <c r="S412" s="3">
        <f>INDEX(Locations!$D$6:$D$455,MATCH(B412,Locations!$A$6:$A$455,0))</f>
        <v>42.732843402691501</v>
      </c>
      <c r="T412" s="3">
        <f>INDEX(Locations!$E$6:$E$455,MATCH(B412,Locations!$A$6:$A$455,0))</f>
        <v>-73.679049792888407</v>
      </c>
      <c r="U412" s="3">
        <f>INDEX(Locations!$D$6:$D$455,MATCH(C412,Locations!$A$6:$A$455,0))</f>
        <v>42.733006633555298</v>
      </c>
      <c r="V412" s="3">
        <f>INDEX(Locations!$E$6:$E$455,MATCH(C412,Locations!$A$6:$A$455,0))</f>
        <v>-73.679433377341596</v>
      </c>
    </row>
    <row r="413" spans="1:22" ht="23.1" customHeight="1">
      <c r="A413" s="1" t="s">
        <v>1021</v>
      </c>
      <c r="B413" s="1" t="s">
        <v>476</v>
      </c>
      <c r="C413" s="1" t="s">
        <v>131</v>
      </c>
      <c r="D413" s="1" t="s">
        <v>612</v>
      </c>
      <c r="E413" s="13">
        <f t="shared" si="6"/>
        <v>20.637231969401984</v>
      </c>
      <c r="F413" s="11" t="s">
        <v>70</v>
      </c>
      <c r="G413" s="11" t="s">
        <v>69</v>
      </c>
      <c r="H413" s="11" t="s">
        <v>69</v>
      </c>
      <c r="I413" s="11" t="s">
        <v>69</v>
      </c>
      <c r="J413" s="11" t="s">
        <v>69</v>
      </c>
      <c r="K413" s="14"/>
      <c r="L413" s="14"/>
      <c r="M413" s="11"/>
      <c r="N413" s="12"/>
      <c r="O413" s="11"/>
      <c r="P413" s="11"/>
      <c r="Q413" s="1">
        <v>409</v>
      </c>
      <c r="R413" s="1"/>
      <c r="S413" s="3">
        <f>INDEX(Locations!$D$6:$D$455,MATCH(B413,Locations!$A$6:$A$455,0))</f>
        <v>42.732577865159499</v>
      </c>
      <c r="T413" s="3">
        <f>INDEX(Locations!$E$6:$E$455,MATCH(B413,Locations!$A$6:$A$455,0))</f>
        <v>-73.678968619414903</v>
      </c>
      <c r="U413" s="3">
        <f>INDEX(Locations!$D$6:$D$455,MATCH(C413,Locations!$A$6:$A$455,0))</f>
        <v>42.732603318768902</v>
      </c>
      <c r="V413" s="3">
        <f>INDEX(Locations!$E$6:$E$455,MATCH(C413,Locations!$A$6:$A$455,0))</f>
        <v>-73.679218904207701</v>
      </c>
    </row>
    <row r="414" spans="1:22" ht="23.1" customHeight="1">
      <c r="A414" s="1" t="s">
        <v>1022</v>
      </c>
      <c r="B414" s="1" t="s">
        <v>447</v>
      </c>
      <c r="C414" s="1" t="s">
        <v>479</v>
      </c>
      <c r="D414" s="1" t="s">
        <v>612</v>
      </c>
      <c r="E414" s="13">
        <f t="shared" si="6"/>
        <v>41.184977193536</v>
      </c>
      <c r="F414" s="11" t="s">
        <v>70</v>
      </c>
      <c r="G414" s="11" t="s">
        <v>69</v>
      </c>
      <c r="H414" s="11" t="s">
        <v>69</v>
      </c>
      <c r="I414" s="11" t="s">
        <v>69</v>
      </c>
      <c r="J414" s="11" t="s">
        <v>69</v>
      </c>
      <c r="K414" s="14"/>
      <c r="L414" s="14"/>
      <c r="M414" s="11"/>
      <c r="N414" s="12"/>
      <c r="O414" s="11"/>
      <c r="P414" s="11"/>
      <c r="Q414" s="1">
        <v>410</v>
      </c>
      <c r="R414" s="1"/>
      <c r="S414" s="3">
        <f>INDEX(Locations!$D$6:$D$455,MATCH(B414,Locations!$A$6:$A$455,0))</f>
        <v>42.733460691239799</v>
      </c>
      <c r="T414" s="3">
        <f>INDEX(Locations!$E$6:$E$455,MATCH(B414,Locations!$A$6:$A$455,0))</f>
        <v>-73.679595724288603</v>
      </c>
      <c r="U414" s="3">
        <f>INDEX(Locations!$D$6:$D$455,MATCH(C414,Locations!$A$6:$A$455,0))</f>
        <v>42.733111239249702</v>
      </c>
      <c r="V414" s="3">
        <f>INDEX(Locations!$E$6:$E$455,MATCH(C414,Locations!$A$6:$A$455,0))</f>
        <v>-73.679762846145806</v>
      </c>
    </row>
    <row r="415" spans="1:22" ht="23.1" customHeight="1">
      <c r="A415" s="1" t="s">
        <v>1023</v>
      </c>
      <c r="B415" s="1" t="s">
        <v>474</v>
      </c>
      <c r="C415" s="1" t="s">
        <v>479</v>
      </c>
      <c r="D415" s="1" t="s">
        <v>612</v>
      </c>
      <c r="E415" s="13">
        <f t="shared" si="6"/>
        <v>29.315746689597006</v>
      </c>
      <c r="F415" s="11" t="s">
        <v>70</v>
      </c>
      <c r="G415" s="11" t="s">
        <v>69</v>
      </c>
      <c r="H415" s="11" t="s">
        <v>69</v>
      </c>
      <c r="I415" s="11" t="s">
        <v>69</v>
      </c>
      <c r="J415" s="11" t="s">
        <v>69</v>
      </c>
      <c r="K415" s="14"/>
      <c r="L415" s="14"/>
      <c r="M415" s="11"/>
      <c r="N415" s="12"/>
      <c r="O415" s="11"/>
      <c r="P415" s="11"/>
      <c r="Q415" s="1">
        <v>411</v>
      </c>
      <c r="R415" s="1"/>
      <c r="S415" s="3">
        <f>INDEX(Locations!$D$6:$D$455,MATCH(B415,Locations!$A$6:$A$455,0))</f>
        <v>42.733006633555298</v>
      </c>
      <c r="T415" s="3">
        <f>INDEX(Locations!$E$6:$E$455,MATCH(B415,Locations!$A$6:$A$455,0))</f>
        <v>-73.679433377341596</v>
      </c>
      <c r="U415" s="3">
        <f>INDEX(Locations!$D$6:$D$455,MATCH(C415,Locations!$A$6:$A$455,0))</f>
        <v>42.733111239249702</v>
      </c>
      <c r="V415" s="3">
        <f>INDEX(Locations!$E$6:$E$455,MATCH(C415,Locations!$A$6:$A$455,0))</f>
        <v>-73.679762846145806</v>
      </c>
    </row>
    <row r="416" spans="1:22" ht="23.1" customHeight="1">
      <c r="A416" s="1" t="s">
        <v>1024</v>
      </c>
      <c r="B416" s="1" t="s">
        <v>446</v>
      </c>
      <c r="C416" s="1" t="s">
        <v>479</v>
      </c>
      <c r="D416" s="1" t="s">
        <v>612</v>
      </c>
      <c r="E416" s="13">
        <f t="shared" si="6"/>
        <v>32.920613978919278</v>
      </c>
      <c r="F416" s="11" t="s">
        <v>70</v>
      </c>
      <c r="G416" s="11" t="s">
        <v>69</v>
      </c>
      <c r="H416" s="11" t="s">
        <v>69</v>
      </c>
      <c r="I416" s="11" t="s">
        <v>69</v>
      </c>
      <c r="J416" s="11" t="s">
        <v>69</v>
      </c>
      <c r="K416" s="14"/>
      <c r="L416" s="14"/>
      <c r="M416" s="11"/>
      <c r="N416" s="12"/>
      <c r="O416" s="11"/>
      <c r="P416" s="11"/>
      <c r="Q416" s="1">
        <v>412</v>
      </c>
      <c r="R416" s="1"/>
      <c r="S416" s="3">
        <f>INDEX(Locations!$D$6:$D$455,MATCH(B416,Locations!$A$6:$A$455,0))</f>
        <v>42.732828459020801</v>
      </c>
      <c r="T416" s="3">
        <f>INDEX(Locations!$E$6:$E$455,MATCH(B416,Locations!$A$6:$A$455,0))</f>
        <v>-73.6798822189009</v>
      </c>
      <c r="U416" s="3">
        <f>INDEX(Locations!$D$6:$D$455,MATCH(C416,Locations!$A$6:$A$455,0))</f>
        <v>42.733111239249702</v>
      </c>
      <c r="V416" s="3">
        <f>INDEX(Locations!$E$6:$E$455,MATCH(C416,Locations!$A$6:$A$455,0))</f>
        <v>-73.679762846145806</v>
      </c>
    </row>
    <row r="417" spans="1:22" ht="23.1" customHeight="1">
      <c r="A417" s="1" t="s">
        <v>1025</v>
      </c>
      <c r="B417" s="1" t="s">
        <v>447</v>
      </c>
      <c r="C417" s="1" t="s">
        <v>478</v>
      </c>
      <c r="D417" s="1" t="s">
        <v>612</v>
      </c>
      <c r="E417" s="13">
        <f t="shared" si="6"/>
        <v>64.968129961246447</v>
      </c>
      <c r="F417" s="11" t="s">
        <v>70</v>
      </c>
      <c r="G417" s="11" t="s">
        <v>69</v>
      </c>
      <c r="H417" s="11" t="s">
        <v>69</v>
      </c>
      <c r="I417" s="11" t="s">
        <v>69</v>
      </c>
      <c r="J417" s="11" t="s">
        <v>69</v>
      </c>
      <c r="K417" s="14"/>
      <c r="L417" s="14"/>
      <c r="M417" s="11"/>
      <c r="N417" s="12"/>
      <c r="O417" s="11"/>
      <c r="P417" s="11"/>
      <c r="Q417" s="1">
        <v>413</v>
      </c>
      <c r="R417" s="1"/>
      <c r="S417" s="3">
        <f>INDEX(Locations!$D$6:$D$455,MATCH(B417,Locations!$A$6:$A$455,0))</f>
        <v>42.733460691239799</v>
      </c>
      <c r="T417" s="3">
        <f>INDEX(Locations!$E$6:$E$455,MATCH(B417,Locations!$A$6:$A$455,0))</f>
        <v>-73.679595724288603</v>
      </c>
      <c r="U417" s="3">
        <f>INDEX(Locations!$D$6:$D$455,MATCH(C417,Locations!$A$6:$A$455,0))</f>
        <v>42.733345739927202</v>
      </c>
      <c r="V417" s="3">
        <f>INDEX(Locations!$E$6:$E$455,MATCH(C417,Locations!$A$6:$A$455,0))</f>
        <v>-73.6788158222883</v>
      </c>
    </row>
    <row r="418" spans="1:22" ht="23.1" customHeight="1">
      <c r="A418" s="1" t="s">
        <v>1026</v>
      </c>
      <c r="B418" s="1" t="s">
        <v>471</v>
      </c>
      <c r="C418" s="1" t="s">
        <v>478</v>
      </c>
      <c r="D418" s="1" t="s">
        <v>612</v>
      </c>
      <c r="E418" s="13">
        <f t="shared" si="6"/>
        <v>26.773335833949076</v>
      </c>
      <c r="F418" s="11" t="s">
        <v>70</v>
      </c>
      <c r="G418" s="11" t="s">
        <v>69</v>
      </c>
      <c r="H418" s="11" t="s">
        <v>69</v>
      </c>
      <c r="I418" s="11" t="s">
        <v>69</v>
      </c>
      <c r="J418" s="11" t="s">
        <v>69</v>
      </c>
      <c r="K418" s="14"/>
      <c r="L418" s="14"/>
      <c r="M418" s="11"/>
      <c r="N418" s="12"/>
      <c r="O418" s="11"/>
      <c r="P418" s="11"/>
      <c r="Q418" s="1">
        <v>414</v>
      </c>
      <c r="R418" s="1"/>
      <c r="S418" s="3">
        <f>INDEX(Locations!$D$6:$D$455,MATCH(B418,Locations!$A$6:$A$455,0))</f>
        <v>42.733288264271003</v>
      </c>
      <c r="T418" s="3">
        <f>INDEX(Locations!$E$6:$E$455,MATCH(B418,Locations!$A$6:$A$455,0))</f>
        <v>-73.678497494941297</v>
      </c>
      <c r="U418" s="3">
        <f>INDEX(Locations!$D$6:$D$455,MATCH(C418,Locations!$A$6:$A$455,0))</f>
        <v>42.733345739927202</v>
      </c>
      <c r="V418" s="3">
        <f>INDEX(Locations!$E$6:$E$455,MATCH(C418,Locations!$A$6:$A$455,0))</f>
        <v>-73.6788158222883</v>
      </c>
    </row>
    <row r="419" spans="1:22" ht="23.1" customHeight="1">
      <c r="A419" s="1" t="s">
        <v>1027</v>
      </c>
      <c r="B419" s="1" t="s">
        <v>477</v>
      </c>
      <c r="C419" s="1" t="s">
        <v>478</v>
      </c>
      <c r="D419" s="1" t="s">
        <v>612</v>
      </c>
      <c r="E419" s="13">
        <f t="shared" si="6"/>
        <v>58.234382596499501</v>
      </c>
      <c r="F419" s="11" t="s">
        <v>70</v>
      </c>
      <c r="G419" s="11" t="s">
        <v>69</v>
      </c>
      <c r="H419" s="11" t="s">
        <v>69</v>
      </c>
      <c r="I419" s="11" t="s">
        <v>69</v>
      </c>
      <c r="J419" s="11" t="s">
        <v>69</v>
      </c>
      <c r="K419" s="14"/>
      <c r="L419" s="14"/>
      <c r="M419" s="11"/>
      <c r="N419" s="12"/>
      <c r="O419" s="11"/>
      <c r="P419" s="11"/>
      <c r="Q419" s="1">
        <v>415</v>
      </c>
      <c r="R419" s="1"/>
      <c r="S419" s="3">
        <f>INDEX(Locations!$D$6:$D$455,MATCH(B419,Locations!$A$6:$A$455,0))</f>
        <v>42.732828459020801</v>
      </c>
      <c r="T419" s="3">
        <f>INDEX(Locations!$E$6:$E$455,MATCH(B419,Locations!$A$6:$A$455,0))</f>
        <v>-73.678927236859806</v>
      </c>
      <c r="U419" s="3">
        <f>INDEX(Locations!$D$6:$D$455,MATCH(C419,Locations!$A$6:$A$455,0))</f>
        <v>42.733345739927202</v>
      </c>
      <c r="V419" s="3">
        <f>INDEX(Locations!$E$6:$E$455,MATCH(C419,Locations!$A$6:$A$455,0))</f>
        <v>-73.6788158222883</v>
      </c>
    </row>
    <row r="420" spans="1:22" ht="23.1" customHeight="1">
      <c r="A420" s="1" t="s">
        <v>1028</v>
      </c>
      <c r="B420" s="1" t="s">
        <v>471</v>
      </c>
      <c r="C420" s="1" t="s">
        <v>483</v>
      </c>
      <c r="D420" s="1" t="s">
        <v>612</v>
      </c>
      <c r="E420" s="13">
        <f t="shared" si="6"/>
        <v>79.533913449236323</v>
      </c>
      <c r="F420" s="11" t="s">
        <v>70</v>
      </c>
      <c r="G420" s="11" t="s">
        <v>69</v>
      </c>
      <c r="H420" s="11" t="s">
        <v>69</v>
      </c>
      <c r="I420" s="11" t="s">
        <v>69</v>
      </c>
      <c r="J420" s="11" t="s">
        <v>69</v>
      </c>
      <c r="K420" s="14"/>
      <c r="L420" s="14"/>
      <c r="M420" s="11"/>
      <c r="N420" s="12"/>
      <c r="O420" s="11"/>
      <c r="P420" s="11"/>
      <c r="Q420" s="1">
        <v>416</v>
      </c>
      <c r="R420" s="1"/>
      <c r="S420" s="3">
        <f>INDEX(Locations!$D$6:$D$455,MATCH(B420,Locations!$A$6:$A$455,0))</f>
        <v>42.733288264271003</v>
      </c>
      <c r="T420" s="3">
        <f>INDEX(Locations!$E$6:$E$455,MATCH(B420,Locations!$A$6:$A$455,0))</f>
        <v>-73.678497494941297</v>
      </c>
      <c r="U420" s="3">
        <f>INDEX(Locations!$D$6:$D$455,MATCH(C420,Locations!$A$6:$A$455,0))</f>
        <v>42.733160668314099</v>
      </c>
      <c r="V420" s="3">
        <f>INDEX(Locations!$E$6:$E$455,MATCH(C420,Locations!$A$6:$A$455,0))</f>
        <v>-73.677539329626597</v>
      </c>
    </row>
    <row r="421" spans="1:22" ht="23.1" customHeight="1">
      <c r="A421" s="1" t="s">
        <v>1029</v>
      </c>
      <c r="B421" s="1" t="s">
        <v>137</v>
      </c>
      <c r="C421" s="1" t="s">
        <v>482</v>
      </c>
      <c r="D421" s="1" t="s">
        <v>612</v>
      </c>
      <c r="E421" s="13">
        <f t="shared" si="6"/>
        <v>42.711486019970792</v>
      </c>
      <c r="F421" s="11" t="s">
        <v>70</v>
      </c>
      <c r="G421" s="11" t="s">
        <v>69</v>
      </c>
      <c r="H421" s="11" t="s">
        <v>69</v>
      </c>
      <c r="I421" s="11" t="s">
        <v>69</v>
      </c>
      <c r="J421" s="11" t="s">
        <v>69</v>
      </c>
      <c r="K421" s="14"/>
      <c r="L421" s="14"/>
      <c r="M421" s="11"/>
      <c r="N421" s="12"/>
      <c r="O421" s="11"/>
      <c r="P421" s="11"/>
      <c r="Q421" s="1">
        <v>417</v>
      </c>
      <c r="R421" s="1"/>
      <c r="S421" s="3">
        <f>INDEX(Locations!$D$6:$D$455,MATCH(B421,Locations!$A$6:$A$455,0))</f>
        <v>42.7328920544551</v>
      </c>
      <c r="T421" s="3">
        <f>INDEX(Locations!$E$6:$E$455,MATCH(B421,Locations!$A$6:$A$455,0))</f>
        <v>-73.678166768821001</v>
      </c>
      <c r="U421" s="3">
        <f>INDEX(Locations!$D$6:$D$455,MATCH(C421,Locations!$A$6:$A$455,0))</f>
        <v>42.732874439545903</v>
      </c>
      <c r="V421" s="3">
        <f>INDEX(Locations!$E$6:$E$455,MATCH(C421,Locations!$A$6:$A$455,0))</f>
        <v>-73.677644377651205</v>
      </c>
    </row>
    <row r="422" spans="1:22" ht="23.1" customHeight="1">
      <c r="A422" s="1" t="s">
        <v>1030</v>
      </c>
      <c r="B422" s="1" t="s">
        <v>483</v>
      </c>
      <c r="C422" s="1" t="s">
        <v>482</v>
      </c>
      <c r="D422" s="1" t="s">
        <v>612</v>
      </c>
      <c r="E422" s="13">
        <f t="shared" si="6"/>
        <v>32.963362996779644</v>
      </c>
      <c r="F422" s="11" t="s">
        <v>70</v>
      </c>
      <c r="G422" s="11" t="s">
        <v>69</v>
      </c>
      <c r="H422" s="11" t="s">
        <v>69</v>
      </c>
      <c r="I422" s="11" t="s">
        <v>69</v>
      </c>
      <c r="J422" s="11" t="s">
        <v>69</v>
      </c>
      <c r="K422" s="14"/>
      <c r="L422" s="14"/>
      <c r="M422" s="11"/>
      <c r="N422" s="12"/>
      <c r="O422" s="11"/>
      <c r="P422" s="11"/>
      <c r="Q422" s="1">
        <v>418</v>
      </c>
      <c r="R422" s="1"/>
      <c r="S422" s="3">
        <f>INDEX(Locations!$D$6:$D$455,MATCH(B422,Locations!$A$6:$A$455,0))</f>
        <v>42.733160668314099</v>
      </c>
      <c r="T422" s="3">
        <f>INDEX(Locations!$E$6:$E$455,MATCH(B422,Locations!$A$6:$A$455,0))</f>
        <v>-73.677539329626597</v>
      </c>
      <c r="U422" s="3">
        <f>INDEX(Locations!$D$6:$D$455,MATCH(C422,Locations!$A$6:$A$455,0))</f>
        <v>42.732874439545903</v>
      </c>
      <c r="V422" s="3">
        <f>INDEX(Locations!$E$6:$E$455,MATCH(C422,Locations!$A$6:$A$455,0))</f>
        <v>-73.677644377651205</v>
      </c>
    </row>
    <row r="423" spans="1:22" ht="23.1" customHeight="1">
      <c r="A423" s="1" t="s">
        <v>1031</v>
      </c>
      <c r="B423" s="1" t="s">
        <v>481</v>
      </c>
      <c r="C423" s="1" t="s">
        <v>482</v>
      </c>
      <c r="D423" s="1" t="s">
        <v>612</v>
      </c>
      <c r="E423" s="13">
        <f t="shared" si="6"/>
        <v>51.137563301929724</v>
      </c>
      <c r="F423" s="11" t="s">
        <v>70</v>
      </c>
      <c r="G423" s="11" t="s">
        <v>69</v>
      </c>
      <c r="H423" s="11" t="s">
        <v>69</v>
      </c>
      <c r="I423" s="11" t="s">
        <v>69</v>
      </c>
      <c r="J423" s="11" t="s">
        <v>69</v>
      </c>
      <c r="K423" s="14"/>
      <c r="L423" s="14"/>
      <c r="M423" s="11"/>
      <c r="N423" s="12"/>
      <c r="O423" s="11"/>
      <c r="P423" s="11"/>
      <c r="Q423" s="1">
        <v>419</v>
      </c>
      <c r="R423" s="1"/>
      <c r="S423" s="3">
        <f>INDEX(Locations!$D$6:$D$455,MATCH(B423,Locations!$A$6:$A$455,0))</f>
        <v>42.7324192323482</v>
      </c>
      <c r="T423" s="3">
        <f>INDEX(Locations!$E$6:$E$455,MATCH(B423,Locations!$A$6:$A$455,0))</f>
        <v>-73.677733509308297</v>
      </c>
      <c r="U423" s="3">
        <f>INDEX(Locations!$D$6:$D$455,MATCH(C423,Locations!$A$6:$A$455,0))</f>
        <v>42.732874439545903</v>
      </c>
      <c r="V423" s="3">
        <f>INDEX(Locations!$E$6:$E$455,MATCH(C423,Locations!$A$6:$A$455,0))</f>
        <v>-73.677644377651205</v>
      </c>
    </row>
    <row r="424" spans="1:22" ht="23.1" customHeight="1">
      <c r="A424" s="1" t="s">
        <v>1032</v>
      </c>
      <c r="B424" s="1" t="s">
        <v>480</v>
      </c>
      <c r="C424" s="1" t="s">
        <v>481</v>
      </c>
      <c r="D424" s="1" t="s">
        <v>612</v>
      </c>
      <c r="E424" s="13">
        <f t="shared" si="6"/>
        <v>79.746610790084162</v>
      </c>
      <c r="F424" s="11" t="s">
        <v>70</v>
      </c>
      <c r="G424" s="11" t="s">
        <v>69</v>
      </c>
      <c r="H424" s="11" t="s">
        <v>69</v>
      </c>
      <c r="I424" s="11" t="s">
        <v>69</v>
      </c>
      <c r="J424" s="11" t="s">
        <v>69</v>
      </c>
      <c r="K424" s="14"/>
      <c r="L424" s="14"/>
      <c r="M424" s="11"/>
      <c r="N424" s="12"/>
      <c r="O424" s="11"/>
      <c r="P424" s="11"/>
      <c r="Q424" s="1">
        <v>420</v>
      </c>
      <c r="R424" s="1"/>
      <c r="S424" s="3">
        <f>INDEX(Locations!$D$6:$D$455,MATCH(B424,Locations!$A$6:$A$455,0))</f>
        <v>42.7324951002145</v>
      </c>
      <c r="T424" s="3">
        <f>INDEX(Locations!$E$6:$E$455,MATCH(B424,Locations!$A$6:$A$455,0))</f>
        <v>-73.678704407716793</v>
      </c>
      <c r="U424" s="3">
        <f>INDEX(Locations!$D$6:$D$455,MATCH(C424,Locations!$A$6:$A$455,0))</f>
        <v>42.7324192323482</v>
      </c>
      <c r="V424" s="3">
        <f>INDEX(Locations!$E$6:$E$455,MATCH(C424,Locations!$A$6:$A$455,0))</f>
        <v>-73.677733509308297</v>
      </c>
    </row>
    <row r="425" spans="1:22" ht="23.1" customHeight="1">
      <c r="A425" s="1" t="s">
        <v>1033</v>
      </c>
      <c r="B425" s="1" t="s">
        <v>472</v>
      </c>
      <c r="C425" s="1" t="s">
        <v>480</v>
      </c>
      <c r="D425" s="1" t="s">
        <v>612</v>
      </c>
      <c r="E425" s="13">
        <f t="shared" si="6"/>
        <v>32.761031618955734</v>
      </c>
      <c r="F425" s="11" t="s">
        <v>70</v>
      </c>
      <c r="G425" s="11" t="s">
        <v>69</v>
      </c>
      <c r="H425" s="11" t="s">
        <v>69</v>
      </c>
      <c r="I425" s="11" t="s">
        <v>69</v>
      </c>
      <c r="J425" s="11" t="s">
        <v>69</v>
      </c>
      <c r="K425" s="14"/>
      <c r="L425" s="14"/>
      <c r="M425" s="11"/>
      <c r="N425" s="12"/>
      <c r="O425" s="11"/>
      <c r="P425" s="11"/>
      <c r="Q425" s="1">
        <v>421</v>
      </c>
      <c r="R425" s="1"/>
      <c r="S425" s="3">
        <f>INDEX(Locations!$D$6:$D$455,MATCH(B425,Locations!$A$6:$A$455,0))</f>
        <v>42.732784777522099</v>
      </c>
      <c r="T425" s="3">
        <f>INDEX(Locations!$E$6:$E$455,MATCH(B425,Locations!$A$6:$A$455,0))</f>
        <v>-73.678631192427005</v>
      </c>
      <c r="U425" s="3">
        <f>INDEX(Locations!$D$6:$D$455,MATCH(C425,Locations!$A$6:$A$455,0))</f>
        <v>42.7324951002145</v>
      </c>
      <c r="V425" s="3">
        <f>INDEX(Locations!$E$6:$E$455,MATCH(C425,Locations!$A$6:$A$455,0))</f>
        <v>-73.678704407716793</v>
      </c>
    </row>
    <row r="426" spans="1:22" ht="23.1" customHeight="1">
      <c r="A426" s="1" t="s">
        <v>1034</v>
      </c>
      <c r="B426" s="1" t="s">
        <v>483</v>
      </c>
      <c r="C426" s="1" t="s">
        <v>217</v>
      </c>
      <c r="D426" s="1" t="s">
        <v>612</v>
      </c>
      <c r="E426" s="13">
        <f t="shared" si="6"/>
        <v>82.427046482432061</v>
      </c>
      <c r="F426" s="11" t="s">
        <v>70</v>
      </c>
      <c r="G426" s="11" t="s">
        <v>69</v>
      </c>
      <c r="H426" s="11" t="s">
        <v>69</v>
      </c>
      <c r="I426" s="11" t="s">
        <v>69</v>
      </c>
      <c r="J426" s="11" t="s">
        <v>69</v>
      </c>
      <c r="K426" s="14"/>
      <c r="L426" s="14"/>
      <c r="M426" s="11"/>
      <c r="N426" s="12"/>
      <c r="O426" s="11"/>
      <c r="P426" s="11"/>
      <c r="Q426" s="1">
        <v>422</v>
      </c>
      <c r="R426" s="1"/>
      <c r="S426" s="3">
        <f>INDEX(Locations!$D$6:$D$455,MATCH(B426,Locations!$A$6:$A$455,0))</f>
        <v>42.733160668314099</v>
      </c>
      <c r="T426" s="3">
        <f>INDEX(Locations!$E$6:$E$455,MATCH(B426,Locations!$A$6:$A$455,0))</f>
        <v>-73.677539329626597</v>
      </c>
      <c r="U426" s="3">
        <f>INDEX(Locations!$D$6:$D$455,MATCH(C426,Locations!$A$6:$A$455,0))</f>
        <v>42.733058361645902</v>
      </c>
      <c r="V426" s="3">
        <f>INDEX(Locations!$E$6:$E$455,MATCH(C426,Locations!$A$6:$A$455,0))</f>
        <v>-73.676539781756901</v>
      </c>
    </row>
    <row r="427" spans="1:22" ht="23.1" customHeight="1">
      <c r="A427" s="1" t="s">
        <v>1035</v>
      </c>
      <c r="B427" s="1" t="s">
        <v>438</v>
      </c>
      <c r="C427" s="1" t="s">
        <v>486</v>
      </c>
      <c r="D427" s="1" t="s">
        <v>612</v>
      </c>
      <c r="E427" s="13">
        <f t="shared" si="6"/>
        <v>38.130968452389219</v>
      </c>
      <c r="F427" s="11" t="s">
        <v>70</v>
      </c>
      <c r="G427" s="11" t="s">
        <v>69</v>
      </c>
      <c r="H427" s="11" t="s">
        <v>69</v>
      </c>
      <c r="I427" s="11" t="s">
        <v>69</v>
      </c>
      <c r="J427" s="11" t="s">
        <v>69</v>
      </c>
      <c r="K427" s="14"/>
      <c r="L427" s="14"/>
      <c r="M427" s="11"/>
      <c r="N427" s="12"/>
      <c r="O427" s="11"/>
      <c r="P427" s="11"/>
      <c r="Q427" s="1">
        <v>423</v>
      </c>
      <c r="R427" s="1"/>
      <c r="S427" s="3">
        <f>INDEX(Locations!$D$6:$D$455,MATCH(B427,Locations!$A$6:$A$455,0))</f>
        <v>42.731943333914401</v>
      </c>
      <c r="T427" s="3">
        <f>INDEX(Locations!$E$6:$E$455,MATCH(B427,Locations!$A$6:$A$455,0))</f>
        <v>-73.6811937275708</v>
      </c>
      <c r="U427" s="3">
        <f>INDEX(Locations!$D$6:$D$455,MATCH(C427,Locations!$A$6:$A$455,0))</f>
        <v>42.7317938972081</v>
      </c>
      <c r="V427" s="3">
        <f>INDEX(Locations!$E$6:$E$455,MATCH(C427,Locations!$A$6:$A$455,0))</f>
        <v>-73.680773535472696</v>
      </c>
    </row>
    <row r="428" spans="1:22" ht="23.1" customHeight="1">
      <c r="A428" s="1" t="s">
        <v>1036</v>
      </c>
      <c r="B428" s="1" t="s">
        <v>485</v>
      </c>
      <c r="C428" s="1" t="s">
        <v>486</v>
      </c>
      <c r="D428" s="1" t="s">
        <v>612</v>
      </c>
      <c r="E428" s="13">
        <f t="shared" si="6"/>
        <v>76.387210483221764</v>
      </c>
      <c r="F428" s="11" t="s">
        <v>70</v>
      </c>
      <c r="G428" s="11" t="s">
        <v>69</v>
      </c>
      <c r="H428" s="11" t="s">
        <v>69</v>
      </c>
      <c r="I428" s="11" t="s">
        <v>69</v>
      </c>
      <c r="J428" s="11" t="s">
        <v>69</v>
      </c>
      <c r="K428" s="14"/>
      <c r="L428" s="14"/>
      <c r="M428" s="11"/>
      <c r="N428" s="12"/>
      <c r="O428" s="11"/>
      <c r="P428" s="11"/>
      <c r="Q428" s="1">
        <v>424</v>
      </c>
      <c r="R428" s="1"/>
      <c r="S428" s="3">
        <f>INDEX(Locations!$D$6:$D$455,MATCH(B428,Locations!$A$6:$A$455,0))</f>
        <v>42.7318697650743</v>
      </c>
      <c r="T428" s="3">
        <f>INDEX(Locations!$E$6:$E$455,MATCH(B428,Locations!$A$6:$A$455,0))</f>
        <v>-73.679844019619296</v>
      </c>
      <c r="U428" s="3">
        <f>INDEX(Locations!$D$6:$D$455,MATCH(C428,Locations!$A$6:$A$455,0))</f>
        <v>42.7317938972081</v>
      </c>
      <c r="V428" s="3">
        <f>INDEX(Locations!$E$6:$E$455,MATCH(C428,Locations!$A$6:$A$455,0))</f>
        <v>-73.680773535472696</v>
      </c>
    </row>
    <row r="429" spans="1:22" ht="23.1" customHeight="1">
      <c r="A429" s="1" t="s">
        <v>1037</v>
      </c>
      <c r="B429" s="1" t="s">
        <v>484</v>
      </c>
      <c r="C429" s="1" t="s">
        <v>485</v>
      </c>
      <c r="D429" s="1" t="s">
        <v>612</v>
      </c>
      <c r="E429" s="13">
        <f t="shared" si="6"/>
        <v>83.374059553629237</v>
      </c>
      <c r="F429" s="11" t="s">
        <v>70</v>
      </c>
      <c r="G429" s="11" t="s">
        <v>69</v>
      </c>
      <c r="H429" s="11" t="s">
        <v>69</v>
      </c>
      <c r="I429" s="11" t="s">
        <v>69</v>
      </c>
      <c r="J429" s="11" t="s">
        <v>69</v>
      </c>
      <c r="K429" s="14"/>
      <c r="L429" s="14"/>
      <c r="M429" s="11"/>
      <c r="N429" s="12"/>
      <c r="O429" s="11"/>
      <c r="P429" s="11"/>
      <c r="Q429" s="1">
        <v>425</v>
      </c>
      <c r="R429" s="1"/>
      <c r="S429" s="3">
        <f>INDEX(Locations!$D$6:$D$455,MATCH(B429,Locations!$A$6:$A$455,0))</f>
        <v>42.731966324176902</v>
      </c>
      <c r="T429" s="3">
        <f>INDEX(Locations!$E$6:$E$455,MATCH(B429,Locations!$A$6:$A$455,0))</f>
        <v>-73.678831738655703</v>
      </c>
      <c r="U429" s="3">
        <f>INDEX(Locations!$D$6:$D$455,MATCH(C429,Locations!$A$6:$A$455,0))</f>
        <v>42.7318697650743</v>
      </c>
      <c r="V429" s="3">
        <f>INDEX(Locations!$E$6:$E$455,MATCH(C429,Locations!$A$6:$A$455,0))</f>
        <v>-73.679844019619296</v>
      </c>
    </row>
    <row r="430" spans="1:22" ht="23.1" customHeight="1">
      <c r="A430" s="1" t="s">
        <v>1038</v>
      </c>
      <c r="B430" s="1" t="s">
        <v>480</v>
      </c>
      <c r="C430" s="1" t="s">
        <v>484</v>
      </c>
      <c r="D430" s="1" t="s">
        <v>612</v>
      </c>
      <c r="E430" s="13">
        <f t="shared" si="6"/>
        <v>59.709887537734055</v>
      </c>
      <c r="F430" s="11" t="s">
        <v>70</v>
      </c>
      <c r="G430" s="11" t="s">
        <v>69</v>
      </c>
      <c r="H430" s="11" t="s">
        <v>69</v>
      </c>
      <c r="I430" s="11" t="s">
        <v>69</v>
      </c>
      <c r="J430" s="11" t="s">
        <v>69</v>
      </c>
      <c r="K430" s="14"/>
      <c r="L430" s="14"/>
      <c r="M430" s="11"/>
      <c r="N430" s="12"/>
      <c r="O430" s="11"/>
      <c r="P430" s="11"/>
      <c r="Q430" s="1">
        <v>426</v>
      </c>
      <c r="R430" s="1"/>
      <c r="S430" s="3">
        <f>INDEX(Locations!$D$6:$D$455,MATCH(B430,Locations!$A$6:$A$455,0))</f>
        <v>42.7324951002145</v>
      </c>
      <c r="T430" s="3">
        <f>INDEX(Locations!$E$6:$E$455,MATCH(B430,Locations!$A$6:$A$455,0))</f>
        <v>-73.678704407716793</v>
      </c>
      <c r="U430" s="3">
        <f>INDEX(Locations!$D$6:$D$455,MATCH(C430,Locations!$A$6:$A$455,0))</f>
        <v>42.731966324176902</v>
      </c>
      <c r="V430" s="3">
        <f>INDEX(Locations!$E$6:$E$455,MATCH(C430,Locations!$A$6:$A$455,0))</f>
        <v>-73.678831738655703</v>
      </c>
    </row>
    <row r="431" spans="1:22" ht="23.1" customHeight="1">
      <c r="A431" s="1" t="s">
        <v>1039</v>
      </c>
      <c r="B431" s="1" t="s">
        <v>225</v>
      </c>
      <c r="C431" s="1" t="s">
        <v>97</v>
      </c>
      <c r="D431" s="1" t="s">
        <v>612</v>
      </c>
      <c r="E431" s="13">
        <f t="shared" si="6"/>
        <v>57.745318291170904</v>
      </c>
      <c r="F431" s="11" t="s">
        <v>70</v>
      </c>
      <c r="G431" s="11" t="s">
        <v>69</v>
      </c>
      <c r="H431" s="11" t="s">
        <v>69</v>
      </c>
      <c r="I431" s="11" t="s">
        <v>69</v>
      </c>
      <c r="J431" s="11" t="s">
        <v>69</v>
      </c>
      <c r="K431" s="14"/>
      <c r="L431" s="14"/>
      <c r="M431" s="11"/>
      <c r="N431" s="12"/>
      <c r="O431" s="11"/>
      <c r="P431" s="11"/>
      <c r="Q431" s="1">
        <v>427</v>
      </c>
      <c r="R431" s="1"/>
      <c r="S431" s="3">
        <f>INDEX(Locations!$D$6:$D$455,MATCH(B431,Locations!$A$6:$A$455,0))</f>
        <v>42.731265121170402</v>
      </c>
      <c r="T431" s="3">
        <f>INDEX(Locations!$E$6:$E$455,MATCH(B431,Locations!$A$6:$A$455,0))</f>
        <v>-73.671908118857303</v>
      </c>
      <c r="U431" s="3">
        <f>INDEX(Locations!$D$6:$D$455,MATCH(C431,Locations!$A$6:$A$455,0))</f>
        <v>42.7310890611734</v>
      </c>
      <c r="V431" s="3">
        <f>INDEX(Locations!$E$6:$E$455,MATCH(C431,Locations!$A$6:$A$455,0))</f>
        <v>-73.671242998331905</v>
      </c>
    </row>
    <row r="432" spans="1:22" ht="23.1" customHeight="1">
      <c r="A432" s="1" t="s">
        <v>1040</v>
      </c>
      <c r="B432" s="1" t="s">
        <v>487</v>
      </c>
      <c r="C432" s="1" t="s">
        <v>225</v>
      </c>
      <c r="D432" s="1" t="s">
        <v>612</v>
      </c>
      <c r="E432" s="13">
        <f t="shared" si="6"/>
        <v>70.488612250454977</v>
      </c>
      <c r="F432" s="11" t="s">
        <v>70</v>
      </c>
      <c r="G432" s="11" t="s">
        <v>69</v>
      </c>
      <c r="H432" s="11" t="s">
        <v>69</v>
      </c>
      <c r="I432" s="11" t="s">
        <v>69</v>
      </c>
      <c r="J432" s="11" t="s">
        <v>69</v>
      </c>
      <c r="K432" s="14"/>
      <c r="L432" s="14"/>
      <c r="M432" s="11"/>
      <c r="N432" s="12"/>
      <c r="O432" s="11"/>
      <c r="P432" s="11"/>
      <c r="Q432" s="1">
        <v>428</v>
      </c>
      <c r="R432" s="1"/>
      <c r="S432" s="3">
        <f>INDEX(Locations!$D$6:$D$455,MATCH(B432,Locations!$A$6:$A$455,0))</f>
        <v>42.730644384082801</v>
      </c>
      <c r="T432" s="3">
        <f>INDEX(Locations!$E$6:$E$455,MATCH(B432,Locations!$A$6:$A$455,0))</f>
        <v>-73.672083198898093</v>
      </c>
      <c r="U432" s="3">
        <f>INDEX(Locations!$D$6:$D$455,MATCH(C432,Locations!$A$6:$A$455,0))</f>
        <v>42.731265121170402</v>
      </c>
      <c r="V432" s="3">
        <f>INDEX(Locations!$E$6:$E$455,MATCH(C432,Locations!$A$6:$A$455,0))</f>
        <v>-73.671908118857303</v>
      </c>
    </row>
    <row r="433" spans="1:22" ht="23.1" customHeight="1">
      <c r="A433" s="1" t="s">
        <v>1041</v>
      </c>
      <c r="B433" s="1" t="s">
        <v>239</v>
      </c>
      <c r="C433" s="1" t="s">
        <v>487</v>
      </c>
      <c r="D433" s="1" t="s">
        <v>612</v>
      </c>
      <c r="E433" s="13">
        <f t="shared" si="6"/>
        <v>173.09382139176287</v>
      </c>
      <c r="F433" s="11" t="s">
        <v>70</v>
      </c>
      <c r="G433" s="11" t="s">
        <v>69</v>
      </c>
      <c r="H433" s="11" t="s">
        <v>69</v>
      </c>
      <c r="I433" s="11" t="s">
        <v>69</v>
      </c>
      <c r="J433" s="11" t="s">
        <v>69</v>
      </c>
      <c r="K433" s="14"/>
      <c r="L433" s="14"/>
      <c r="M433" s="11"/>
      <c r="N433" s="12"/>
      <c r="O433" s="11"/>
      <c r="P433" s="11"/>
      <c r="Q433" s="1">
        <v>429</v>
      </c>
      <c r="R433" s="1"/>
      <c r="S433" s="3">
        <f>INDEX(Locations!$D$6:$D$455,MATCH(B433,Locations!$A$6:$A$455,0))</f>
        <v>42.729121279191702</v>
      </c>
      <c r="T433" s="3">
        <f>INDEX(Locations!$E$6:$E$455,MATCH(B433,Locations!$A$6:$A$455,0))</f>
        <v>-73.672520899000304</v>
      </c>
      <c r="U433" s="3">
        <f>INDEX(Locations!$D$6:$D$455,MATCH(C433,Locations!$A$6:$A$455,0))</f>
        <v>42.730644384082801</v>
      </c>
      <c r="V433" s="3">
        <f>INDEX(Locations!$E$6:$E$455,MATCH(C433,Locations!$A$6:$A$455,0))</f>
        <v>-73.672083198898093</v>
      </c>
    </row>
    <row r="434" spans="1:22" ht="23.1" customHeight="1">
      <c r="A434" s="1" t="s">
        <v>1042</v>
      </c>
      <c r="B434" s="1" t="s">
        <v>488</v>
      </c>
      <c r="C434" s="1" t="s">
        <v>487</v>
      </c>
      <c r="D434" s="1" t="s">
        <v>612</v>
      </c>
      <c r="E434" s="13">
        <f t="shared" si="6"/>
        <v>52.00095665171451</v>
      </c>
      <c r="F434" s="11" t="s">
        <v>70</v>
      </c>
      <c r="G434" s="11" t="s">
        <v>69</v>
      </c>
      <c r="H434" s="11" t="s">
        <v>69</v>
      </c>
      <c r="I434" s="11" t="s">
        <v>69</v>
      </c>
      <c r="J434" s="11" t="s">
        <v>69</v>
      </c>
      <c r="K434" s="14"/>
      <c r="L434" s="14"/>
      <c r="M434" s="11"/>
      <c r="N434" s="12"/>
      <c r="O434" s="11"/>
      <c r="P434" s="11"/>
      <c r="Q434" s="1">
        <v>430</v>
      </c>
      <c r="R434" s="1"/>
      <c r="S434" s="3">
        <f>INDEX(Locations!$D$6:$D$455,MATCH(B434,Locations!$A$6:$A$455,0))</f>
        <v>42.730644384082801</v>
      </c>
      <c r="T434" s="3">
        <f>INDEX(Locations!$E$6:$E$455,MATCH(B434,Locations!$A$6:$A$455,0))</f>
        <v>-73.671446544204002</v>
      </c>
      <c r="U434" s="3">
        <f>INDEX(Locations!$D$6:$D$455,MATCH(C434,Locations!$A$6:$A$455,0))</f>
        <v>42.730644384082801</v>
      </c>
      <c r="V434" s="3">
        <f>INDEX(Locations!$E$6:$E$455,MATCH(C434,Locations!$A$6:$A$455,0))</f>
        <v>-73.672083198898093</v>
      </c>
    </row>
    <row r="435" spans="1:22" ht="23.1" customHeight="1">
      <c r="A435" s="1" t="s">
        <v>1043</v>
      </c>
      <c r="B435" s="1" t="s">
        <v>488</v>
      </c>
      <c r="C435" s="1" t="s">
        <v>97</v>
      </c>
      <c r="D435" s="1" t="s">
        <v>612</v>
      </c>
      <c r="E435" s="13">
        <f t="shared" si="6"/>
        <v>52.165981372809554</v>
      </c>
      <c r="F435" s="11" t="s">
        <v>70</v>
      </c>
      <c r="G435" s="11" t="s">
        <v>69</v>
      </c>
      <c r="H435" s="11" t="s">
        <v>69</v>
      </c>
      <c r="I435" s="11" t="s">
        <v>69</v>
      </c>
      <c r="J435" s="11" t="s">
        <v>69</v>
      </c>
      <c r="K435" s="14"/>
      <c r="L435" s="14"/>
      <c r="M435" s="11"/>
      <c r="N435" s="12"/>
      <c r="O435" s="11"/>
      <c r="P435" s="11"/>
      <c r="Q435" s="1">
        <v>431</v>
      </c>
      <c r="R435" s="1"/>
      <c r="S435" s="3">
        <f>INDEX(Locations!$D$6:$D$455,MATCH(B435,Locations!$A$6:$A$455,0))</f>
        <v>42.730644384082801</v>
      </c>
      <c r="T435" s="3">
        <f>INDEX(Locations!$E$6:$E$455,MATCH(B435,Locations!$A$6:$A$455,0))</f>
        <v>-73.671446544204002</v>
      </c>
      <c r="U435" s="3">
        <f>INDEX(Locations!$D$6:$D$455,MATCH(C435,Locations!$A$6:$A$455,0))</f>
        <v>42.7310890611734</v>
      </c>
      <c r="V435" s="3">
        <f>INDEX(Locations!$E$6:$E$455,MATCH(C435,Locations!$A$6:$A$455,0))</f>
        <v>-73.671242998331905</v>
      </c>
    </row>
    <row r="436" spans="1:22" ht="23.1" customHeight="1">
      <c r="A436" s="1" t="s">
        <v>1044</v>
      </c>
      <c r="B436" s="1" t="s">
        <v>488</v>
      </c>
      <c r="C436" s="1" t="s">
        <v>489</v>
      </c>
      <c r="D436" s="1" t="s">
        <v>612</v>
      </c>
      <c r="E436" s="13">
        <f t="shared" si="6"/>
        <v>57.953898356814811</v>
      </c>
      <c r="F436" s="11" t="s">
        <v>70</v>
      </c>
      <c r="G436" s="11" t="s">
        <v>69</v>
      </c>
      <c r="H436" s="11" t="s">
        <v>69</v>
      </c>
      <c r="I436" s="11" t="s">
        <v>69</v>
      </c>
      <c r="J436" s="11" t="s">
        <v>69</v>
      </c>
      <c r="K436" s="14"/>
      <c r="L436" s="14"/>
      <c r="M436" s="11"/>
      <c r="N436" s="12"/>
      <c r="O436" s="11"/>
      <c r="P436" s="11"/>
      <c r="Q436" s="1">
        <v>432</v>
      </c>
      <c r="R436" s="1"/>
      <c r="S436" s="3">
        <f>INDEX(Locations!$D$6:$D$455,MATCH(B436,Locations!$A$6:$A$455,0))</f>
        <v>42.730644384082801</v>
      </c>
      <c r="T436" s="3">
        <f>INDEX(Locations!$E$6:$E$455,MATCH(B436,Locations!$A$6:$A$455,0))</f>
        <v>-73.671446544204002</v>
      </c>
      <c r="U436" s="3">
        <f>INDEX(Locations!$D$6:$D$455,MATCH(C436,Locations!$A$6:$A$455,0))</f>
        <v>42.730675420937096</v>
      </c>
      <c r="V436" s="3">
        <f>INDEX(Locations!$E$6:$E$455,MATCH(C436,Locations!$A$6:$A$455,0))</f>
        <v>-73.670738265856897</v>
      </c>
    </row>
    <row r="437" spans="1:22" ht="23.1" customHeight="1">
      <c r="A437" s="1" t="s">
        <v>1045</v>
      </c>
      <c r="B437" s="1" t="s">
        <v>97</v>
      </c>
      <c r="C437" s="1" t="s">
        <v>491</v>
      </c>
      <c r="D437" s="1" t="s">
        <v>612</v>
      </c>
      <c r="E437" s="13">
        <f t="shared" si="6"/>
        <v>53.190272416957121</v>
      </c>
      <c r="F437" s="11" t="s">
        <v>70</v>
      </c>
      <c r="G437" s="11" t="s">
        <v>69</v>
      </c>
      <c r="H437" s="11" t="s">
        <v>69</v>
      </c>
      <c r="I437" s="11" t="s">
        <v>69</v>
      </c>
      <c r="J437" s="11" t="s">
        <v>69</v>
      </c>
      <c r="K437" s="14"/>
      <c r="L437" s="14"/>
      <c r="M437" s="11"/>
      <c r="N437" s="12"/>
      <c r="O437" s="11"/>
      <c r="P437" s="11"/>
      <c r="Q437" s="1">
        <v>433</v>
      </c>
      <c r="R437" s="1"/>
      <c r="S437" s="3">
        <f>INDEX(Locations!$D$6:$D$455,MATCH(B437,Locations!$A$6:$A$455,0))</f>
        <v>42.7310890611734</v>
      </c>
      <c r="T437" s="3">
        <f>INDEX(Locations!$E$6:$E$455,MATCH(B437,Locations!$A$6:$A$455,0))</f>
        <v>-73.671242998331905</v>
      </c>
      <c r="U437" s="3">
        <f>INDEX(Locations!$D$6:$D$455,MATCH(C437,Locations!$A$6:$A$455,0))</f>
        <v>42.731000733151603</v>
      </c>
      <c r="V437" s="3">
        <f>INDEX(Locations!$E$6:$E$455,MATCH(C437,Locations!$A$6:$A$455,0))</f>
        <v>-73.670602976734401</v>
      </c>
    </row>
    <row r="438" spans="1:22" ht="23.1" customHeight="1">
      <c r="A438" s="1" t="s">
        <v>1046</v>
      </c>
      <c r="B438" s="1" t="s">
        <v>489</v>
      </c>
      <c r="C438" s="1" t="s">
        <v>490</v>
      </c>
      <c r="D438" s="1" t="s">
        <v>612</v>
      </c>
      <c r="E438" s="13">
        <f t="shared" si="6"/>
        <v>22.991916204862598</v>
      </c>
      <c r="F438" s="11" t="s">
        <v>70</v>
      </c>
      <c r="G438" s="11" t="s">
        <v>69</v>
      </c>
      <c r="H438" s="11" t="s">
        <v>69</v>
      </c>
      <c r="I438" s="11" t="s">
        <v>69</v>
      </c>
      <c r="J438" s="11" t="s">
        <v>69</v>
      </c>
      <c r="K438" s="14"/>
      <c r="L438" s="14"/>
      <c r="M438" s="11"/>
      <c r="N438" s="12"/>
      <c r="O438" s="11"/>
      <c r="P438" s="11"/>
      <c r="Q438" s="1">
        <v>434</v>
      </c>
      <c r="R438" s="1"/>
      <c r="S438" s="3">
        <f>INDEX(Locations!$D$6:$D$455,MATCH(B438,Locations!$A$6:$A$455,0))</f>
        <v>42.730675420937096</v>
      </c>
      <c r="T438" s="3">
        <f>INDEX(Locations!$E$6:$E$455,MATCH(B438,Locations!$A$6:$A$455,0))</f>
        <v>-73.670738265856897</v>
      </c>
      <c r="U438" s="3">
        <f>INDEX(Locations!$D$6:$D$455,MATCH(C438,Locations!$A$6:$A$455,0))</f>
        <v>42.730851296445302</v>
      </c>
      <c r="V438" s="3">
        <f>INDEX(Locations!$E$6:$E$455,MATCH(C438,Locations!$A$6:$A$455,0))</f>
        <v>-73.670590243640504</v>
      </c>
    </row>
    <row r="439" spans="1:22" ht="23.1" customHeight="1">
      <c r="A439" s="1" t="s">
        <v>1047</v>
      </c>
      <c r="B439" s="1" t="s">
        <v>491</v>
      </c>
      <c r="C439" s="1" t="s">
        <v>490</v>
      </c>
      <c r="D439" s="1" t="s">
        <v>612</v>
      </c>
      <c r="E439" s="13">
        <f t="shared" si="6"/>
        <v>16.649118445664961</v>
      </c>
      <c r="F439" s="11" t="s">
        <v>70</v>
      </c>
      <c r="G439" s="11" t="s">
        <v>69</v>
      </c>
      <c r="H439" s="11" t="s">
        <v>69</v>
      </c>
      <c r="I439" s="11" t="s">
        <v>69</v>
      </c>
      <c r="J439" s="11" t="s">
        <v>69</v>
      </c>
      <c r="K439" s="14"/>
      <c r="L439" s="14"/>
      <c r="M439" s="11"/>
      <c r="N439" s="12"/>
      <c r="O439" s="11"/>
      <c r="P439" s="11"/>
      <c r="Q439" s="1">
        <v>435</v>
      </c>
      <c r="R439" s="1"/>
      <c r="S439" s="3">
        <f>INDEX(Locations!$D$6:$D$455,MATCH(B439,Locations!$A$6:$A$455,0))</f>
        <v>42.731000733151603</v>
      </c>
      <c r="T439" s="3">
        <f>INDEX(Locations!$E$6:$E$455,MATCH(B439,Locations!$A$6:$A$455,0))</f>
        <v>-73.670602976734401</v>
      </c>
      <c r="U439" s="3">
        <f>INDEX(Locations!$D$6:$D$455,MATCH(C439,Locations!$A$6:$A$455,0))</f>
        <v>42.730851296445302</v>
      </c>
      <c r="V439" s="3">
        <f>INDEX(Locations!$E$6:$E$455,MATCH(C439,Locations!$A$6:$A$455,0))</f>
        <v>-73.670590243640504</v>
      </c>
    </row>
    <row r="440" spans="1:22" ht="23.1" customHeight="1">
      <c r="A440" s="1" t="s">
        <v>1048</v>
      </c>
      <c r="B440" s="1" t="s">
        <v>492</v>
      </c>
      <c r="C440" s="1" t="s">
        <v>491</v>
      </c>
      <c r="D440" s="1" t="s">
        <v>612</v>
      </c>
      <c r="E440" s="13">
        <f t="shared" si="6"/>
        <v>46.445165150702195</v>
      </c>
      <c r="F440" s="11" t="s">
        <v>70</v>
      </c>
      <c r="G440" s="11" t="s">
        <v>69</v>
      </c>
      <c r="H440" s="11" t="s">
        <v>69</v>
      </c>
      <c r="I440" s="11" t="s">
        <v>69</v>
      </c>
      <c r="J440" s="11" t="s">
        <v>69</v>
      </c>
      <c r="K440" s="14"/>
      <c r="L440" s="14"/>
      <c r="M440" s="11"/>
      <c r="N440" s="12"/>
      <c r="O440" s="11"/>
      <c r="P440" s="11"/>
      <c r="Q440" s="1">
        <v>436</v>
      </c>
      <c r="R440" s="1"/>
      <c r="S440" s="3">
        <f>INDEX(Locations!$D$6:$D$455,MATCH(B440,Locations!$A$6:$A$455,0))</f>
        <v>42.7314030627455</v>
      </c>
      <c r="T440" s="3">
        <f>INDEX(Locations!$E$6:$E$455,MATCH(B440,Locations!$A$6:$A$455,0))</f>
        <v>-73.670450179607798</v>
      </c>
      <c r="U440" s="3">
        <f>INDEX(Locations!$D$6:$D$455,MATCH(C440,Locations!$A$6:$A$455,0))</f>
        <v>42.731000733151603</v>
      </c>
      <c r="V440" s="3">
        <f>INDEX(Locations!$E$6:$E$455,MATCH(C440,Locations!$A$6:$A$455,0))</f>
        <v>-73.670602976734401</v>
      </c>
    </row>
    <row r="441" spans="1:22" ht="23.1" customHeight="1">
      <c r="A441" s="1" t="s">
        <v>1049</v>
      </c>
      <c r="B441" s="1" t="s">
        <v>494</v>
      </c>
      <c r="C441" s="1" t="s">
        <v>493</v>
      </c>
      <c r="D441" s="1" t="s">
        <v>612</v>
      </c>
      <c r="E441" s="13">
        <f t="shared" si="6"/>
        <v>11.878754568353608</v>
      </c>
      <c r="F441" s="11" t="s">
        <v>70</v>
      </c>
      <c r="G441" s="11" t="s">
        <v>69</v>
      </c>
      <c r="H441" s="11" t="s">
        <v>69</v>
      </c>
      <c r="I441" s="11" t="s">
        <v>69</v>
      </c>
      <c r="J441" s="11" t="s">
        <v>69</v>
      </c>
      <c r="K441" s="14"/>
      <c r="L441" s="14"/>
      <c r="M441" s="11"/>
      <c r="N441" s="12"/>
      <c r="O441" s="11"/>
      <c r="P441" s="11"/>
      <c r="Q441" s="1">
        <v>437</v>
      </c>
      <c r="R441" s="1"/>
      <c r="S441" s="3">
        <f>INDEX(Locations!$D$6:$D$455,MATCH(B441,Locations!$A$6:$A$455,0))</f>
        <v>42.731563994582999</v>
      </c>
      <c r="T441" s="3">
        <f>INDEX(Locations!$E$6:$E$455,MATCH(B441,Locations!$A$6:$A$455,0))</f>
        <v>-73.670889471346698</v>
      </c>
      <c r="U441" s="3">
        <f>INDEX(Locations!$D$6:$D$455,MATCH(C441,Locations!$A$6:$A$455,0))</f>
        <v>42.731469734506703</v>
      </c>
      <c r="V441" s="3">
        <f>INDEX(Locations!$E$6:$E$455,MATCH(C441,Locations!$A$6:$A$455,0))</f>
        <v>-73.670821030967105</v>
      </c>
    </row>
    <row r="442" spans="1:22" ht="23.1" customHeight="1">
      <c r="A442" s="1" t="s">
        <v>1050</v>
      </c>
      <c r="B442" s="1" t="s">
        <v>492</v>
      </c>
      <c r="C442" s="1" t="s">
        <v>493</v>
      </c>
      <c r="D442" s="1" t="s">
        <v>612</v>
      </c>
      <c r="E442" s="13">
        <f t="shared" si="6"/>
        <v>31.184215905449367</v>
      </c>
      <c r="F442" s="11" t="s">
        <v>70</v>
      </c>
      <c r="G442" s="11" t="s">
        <v>69</v>
      </c>
      <c r="H442" s="11" t="s">
        <v>69</v>
      </c>
      <c r="I442" s="11" t="s">
        <v>69</v>
      </c>
      <c r="J442" s="11" t="s">
        <v>69</v>
      </c>
      <c r="K442" s="14"/>
      <c r="L442" s="14"/>
      <c r="M442" s="11"/>
      <c r="N442" s="12"/>
      <c r="O442" s="11"/>
      <c r="P442" s="11"/>
      <c r="Q442" s="1">
        <v>438</v>
      </c>
      <c r="R442" s="1"/>
      <c r="S442" s="3">
        <f>INDEX(Locations!$D$6:$D$455,MATCH(B442,Locations!$A$6:$A$455,0))</f>
        <v>42.7314030627455</v>
      </c>
      <c r="T442" s="3">
        <f>INDEX(Locations!$E$6:$E$455,MATCH(B442,Locations!$A$6:$A$455,0))</f>
        <v>-73.670450179607798</v>
      </c>
      <c r="U442" s="3">
        <f>INDEX(Locations!$D$6:$D$455,MATCH(C442,Locations!$A$6:$A$455,0))</f>
        <v>42.731469734506703</v>
      </c>
      <c r="V442" s="3">
        <f>INDEX(Locations!$E$6:$E$455,MATCH(C442,Locations!$A$6:$A$455,0))</f>
        <v>-73.670821030967105</v>
      </c>
    </row>
    <row r="443" spans="1:22" ht="23.1" customHeight="1">
      <c r="A443" s="1" t="s">
        <v>1051</v>
      </c>
      <c r="B443" s="1" t="s">
        <v>496</v>
      </c>
      <c r="C443" s="1" t="s">
        <v>495</v>
      </c>
      <c r="D443" s="1" t="s">
        <v>612</v>
      </c>
      <c r="E443" s="13">
        <f t="shared" si="6"/>
        <v>31.051769083037303</v>
      </c>
      <c r="F443" s="11" t="s">
        <v>70</v>
      </c>
      <c r="G443" s="11" t="s">
        <v>69</v>
      </c>
      <c r="H443" s="11" t="s">
        <v>69</v>
      </c>
      <c r="I443" s="11" t="s">
        <v>69</v>
      </c>
      <c r="J443" s="11" t="s">
        <v>69</v>
      </c>
      <c r="K443" s="14"/>
      <c r="L443" s="14"/>
      <c r="M443" s="11"/>
      <c r="N443" s="12"/>
      <c r="O443" s="11"/>
      <c r="P443" s="11"/>
      <c r="Q443" s="1">
        <v>439</v>
      </c>
      <c r="R443" s="1"/>
      <c r="S443" s="3">
        <f>INDEX(Locations!$D$6:$D$455,MATCH(B443,Locations!$A$6:$A$455,0))</f>
        <v>42.731860568969303</v>
      </c>
      <c r="T443" s="3">
        <f>INDEX(Locations!$E$6:$E$455,MATCH(B443,Locations!$A$6:$A$455,0))</f>
        <v>-73.670305340664896</v>
      </c>
      <c r="U443" s="3">
        <f>INDEX(Locations!$D$6:$D$455,MATCH(C443,Locations!$A$6:$A$455,0))</f>
        <v>42.731605377055502</v>
      </c>
      <c r="V443" s="3">
        <f>INDEX(Locations!$E$6:$E$455,MATCH(C443,Locations!$A$6:$A$455,0))</f>
        <v>-73.670459729428202</v>
      </c>
    </row>
    <row r="444" spans="1:22" ht="23.1" customHeight="1">
      <c r="A444" s="1" t="s">
        <v>1052</v>
      </c>
      <c r="B444" s="1" t="s">
        <v>494</v>
      </c>
      <c r="C444" s="1" t="s">
        <v>495</v>
      </c>
      <c r="D444" s="1" t="s">
        <v>612</v>
      </c>
      <c r="E444" s="13">
        <f t="shared" si="6"/>
        <v>35.400451553629175</v>
      </c>
      <c r="F444" s="11" t="s">
        <v>70</v>
      </c>
      <c r="G444" s="11" t="s">
        <v>69</v>
      </c>
      <c r="H444" s="11" t="s">
        <v>69</v>
      </c>
      <c r="I444" s="11" t="s">
        <v>69</v>
      </c>
      <c r="J444" s="11" t="s">
        <v>69</v>
      </c>
      <c r="K444" s="14"/>
      <c r="L444" s="14"/>
      <c r="M444" s="11"/>
      <c r="N444" s="12"/>
      <c r="O444" s="11"/>
      <c r="P444" s="11"/>
      <c r="Q444" s="1">
        <v>440</v>
      </c>
      <c r="R444" s="1"/>
      <c r="S444" s="3">
        <f>INDEX(Locations!$D$6:$D$455,MATCH(B444,Locations!$A$6:$A$455,0))</f>
        <v>42.731563994582999</v>
      </c>
      <c r="T444" s="3">
        <f>INDEX(Locations!$E$6:$E$455,MATCH(B444,Locations!$A$6:$A$455,0))</f>
        <v>-73.670889471346698</v>
      </c>
      <c r="U444" s="3">
        <f>INDEX(Locations!$D$6:$D$455,MATCH(C444,Locations!$A$6:$A$455,0))</f>
        <v>42.731605377055502</v>
      </c>
      <c r="V444" s="3">
        <f>INDEX(Locations!$E$6:$E$455,MATCH(C444,Locations!$A$6:$A$455,0))</f>
        <v>-73.670459729428202</v>
      </c>
    </row>
    <row r="445" spans="1:22" ht="23.1" customHeight="1">
      <c r="A445" s="1" t="s">
        <v>1053</v>
      </c>
      <c r="B445" s="1" t="s">
        <v>496</v>
      </c>
      <c r="C445" s="1" t="s">
        <v>497</v>
      </c>
      <c r="D445" s="1" t="s">
        <v>612</v>
      </c>
      <c r="E445" s="13">
        <f t="shared" si="6"/>
        <v>34.025048060925684</v>
      </c>
      <c r="F445" s="11" t="s">
        <v>70</v>
      </c>
      <c r="G445" s="11" t="s">
        <v>69</v>
      </c>
      <c r="H445" s="11" t="s">
        <v>69</v>
      </c>
      <c r="I445" s="11" t="s">
        <v>69</v>
      </c>
      <c r="J445" s="11" t="s">
        <v>69</v>
      </c>
      <c r="K445" s="14"/>
      <c r="L445" s="14"/>
      <c r="M445" s="11"/>
      <c r="N445" s="12"/>
      <c r="O445" s="11"/>
      <c r="P445" s="11"/>
      <c r="Q445" s="1">
        <v>441</v>
      </c>
      <c r="R445" s="1"/>
      <c r="S445" s="3">
        <f>INDEX(Locations!$D$6:$D$455,MATCH(B445,Locations!$A$6:$A$455,0))</f>
        <v>42.731860568969303</v>
      </c>
      <c r="T445" s="3">
        <f>INDEX(Locations!$E$6:$E$455,MATCH(B445,Locations!$A$6:$A$455,0))</f>
        <v>-73.670305340664896</v>
      </c>
      <c r="U445" s="3">
        <f>INDEX(Locations!$D$6:$D$455,MATCH(C445,Locations!$A$6:$A$455,0))</f>
        <v>42.732069780358103</v>
      </c>
      <c r="V445" s="3">
        <f>INDEX(Locations!$E$6:$E$455,MATCH(C445,Locations!$A$6:$A$455,0))</f>
        <v>-73.670609343281299</v>
      </c>
    </row>
    <row r="446" spans="1:22" ht="23.1" customHeight="1">
      <c r="A446" s="1" t="s">
        <v>1054</v>
      </c>
      <c r="B446" s="1" t="s">
        <v>498</v>
      </c>
      <c r="C446" s="1" t="s">
        <v>497</v>
      </c>
      <c r="D446" s="1" t="s">
        <v>612</v>
      </c>
      <c r="E446" s="13">
        <f t="shared" si="6"/>
        <v>24.950858837938707</v>
      </c>
      <c r="F446" s="11" t="s">
        <v>70</v>
      </c>
      <c r="G446" s="11" t="s">
        <v>69</v>
      </c>
      <c r="H446" s="11" t="s">
        <v>69</v>
      </c>
      <c r="I446" s="11" t="s">
        <v>69</v>
      </c>
      <c r="J446" s="11" t="s">
        <v>69</v>
      </c>
      <c r="K446" s="14"/>
      <c r="L446" s="14"/>
      <c r="M446" s="11"/>
      <c r="N446" s="12"/>
      <c r="O446" s="11"/>
      <c r="P446" s="11"/>
      <c r="Q446" s="1">
        <v>442</v>
      </c>
      <c r="R446" s="1"/>
      <c r="S446" s="3">
        <f>INDEX(Locations!$D$6:$D$455,MATCH(B446,Locations!$A$6:$A$455,0))</f>
        <v>42.732287038338796</v>
      </c>
      <c r="T446" s="3">
        <f>INDEX(Locations!$E$6:$E$455,MATCH(B446,Locations!$A$6:$A$455,0))</f>
        <v>-73.670685741844594</v>
      </c>
      <c r="U446" s="3">
        <f>INDEX(Locations!$D$6:$D$455,MATCH(C446,Locations!$A$6:$A$455,0))</f>
        <v>42.732069780358103</v>
      </c>
      <c r="V446" s="3">
        <f>INDEX(Locations!$E$6:$E$455,MATCH(C446,Locations!$A$6:$A$455,0))</f>
        <v>-73.670609343281299</v>
      </c>
    </row>
    <row r="447" spans="1:22" ht="23.1" customHeight="1">
      <c r="A447" s="1" t="s">
        <v>1055</v>
      </c>
      <c r="B447" s="1" t="s">
        <v>236</v>
      </c>
      <c r="C447" s="1" t="s">
        <v>501</v>
      </c>
      <c r="D447" s="1" t="s">
        <v>612</v>
      </c>
      <c r="E447" s="13">
        <f t="shared" si="6"/>
        <v>55.134004115616243</v>
      </c>
      <c r="F447" s="11" t="s">
        <v>70</v>
      </c>
      <c r="G447" s="11" t="s">
        <v>69</v>
      </c>
      <c r="H447" s="11" t="s">
        <v>69</v>
      </c>
      <c r="I447" s="11" t="s">
        <v>69</v>
      </c>
      <c r="J447" s="11" t="s">
        <v>69</v>
      </c>
      <c r="K447" s="14"/>
      <c r="L447" s="14"/>
      <c r="M447" s="11"/>
      <c r="N447" s="12"/>
      <c r="O447" s="11"/>
      <c r="P447" s="11"/>
      <c r="Q447" s="1">
        <v>443</v>
      </c>
      <c r="R447" s="1"/>
      <c r="S447" s="3">
        <f>INDEX(Locations!$D$6:$D$455,MATCH(B447,Locations!$A$6:$A$455,0))</f>
        <v>42.731659404172397</v>
      </c>
      <c r="T447" s="3">
        <f>INDEX(Locations!$E$6:$E$455,MATCH(B447,Locations!$A$6:$A$455,0))</f>
        <v>-73.671796704285796</v>
      </c>
      <c r="U447" s="3">
        <f>INDEX(Locations!$D$6:$D$455,MATCH(C447,Locations!$A$6:$A$455,0))</f>
        <v>42.732145648224403</v>
      </c>
      <c r="V447" s="3">
        <f>INDEX(Locations!$E$6:$E$455,MATCH(C447,Locations!$A$6:$A$455,0))</f>
        <v>-73.671664598436806</v>
      </c>
    </row>
    <row r="448" spans="1:22" ht="23.1" customHeight="1">
      <c r="A448" s="1" t="s">
        <v>1056</v>
      </c>
      <c r="B448" s="1" t="s">
        <v>499</v>
      </c>
      <c r="C448" s="1" t="s">
        <v>501</v>
      </c>
      <c r="D448" s="1" t="s">
        <v>612</v>
      </c>
      <c r="E448" s="13">
        <f t="shared" si="6"/>
        <v>32.885182595692811</v>
      </c>
      <c r="F448" s="11" t="s">
        <v>70</v>
      </c>
      <c r="G448" s="11" t="s">
        <v>69</v>
      </c>
      <c r="H448" s="11" t="s">
        <v>69</v>
      </c>
      <c r="I448" s="11" t="s">
        <v>69</v>
      </c>
      <c r="J448" s="11" t="s">
        <v>69</v>
      </c>
      <c r="K448" s="14"/>
      <c r="L448" s="14"/>
      <c r="M448" s="11"/>
      <c r="N448" s="12"/>
      <c r="O448" s="11"/>
      <c r="P448" s="11"/>
      <c r="Q448" s="1">
        <v>444</v>
      </c>
      <c r="R448" s="1"/>
      <c r="S448" s="3">
        <f>INDEX(Locations!$D$6:$D$455,MATCH(B448,Locations!$A$6:$A$455,0))</f>
        <v>42.732108863804399</v>
      </c>
      <c r="T448" s="3">
        <f>INDEX(Locations!$E$6:$E$455,MATCH(B448,Locations!$A$6:$A$455,0))</f>
        <v>-73.6712650976162</v>
      </c>
      <c r="U448" s="3">
        <f>INDEX(Locations!$D$6:$D$455,MATCH(C448,Locations!$A$6:$A$455,0))</f>
        <v>42.732145648224403</v>
      </c>
      <c r="V448" s="3">
        <f>INDEX(Locations!$E$6:$E$455,MATCH(C448,Locations!$A$6:$A$455,0))</f>
        <v>-73.671664598436806</v>
      </c>
    </row>
    <row r="449" spans="1:22" ht="23.1" customHeight="1">
      <c r="A449" s="1" t="s">
        <v>1057</v>
      </c>
      <c r="B449" s="1" t="s">
        <v>216</v>
      </c>
      <c r="C449" s="1" t="s">
        <v>501</v>
      </c>
      <c r="D449" s="1" t="s">
        <v>612</v>
      </c>
      <c r="E449" s="13">
        <f t="shared" si="6"/>
        <v>31.556813552640676</v>
      </c>
      <c r="F449" s="11" t="s">
        <v>70</v>
      </c>
      <c r="G449" s="11" t="s">
        <v>69</v>
      </c>
      <c r="H449" s="11" t="s">
        <v>69</v>
      </c>
      <c r="I449" s="11" t="s">
        <v>69</v>
      </c>
      <c r="J449" s="11" t="s">
        <v>69</v>
      </c>
      <c r="K449" s="14"/>
      <c r="L449" s="14"/>
      <c r="M449" s="11"/>
      <c r="N449" s="12"/>
      <c r="O449" s="11"/>
      <c r="P449" s="11"/>
      <c r="Q449" s="1">
        <v>445</v>
      </c>
      <c r="R449" s="1"/>
      <c r="S449" s="3">
        <f>INDEX(Locations!$D$6:$D$455,MATCH(B449,Locations!$A$6:$A$455,0))</f>
        <v>42.732426129426997</v>
      </c>
      <c r="T449" s="3">
        <f>INDEX(Locations!$E$6:$E$455,MATCH(B449,Locations!$A$6:$A$455,0))</f>
        <v>-73.671605707877603</v>
      </c>
      <c r="U449" s="3">
        <f>INDEX(Locations!$D$6:$D$455,MATCH(C449,Locations!$A$6:$A$455,0))</f>
        <v>42.732145648224403</v>
      </c>
      <c r="V449" s="3">
        <f>INDEX(Locations!$E$6:$E$455,MATCH(C449,Locations!$A$6:$A$455,0))</f>
        <v>-73.671664598436806</v>
      </c>
    </row>
    <row r="450" spans="1:22" ht="23.1" customHeight="1">
      <c r="A450" s="1" t="s">
        <v>1058</v>
      </c>
      <c r="B450" s="1" t="s">
        <v>500</v>
      </c>
      <c r="C450" s="1" t="s">
        <v>499</v>
      </c>
      <c r="D450" s="1" t="s">
        <v>612</v>
      </c>
      <c r="E450" s="13">
        <f t="shared" si="6"/>
        <v>25.962263978337827</v>
      </c>
      <c r="F450" s="11" t="s">
        <v>70</v>
      </c>
      <c r="G450" s="11" t="s">
        <v>69</v>
      </c>
      <c r="H450" s="11" t="s">
        <v>69</v>
      </c>
      <c r="I450" s="11" t="s">
        <v>69</v>
      </c>
      <c r="J450" s="11" t="s">
        <v>69</v>
      </c>
      <c r="K450" s="14"/>
      <c r="L450" s="14"/>
      <c r="M450" s="11"/>
      <c r="N450" s="12"/>
      <c r="O450" s="11"/>
      <c r="P450" s="11"/>
      <c r="Q450" s="1">
        <v>446</v>
      </c>
      <c r="R450" s="1"/>
      <c r="S450" s="3">
        <f>INDEX(Locations!$D$6:$D$455,MATCH(B450,Locations!$A$6:$A$455,0))</f>
        <v>42.732337616916297</v>
      </c>
      <c r="T450" s="3">
        <f>INDEX(Locations!$E$6:$E$455,MATCH(B450,Locations!$A$6:$A$455,0))</f>
        <v>-73.671201432146802</v>
      </c>
      <c r="U450" s="3">
        <f>INDEX(Locations!$D$6:$D$455,MATCH(C450,Locations!$A$6:$A$455,0))</f>
        <v>42.732108863804399</v>
      </c>
      <c r="V450" s="3">
        <f>INDEX(Locations!$E$6:$E$455,MATCH(C450,Locations!$A$6:$A$455,0))</f>
        <v>-73.6712650976162</v>
      </c>
    </row>
    <row r="451" spans="1:22" ht="23.1" customHeight="1">
      <c r="A451" s="1" t="s">
        <v>1059</v>
      </c>
      <c r="B451" s="1" t="s">
        <v>216</v>
      </c>
      <c r="C451" s="1" t="s">
        <v>500</v>
      </c>
      <c r="D451" s="1" t="s">
        <v>612</v>
      </c>
      <c r="E451" s="13">
        <f t="shared" si="6"/>
        <v>34.455292644337831</v>
      </c>
      <c r="F451" s="11" t="s">
        <v>70</v>
      </c>
      <c r="G451" s="11" t="s">
        <v>69</v>
      </c>
      <c r="H451" s="11" t="s">
        <v>69</v>
      </c>
      <c r="I451" s="11" t="s">
        <v>69</v>
      </c>
      <c r="J451" s="11" t="s">
        <v>69</v>
      </c>
      <c r="K451" s="14"/>
      <c r="L451" s="14"/>
      <c r="M451" s="11"/>
      <c r="N451" s="12"/>
      <c r="O451" s="11"/>
      <c r="P451" s="11"/>
      <c r="Q451" s="1">
        <v>447</v>
      </c>
      <c r="R451" s="1"/>
      <c r="S451" s="3">
        <f>INDEX(Locations!$D$6:$D$455,MATCH(B451,Locations!$A$6:$A$455,0))</f>
        <v>42.732426129426997</v>
      </c>
      <c r="T451" s="3">
        <f>INDEX(Locations!$E$6:$E$455,MATCH(B451,Locations!$A$6:$A$455,0))</f>
        <v>-73.671605707877603</v>
      </c>
      <c r="U451" s="3">
        <f>INDEX(Locations!$D$6:$D$455,MATCH(C451,Locations!$A$6:$A$455,0))</f>
        <v>42.732337616916297</v>
      </c>
      <c r="V451" s="3">
        <f>INDEX(Locations!$E$6:$E$455,MATCH(C451,Locations!$A$6:$A$455,0))</f>
        <v>-73.671201432146802</v>
      </c>
    </row>
    <row r="452" spans="1:22" ht="23.1" customHeight="1">
      <c r="A452" s="1" t="s">
        <v>1060</v>
      </c>
      <c r="B452" s="1" t="s">
        <v>498</v>
      </c>
      <c r="C452" s="1" t="s">
        <v>500</v>
      </c>
      <c r="D452" s="1" t="s">
        <v>612</v>
      </c>
      <c r="E452" s="13">
        <f t="shared" si="6"/>
        <v>42.493464741364043</v>
      </c>
      <c r="F452" s="11" t="s">
        <v>70</v>
      </c>
      <c r="G452" s="11" t="s">
        <v>69</v>
      </c>
      <c r="H452" s="11" t="s">
        <v>69</v>
      </c>
      <c r="I452" s="11" t="s">
        <v>69</v>
      </c>
      <c r="J452" s="11" t="s">
        <v>69</v>
      </c>
      <c r="K452" s="14"/>
      <c r="L452" s="14"/>
      <c r="M452" s="11"/>
      <c r="N452" s="12"/>
      <c r="O452" s="11"/>
      <c r="P452" s="11"/>
      <c r="Q452" s="1">
        <v>448</v>
      </c>
      <c r="R452" s="1"/>
      <c r="S452" s="3">
        <f>INDEX(Locations!$D$6:$D$455,MATCH(B452,Locations!$A$6:$A$455,0))</f>
        <v>42.732287038338796</v>
      </c>
      <c r="T452" s="3">
        <f>INDEX(Locations!$E$6:$E$455,MATCH(B452,Locations!$A$6:$A$455,0))</f>
        <v>-73.670685741844594</v>
      </c>
      <c r="U452" s="3">
        <f>INDEX(Locations!$D$6:$D$455,MATCH(C452,Locations!$A$6:$A$455,0))</f>
        <v>42.732337616916297</v>
      </c>
      <c r="V452" s="3">
        <f>INDEX(Locations!$E$6:$E$455,MATCH(C452,Locations!$A$6:$A$455,0))</f>
        <v>-73.671201432146802</v>
      </c>
    </row>
    <row r="453" spans="1:22" ht="23.1" customHeight="1">
      <c r="A453" s="1" t="s">
        <v>1061</v>
      </c>
      <c r="B453" s="1" t="s">
        <v>494</v>
      </c>
      <c r="C453" s="1" t="s">
        <v>502</v>
      </c>
      <c r="D453" s="1" t="s">
        <v>612</v>
      </c>
      <c r="E453" s="13">
        <f t="shared" si="6"/>
        <v>20.875740577228445</v>
      </c>
      <c r="F453" s="11" t="s">
        <v>70</v>
      </c>
      <c r="G453" s="11" t="s">
        <v>69</v>
      </c>
      <c r="H453" s="11" t="s">
        <v>69</v>
      </c>
      <c r="I453" s="11" t="s">
        <v>69</v>
      </c>
      <c r="J453" s="11" t="s">
        <v>69</v>
      </c>
      <c r="K453" s="14"/>
      <c r="L453" s="14"/>
      <c r="M453" s="11"/>
      <c r="N453" s="12"/>
      <c r="O453" s="11"/>
      <c r="P453" s="11"/>
      <c r="Q453" s="1">
        <v>449</v>
      </c>
      <c r="R453" s="1"/>
      <c r="S453" s="3">
        <f>INDEX(Locations!$D$6:$D$455,MATCH(B453,Locations!$A$6:$A$455,0))</f>
        <v>42.731563994582999</v>
      </c>
      <c r="T453" s="3">
        <f>INDEX(Locations!$E$6:$E$455,MATCH(B453,Locations!$A$6:$A$455,0))</f>
        <v>-73.670889471346698</v>
      </c>
      <c r="U453" s="3">
        <f>INDEX(Locations!$D$6:$D$455,MATCH(C453,Locations!$A$6:$A$455,0))</f>
        <v>42.731460538401699</v>
      </c>
      <c r="V453" s="3">
        <f>INDEX(Locations!$E$6:$E$455,MATCH(C453,Locations!$A$6:$A$455,0))</f>
        <v>-73.671102750669206</v>
      </c>
    </row>
    <row r="454" spans="1:22" ht="23.1" customHeight="1">
      <c r="A454" s="1" t="s">
        <v>1062</v>
      </c>
      <c r="B454" s="1" t="s">
        <v>503</v>
      </c>
      <c r="C454" s="1" t="s">
        <v>502</v>
      </c>
      <c r="D454" s="1" t="s">
        <v>612</v>
      </c>
      <c r="E454" s="13">
        <f t="shared" ref="E454:E517" si="7">2*6371000*ASIN(SQRT(MIN(1,SIN(RADIANS(U454-S454)/2)^2+COS(RADIANS(S454))*COS(RADIANS(U454))*SIN(RADIANS(V454-T454)/2)^2)))</f>
        <v>60.780765841473993</v>
      </c>
      <c r="F454" s="11" t="s">
        <v>70</v>
      </c>
      <c r="G454" s="11" t="s">
        <v>69</v>
      </c>
      <c r="H454" s="11" t="s">
        <v>69</v>
      </c>
      <c r="I454" s="11" t="s">
        <v>69</v>
      </c>
      <c r="J454" s="11" t="s">
        <v>69</v>
      </c>
      <c r="K454" s="14"/>
      <c r="L454" s="14"/>
      <c r="M454" s="11"/>
      <c r="N454" s="12"/>
      <c r="O454" s="11"/>
      <c r="P454" s="11"/>
      <c r="Q454" s="1">
        <v>450</v>
      </c>
      <c r="R454" s="1"/>
      <c r="S454" s="3">
        <f>INDEX(Locations!$D$6:$D$455,MATCH(B454,Locations!$A$6:$A$455,0))</f>
        <v>42.7315444528599</v>
      </c>
      <c r="T454" s="3">
        <f>INDEX(Locations!$E$6:$E$455,MATCH(B454,Locations!$A$6:$A$455,0))</f>
        <v>-73.671838086840907</v>
      </c>
      <c r="U454" s="3">
        <f>INDEX(Locations!$D$6:$D$455,MATCH(C454,Locations!$A$6:$A$455,0))</f>
        <v>42.731460538401699</v>
      </c>
      <c r="V454" s="3">
        <f>INDEX(Locations!$E$6:$E$455,MATCH(C454,Locations!$A$6:$A$455,0))</f>
        <v>-73.671102750669206</v>
      </c>
    </row>
    <row r="455" spans="1:22" ht="23.1" customHeight="1">
      <c r="A455" s="1" t="s">
        <v>1063</v>
      </c>
      <c r="B455" s="1" t="s">
        <v>236</v>
      </c>
      <c r="C455" s="1" t="s">
        <v>503</v>
      </c>
      <c r="D455" s="1" t="s">
        <v>612</v>
      </c>
      <c r="E455" s="13">
        <f t="shared" si="7"/>
        <v>13.221348727452961</v>
      </c>
      <c r="F455" s="11" t="s">
        <v>70</v>
      </c>
      <c r="G455" s="11" t="s">
        <v>69</v>
      </c>
      <c r="H455" s="11" t="s">
        <v>69</v>
      </c>
      <c r="I455" s="11" t="s">
        <v>69</v>
      </c>
      <c r="J455" s="11" t="s">
        <v>69</v>
      </c>
      <c r="K455" s="14"/>
      <c r="L455" s="14"/>
      <c r="M455" s="11"/>
      <c r="N455" s="12"/>
      <c r="O455" s="11"/>
      <c r="P455" s="11"/>
      <c r="Q455" s="1">
        <v>451</v>
      </c>
      <c r="R455" s="1"/>
      <c r="S455" s="3">
        <f>INDEX(Locations!$D$6:$D$455,MATCH(B455,Locations!$A$6:$A$455,0))</f>
        <v>42.731659404172397</v>
      </c>
      <c r="T455" s="3">
        <f>INDEX(Locations!$E$6:$E$455,MATCH(B455,Locations!$A$6:$A$455,0))</f>
        <v>-73.671796704285796</v>
      </c>
      <c r="U455" s="3">
        <f>INDEX(Locations!$D$6:$D$455,MATCH(C455,Locations!$A$6:$A$455,0))</f>
        <v>42.7315444528599</v>
      </c>
      <c r="V455" s="3">
        <f>INDEX(Locations!$E$6:$E$455,MATCH(C455,Locations!$A$6:$A$455,0))</f>
        <v>-73.671838086840907</v>
      </c>
    </row>
    <row r="456" spans="1:22" ht="23.1" customHeight="1">
      <c r="A456" s="1" t="s">
        <v>1064</v>
      </c>
      <c r="B456" s="1" t="s">
        <v>225</v>
      </c>
      <c r="C456" s="1" t="s">
        <v>503</v>
      </c>
      <c r="D456" s="1" t="s">
        <v>612</v>
      </c>
      <c r="E456" s="13">
        <f t="shared" si="7"/>
        <v>31.582573843057226</v>
      </c>
      <c r="F456" s="11" t="s">
        <v>70</v>
      </c>
      <c r="G456" s="11" t="s">
        <v>69</v>
      </c>
      <c r="H456" s="11" t="s">
        <v>69</v>
      </c>
      <c r="I456" s="11" t="s">
        <v>69</v>
      </c>
      <c r="J456" s="11" t="s">
        <v>69</v>
      </c>
      <c r="K456" s="14"/>
      <c r="L456" s="14"/>
      <c r="M456" s="11"/>
      <c r="N456" s="12"/>
      <c r="O456" s="11"/>
      <c r="P456" s="11"/>
      <c r="Q456" s="1">
        <v>452</v>
      </c>
      <c r="R456" s="1"/>
      <c r="S456" s="3">
        <f>INDEX(Locations!$D$6:$D$455,MATCH(B456,Locations!$A$6:$A$455,0))</f>
        <v>42.731265121170402</v>
      </c>
      <c r="T456" s="3">
        <f>INDEX(Locations!$E$6:$E$455,MATCH(B456,Locations!$A$6:$A$455,0))</f>
        <v>-73.671908118857303</v>
      </c>
      <c r="U456" s="3">
        <f>INDEX(Locations!$D$6:$D$455,MATCH(C456,Locations!$A$6:$A$455,0))</f>
        <v>42.7315444528599</v>
      </c>
      <c r="V456" s="3">
        <f>INDEX(Locations!$E$6:$E$455,MATCH(C456,Locations!$A$6:$A$455,0))</f>
        <v>-73.671838086840907</v>
      </c>
    </row>
    <row r="457" spans="1:22" ht="23.1" customHeight="1">
      <c r="A457" s="1" t="s">
        <v>1065</v>
      </c>
      <c r="B457" s="1" t="s">
        <v>502</v>
      </c>
      <c r="C457" s="1" t="s">
        <v>97</v>
      </c>
      <c r="D457" s="1" t="s">
        <v>612</v>
      </c>
      <c r="E457" s="13">
        <f t="shared" si="7"/>
        <v>42.865329071855022</v>
      </c>
      <c r="F457" s="11" t="s">
        <v>70</v>
      </c>
      <c r="G457" s="11" t="s">
        <v>69</v>
      </c>
      <c r="H457" s="11" t="s">
        <v>69</v>
      </c>
      <c r="I457" s="11" t="s">
        <v>69</v>
      </c>
      <c r="J457" s="11" t="s">
        <v>69</v>
      </c>
      <c r="K457" s="14"/>
      <c r="L457" s="14"/>
      <c r="M457" s="11"/>
      <c r="N457" s="12"/>
      <c r="O457" s="11"/>
      <c r="P457" s="11"/>
      <c r="Q457" s="1">
        <v>453</v>
      </c>
      <c r="R457" s="1"/>
      <c r="S457" s="3">
        <f>INDEX(Locations!$D$6:$D$455,MATCH(B457,Locations!$A$6:$A$455,0))</f>
        <v>42.731460538401699</v>
      </c>
      <c r="T457" s="3">
        <f>INDEX(Locations!$E$6:$E$455,MATCH(B457,Locations!$A$6:$A$455,0))</f>
        <v>-73.671102750669206</v>
      </c>
      <c r="U457" s="3">
        <f>INDEX(Locations!$D$6:$D$455,MATCH(C457,Locations!$A$6:$A$455,0))</f>
        <v>42.7310890611734</v>
      </c>
      <c r="V457" s="3">
        <f>INDEX(Locations!$E$6:$E$455,MATCH(C457,Locations!$A$6:$A$455,0))</f>
        <v>-73.671242998331905</v>
      </c>
    </row>
    <row r="458" spans="1:22" ht="23.1" customHeight="1">
      <c r="A458" s="1" t="s">
        <v>1066</v>
      </c>
      <c r="B458" s="1" t="s">
        <v>504</v>
      </c>
      <c r="C458" s="1" t="s">
        <v>498</v>
      </c>
      <c r="D458" s="1" t="s">
        <v>612</v>
      </c>
      <c r="E458" s="13">
        <f t="shared" si="7"/>
        <v>50.176571390344378</v>
      </c>
      <c r="F458" s="11" t="s">
        <v>70</v>
      </c>
      <c r="G458" s="11" t="s">
        <v>69</v>
      </c>
      <c r="H458" s="11" t="s">
        <v>69</v>
      </c>
      <c r="I458" s="11" t="s">
        <v>69</v>
      </c>
      <c r="J458" s="11" t="s">
        <v>69</v>
      </c>
      <c r="K458" s="14"/>
      <c r="L458" s="14"/>
      <c r="M458" s="11"/>
      <c r="N458" s="12"/>
      <c r="O458" s="11"/>
      <c r="P458" s="11"/>
      <c r="Q458" s="1">
        <v>454</v>
      </c>
      <c r="R458" s="1"/>
      <c r="S458" s="3">
        <f>INDEX(Locations!$D$6:$D$455,MATCH(B458,Locations!$A$6:$A$455,0))</f>
        <v>42.732541080739502</v>
      </c>
      <c r="T458" s="3">
        <f>INDEX(Locations!$E$6:$E$455,MATCH(B458,Locations!$A$6:$A$455,0))</f>
        <v>-73.670178009726001</v>
      </c>
      <c r="U458" s="3">
        <f>INDEX(Locations!$D$6:$D$455,MATCH(C458,Locations!$A$6:$A$455,0))</f>
        <v>42.732287038338796</v>
      </c>
      <c r="V458" s="3">
        <f>INDEX(Locations!$E$6:$E$455,MATCH(C458,Locations!$A$6:$A$455,0))</f>
        <v>-73.670685741844594</v>
      </c>
    </row>
    <row r="459" spans="1:22" ht="23.1" customHeight="1">
      <c r="A459" s="1" t="s">
        <v>1067</v>
      </c>
      <c r="B459" s="1" t="s">
        <v>504</v>
      </c>
      <c r="C459" s="1" t="s">
        <v>496</v>
      </c>
      <c r="D459" s="1" t="s">
        <v>612</v>
      </c>
      <c r="E459" s="13">
        <f t="shared" si="7"/>
        <v>76.380790636797599</v>
      </c>
      <c r="F459" s="11" t="s">
        <v>70</v>
      </c>
      <c r="G459" s="11" t="s">
        <v>69</v>
      </c>
      <c r="H459" s="11" t="s">
        <v>69</v>
      </c>
      <c r="I459" s="11" t="s">
        <v>69</v>
      </c>
      <c r="J459" s="11" t="s">
        <v>69</v>
      </c>
      <c r="K459" s="14"/>
      <c r="L459" s="14"/>
      <c r="M459" s="11"/>
      <c r="N459" s="12"/>
      <c r="O459" s="11"/>
      <c r="P459" s="11"/>
      <c r="Q459" s="1">
        <v>455</v>
      </c>
      <c r="R459" s="1"/>
      <c r="S459" s="3">
        <f>INDEX(Locations!$D$6:$D$455,MATCH(B459,Locations!$A$6:$A$455,0))</f>
        <v>42.732541080739502</v>
      </c>
      <c r="T459" s="3">
        <f>INDEX(Locations!$E$6:$E$455,MATCH(B459,Locations!$A$6:$A$455,0))</f>
        <v>-73.670178009726001</v>
      </c>
      <c r="U459" s="3">
        <f>INDEX(Locations!$D$6:$D$455,MATCH(C459,Locations!$A$6:$A$455,0))</f>
        <v>42.731860568969303</v>
      </c>
      <c r="V459" s="3">
        <f>INDEX(Locations!$E$6:$E$455,MATCH(C459,Locations!$A$6:$A$455,0))</f>
        <v>-73.670305340664896</v>
      </c>
    </row>
    <row r="460" spans="1:22" ht="23.1" customHeight="1">
      <c r="A460" s="1" t="s">
        <v>1068</v>
      </c>
      <c r="B460" s="1" t="s">
        <v>505</v>
      </c>
      <c r="C460" s="1" t="s">
        <v>139</v>
      </c>
      <c r="D460" s="1" t="s">
        <v>612</v>
      </c>
      <c r="E460" s="13">
        <f t="shared" si="7"/>
        <v>37.198634030320044</v>
      </c>
      <c r="F460" s="11" t="s">
        <v>70</v>
      </c>
      <c r="G460" s="11" t="s">
        <v>69</v>
      </c>
      <c r="H460" s="11" t="s">
        <v>69</v>
      </c>
      <c r="I460" s="11" t="s">
        <v>69</v>
      </c>
      <c r="J460" s="11" t="s">
        <v>69</v>
      </c>
      <c r="K460" s="14"/>
      <c r="L460" s="14"/>
      <c r="M460" s="11"/>
      <c r="N460" s="12"/>
      <c r="O460" s="11"/>
      <c r="P460" s="11"/>
      <c r="Q460" s="1">
        <v>456</v>
      </c>
      <c r="R460" s="1"/>
      <c r="S460" s="3">
        <f>INDEX(Locations!$D$6:$D$455,MATCH(B460,Locations!$A$6:$A$455,0))</f>
        <v>42.732476708004498</v>
      </c>
      <c r="T460" s="3">
        <f>INDEX(Locations!$E$6:$E$455,MATCH(B460,Locations!$A$6:$A$455,0))</f>
        <v>-73.669606612138097</v>
      </c>
      <c r="U460" s="3">
        <f>INDEX(Locations!$D$6:$D$455,MATCH(C460,Locations!$A$6:$A$455,0))</f>
        <v>42.732143739525597</v>
      </c>
      <c r="V460" s="3">
        <f>INDEX(Locations!$E$6:$E$455,MATCH(C460,Locations!$A$6:$A$455,0))</f>
        <v>-73.669650640565493</v>
      </c>
    </row>
    <row r="461" spans="1:22" ht="23.1" customHeight="1">
      <c r="A461" s="1" t="s">
        <v>1069</v>
      </c>
      <c r="B461" s="1" t="s">
        <v>508</v>
      </c>
      <c r="C461" s="1" t="s">
        <v>139</v>
      </c>
      <c r="D461" s="1" t="s">
        <v>612</v>
      </c>
      <c r="E461" s="13">
        <f t="shared" si="7"/>
        <v>42.232265019111388</v>
      </c>
      <c r="F461" s="11" t="s">
        <v>70</v>
      </c>
      <c r="G461" s="11" t="s">
        <v>69</v>
      </c>
      <c r="H461" s="11" t="s">
        <v>69</v>
      </c>
      <c r="I461" s="11" t="s">
        <v>69</v>
      </c>
      <c r="J461" s="11" t="s">
        <v>69</v>
      </c>
      <c r="K461" s="14"/>
      <c r="L461" s="14"/>
      <c r="M461" s="11"/>
      <c r="N461" s="12"/>
      <c r="O461" s="11"/>
      <c r="P461" s="11"/>
      <c r="Q461" s="1">
        <v>457</v>
      </c>
      <c r="R461" s="1"/>
      <c r="S461" s="3">
        <f>INDEX(Locations!$D$6:$D$455,MATCH(B461,Locations!$A$6:$A$455,0))</f>
        <v>42.731773205971798</v>
      </c>
      <c r="T461" s="3">
        <f>INDEX(Locations!$E$6:$E$455,MATCH(B461,Locations!$A$6:$A$455,0))</f>
        <v>-73.669764184174895</v>
      </c>
      <c r="U461" s="3">
        <f>INDEX(Locations!$D$6:$D$455,MATCH(C461,Locations!$A$6:$A$455,0))</f>
        <v>42.732143739525597</v>
      </c>
      <c r="V461" s="3">
        <f>INDEX(Locations!$E$6:$E$455,MATCH(C461,Locations!$A$6:$A$455,0))</f>
        <v>-73.669650640565493</v>
      </c>
    </row>
    <row r="462" spans="1:22" ht="23.1" customHeight="1">
      <c r="A462" s="1" t="s">
        <v>1070</v>
      </c>
      <c r="B462" s="1" t="s">
        <v>496</v>
      </c>
      <c r="C462" s="1" t="s">
        <v>508</v>
      </c>
      <c r="D462" s="1" t="s">
        <v>612</v>
      </c>
      <c r="E462" s="13">
        <f t="shared" si="7"/>
        <v>45.254901078433008</v>
      </c>
      <c r="F462" s="11" t="s">
        <v>70</v>
      </c>
      <c r="G462" s="11" t="s">
        <v>69</v>
      </c>
      <c r="H462" s="11" t="s">
        <v>69</v>
      </c>
      <c r="I462" s="11" t="s">
        <v>69</v>
      </c>
      <c r="J462" s="11" t="s">
        <v>69</v>
      </c>
      <c r="K462" s="14"/>
      <c r="L462" s="14"/>
      <c r="M462" s="11"/>
      <c r="N462" s="12"/>
      <c r="O462" s="11"/>
      <c r="P462" s="11"/>
      <c r="Q462" s="1">
        <v>458</v>
      </c>
      <c r="R462" s="1"/>
      <c r="S462" s="3">
        <f>INDEX(Locations!$D$6:$D$455,MATCH(B462,Locations!$A$6:$A$455,0))</f>
        <v>42.731860568969303</v>
      </c>
      <c r="T462" s="3">
        <f>INDEX(Locations!$E$6:$E$455,MATCH(B462,Locations!$A$6:$A$455,0))</f>
        <v>-73.670305340664896</v>
      </c>
      <c r="U462" s="3">
        <f>INDEX(Locations!$D$6:$D$455,MATCH(C462,Locations!$A$6:$A$455,0))</f>
        <v>42.731773205971798</v>
      </c>
      <c r="V462" s="3">
        <f>INDEX(Locations!$E$6:$E$455,MATCH(C462,Locations!$A$6:$A$455,0))</f>
        <v>-73.669764184174895</v>
      </c>
    </row>
    <row r="463" spans="1:22" ht="23.1" customHeight="1">
      <c r="A463" s="1" t="s">
        <v>1071</v>
      </c>
      <c r="B463" s="1" t="s">
        <v>507</v>
      </c>
      <c r="C463" s="1" t="s">
        <v>508</v>
      </c>
      <c r="D463" s="1" t="s">
        <v>612</v>
      </c>
      <c r="E463" s="13">
        <f t="shared" si="7"/>
        <v>77.344057810004486</v>
      </c>
      <c r="F463" s="11" t="s">
        <v>70</v>
      </c>
      <c r="G463" s="11" t="s">
        <v>69</v>
      </c>
      <c r="H463" s="11" t="s">
        <v>69</v>
      </c>
      <c r="I463" s="11" t="s">
        <v>69</v>
      </c>
      <c r="J463" s="11" t="s">
        <v>69</v>
      </c>
      <c r="K463" s="14"/>
      <c r="L463" s="14"/>
      <c r="M463" s="11"/>
      <c r="N463" s="12"/>
      <c r="O463" s="11"/>
      <c r="P463" s="11"/>
      <c r="Q463" s="1">
        <v>459</v>
      </c>
      <c r="R463" s="1"/>
      <c r="S463" s="3">
        <f>INDEX(Locations!$D$6:$D$455,MATCH(B463,Locations!$A$6:$A$455,0))</f>
        <v>42.731716879828703</v>
      </c>
      <c r="T463" s="3">
        <f>INDEX(Locations!$E$6:$E$455,MATCH(B463,Locations!$A$6:$A$455,0))</f>
        <v>-73.668820343590895</v>
      </c>
      <c r="U463" s="3">
        <f>INDEX(Locations!$D$6:$D$455,MATCH(C463,Locations!$A$6:$A$455,0))</f>
        <v>42.731773205971798</v>
      </c>
      <c r="V463" s="3">
        <f>INDEX(Locations!$E$6:$E$455,MATCH(C463,Locations!$A$6:$A$455,0))</f>
        <v>-73.669764184174895</v>
      </c>
    </row>
    <row r="464" spans="1:22" ht="23.1" customHeight="1">
      <c r="A464" s="1" t="s">
        <v>1072</v>
      </c>
      <c r="B464" s="1" t="s">
        <v>506</v>
      </c>
      <c r="C464" s="1" t="s">
        <v>507</v>
      </c>
      <c r="D464" s="1" t="s">
        <v>612</v>
      </c>
      <c r="E464" s="13">
        <f t="shared" si="7"/>
        <v>68.397004642159573</v>
      </c>
      <c r="F464" s="11" t="s">
        <v>70</v>
      </c>
      <c r="G464" s="11" t="s">
        <v>69</v>
      </c>
      <c r="H464" s="11" t="s">
        <v>69</v>
      </c>
      <c r="I464" s="11" t="s">
        <v>69</v>
      </c>
      <c r="J464" s="11" t="s">
        <v>69</v>
      </c>
      <c r="K464" s="14"/>
      <c r="L464" s="14"/>
      <c r="M464" s="11"/>
      <c r="N464" s="12"/>
      <c r="O464" s="11"/>
      <c r="P464" s="11"/>
      <c r="Q464" s="1">
        <v>460</v>
      </c>
      <c r="R464" s="1"/>
      <c r="S464" s="3">
        <f>INDEX(Locations!$D$6:$D$455,MATCH(B464,Locations!$A$6:$A$455,0))</f>
        <v>42.732315776166999</v>
      </c>
      <c r="T464" s="3">
        <f>INDEX(Locations!$E$6:$E$455,MATCH(B464,Locations!$A$6:$A$455,0))</f>
        <v>-73.668629347182602</v>
      </c>
      <c r="U464" s="3">
        <f>INDEX(Locations!$D$6:$D$455,MATCH(C464,Locations!$A$6:$A$455,0))</f>
        <v>42.731716879828703</v>
      </c>
      <c r="V464" s="3">
        <f>INDEX(Locations!$E$6:$E$455,MATCH(C464,Locations!$A$6:$A$455,0))</f>
        <v>-73.668820343590895</v>
      </c>
    </row>
    <row r="465" spans="1:22" ht="23.1" customHeight="1">
      <c r="A465" s="1" t="s">
        <v>1073</v>
      </c>
      <c r="B465" s="1" t="s">
        <v>504</v>
      </c>
      <c r="C465" s="1" t="s">
        <v>505</v>
      </c>
      <c r="D465" s="1" t="s">
        <v>612</v>
      </c>
      <c r="E465" s="13">
        <f t="shared" si="7"/>
        <v>47.21518745447775</v>
      </c>
      <c r="F465" s="11" t="s">
        <v>70</v>
      </c>
      <c r="G465" s="11" t="s">
        <v>69</v>
      </c>
      <c r="H465" s="11" t="s">
        <v>69</v>
      </c>
      <c r="I465" s="11" t="s">
        <v>69</v>
      </c>
      <c r="J465" s="11" t="s">
        <v>69</v>
      </c>
      <c r="K465" s="14"/>
      <c r="L465" s="14"/>
      <c r="M465" s="11"/>
      <c r="N465" s="12"/>
      <c r="O465" s="11"/>
      <c r="P465" s="11"/>
      <c r="Q465" s="1">
        <v>461</v>
      </c>
      <c r="R465" s="1"/>
      <c r="S465" s="3">
        <f>INDEX(Locations!$D$6:$D$455,MATCH(B465,Locations!$A$6:$A$455,0))</f>
        <v>42.732541080739502</v>
      </c>
      <c r="T465" s="3">
        <f>INDEX(Locations!$E$6:$E$455,MATCH(B465,Locations!$A$6:$A$455,0))</f>
        <v>-73.670178009726001</v>
      </c>
      <c r="U465" s="3">
        <f>INDEX(Locations!$D$6:$D$455,MATCH(C465,Locations!$A$6:$A$455,0))</f>
        <v>42.732476708004498</v>
      </c>
      <c r="V465" s="3">
        <f>INDEX(Locations!$E$6:$E$455,MATCH(C465,Locations!$A$6:$A$455,0))</f>
        <v>-73.669606612138097</v>
      </c>
    </row>
    <row r="466" spans="1:22" ht="23.1" customHeight="1">
      <c r="A466" s="1" t="s">
        <v>1074</v>
      </c>
      <c r="B466" s="1" t="s">
        <v>506</v>
      </c>
      <c r="C466" s="1" t="s">
        <v>505</v>
      </c>
      <c r="D466" s="1" t="s">
        <v>612</v>
      </c>
      <c r="E466" s="13">
        <f t="shared" si="7"/>
        <v>81.800555693571411</v>
      </c>
      <c r="F466" s="11" t="s">
        <v>70</v>
      </c>
      <c r="G466" s="11" t="s">
        <v>69</v>
      </c>
      <c r="H466" s="11" t="s">
        <v>69</v>
      </c>
      <c r="I466" s="11" t="s">
        <v>69</v>
      </c>
      <c r="J466" s="11" t="s">
        <v>69</v>
      </c>
      <c r="K466" s="14"/>
      <c r="L466" s="14"/>
      <c r="M466" s="11"/>
      <c r="N466" s="12"/>
      <c r="O466" s="11"/>
      <c r="P466" s="11"/>
      <c r="Q466" s="1">
        <v>462</v>
      </c>
      <c r="R466" s="1"/>
      <c r="S466" s="3">
        <f>INDEX(Locations!$D$6:$D$455,MATCH(B466,Locations!$A$6:$A$455,0))</f>
        <v>42.732315776166999</v>
      </c>
      <c r="T466" s="3">
        <f>INDEX(Locations!$E$6:$E$455,MATCH(B466,Locations!$A$6:$A$455,0))</f>
        <v>-73.668629347182602</v>
      </c>
      <c r="U466" s="3">
        <f>INDEX(Locations!$D$6:$D$455,MATCH(C466,Locations!$A$6:$A$455,0))</f>
        <v>42.732476708004498</v>
      </c>
      <c r="V466" s="3">
        <f>INDEX(Locations!$E$6:$E$455,MATCH(C466,Locations!$A$6:$A$455,0))</f>
        <v>-73.669606612138097</v>
      </c>
    </row>
    <row r="467" spans="1:22" ht="23.1" customHeight="1">
      <c r="A467" s="1" t="s">
        <v>1075</v>
      </c>
      <c r="B467" s="1" t="s">
        <v>495</v>
      </c>
      <c r="C467" s="1" t="s">
        <v>509</v>
      </c>
      <c r="D467" s="1" t="s">
        <v>612</v>
      </c>
      <c r="E467" s="13">
        <f t="shared" si="7"/>
        <v>117.56606931984111</v>
      </c>
      <c r="F467" s="11" t="s">
        <v>70</v>
      </c>
      <c r="G467" s="11" t="s">
        <v>69</v>
      </c>
      <c r="H467" s="11" t="s">
        <v>69</v>
      </c>
      <c r="I467" s="11" t="s">
        <v>69</v>
      </c>
      <c r="J467" s="11" t="s">
        <v>69</v>
      </c>
      <c r="K467" s="14"/>
      <c r="L467" s="14"/>
      <c r="M467" s="11"/>
      <c r="N467" s="12"/>
      <c r="O467" s="11"/>
      <c r="P467" s="11"/>
      <c r="Q467" s="1">
        <v>463</v>
      </c>
      <c r="R467" s="1"/>
      <c r="S467" s="3">
        <f>INDEX(Locations!$D$6:$D$455,MATCH(B467,Locations!$A$6:$A$455,0))</f>
        <v>42.731605377055502</v>
      </c>
      <c r="T467" s="3">
        <f>INDEX(Locations!$E$6:$E$455,MATCH(B467,Locations!$A$6:$A$455,0))</f>
        <v>-73.670459729428202</v>
      </c>
      <c r="U467" s="3">
        <f>INDEX(Locations!$D$6:$D$455,MATCH(C467,Locations!$A$6:$A$455,0))</f>
        <v>42.731361680272997</v>
      </c>
      <c r="V467" s="3">
        <f>INDEX(Locations!$E$6:$E$455,MATCH(C467,Locations!$A$6:$A$455,0))</f>
        <v>-73.669059089101196</v>
      </c>
    </row>
    <row r="468" spans="1:22" ht="23.1" customHeight="1">
      <c r="A468" s="1" t="s">
        <v>1076</v>
      </c>
      <c r="B468" s="1" t="s">
        <v>507</v>
      </c>
      <c r="C468" s="1" t="s">
        <v>511</v>
      </c>
      <c r="D468" s="1" t="s">
        <v>612</v>
      </c>
      <c r="E468" s="13">
        <f t="shared" si="7"/>
        <v>15.968947460652105</v>
      </c>
      <c r="F468" s="11" t="s">
        <v>70</v>
      </c>
      <c r="G468" s="11" t="s">
        <v>69</v>
      </c>
      <c r="H468" s="11" t="s">
        <v>69</v>
      </c>
      <c r="I468" s="11" t="s">
        <v>69</v>
      </c>
      <c r="J468" s="11" t="s">
        <v>69</v>
      </c>
      <c r="K468" s="14"/>
      <c r="L468" s="14"/>
      <c r="M468" s="11"/>
      <c r="N468" s="12"/>
      <c r="O468" s="11"/>
      <c r="P468" s="11"/>
      <c r="Q468" s="1">
        <v>464</v>
      </c>
      <c r="R468" s="1"/>
      <c r="S468" s="3">
        <f>INDEX(Locations!$D$6:$D$455,MATCH(B468,Locations!$A$6:$A$455,0))</f>
        <v>42.731716879828703</v>
      </c>
      <c r="T468" s="3">
        <f>INDEX(Locations!$E$6:$E$455,MATCH(B468,Locations!$A$6:$A$455,0))</f>
        <v>-73.668820343590895</v>
      </c>
      <c r="U468" s="3">
        <f>INDEX(Locations!$D$6:$D$455,MATCH(C468,Locations!$A$6:$A$455,0))</f>
        <v>42.7315846858193</v>
      </c>
      <c r="V468" s="3">
        <f>INDEX(Locations!$E$6:$E$455,MATCH(C468,Locations!$A$6:$A$455,0))</f>
        <v>-73.668896742154203</v>
      </c>
    </row>
    <row r="469" spans="1:22" ht="23.1" customHeight="1">
      <c r="A469" s="1" t="s">
        <v>1077</v>
      </c>
      <c r="B469" s="1" t="s">
        <v>509</v>
      </c>
      <c r="C469" s="1" t="s">
        <v>511</v>
      </c>
      <c r="D469" s="1" t="s">
        <v>612</v>
      </c>
      <c r="E469" s="13">
        <f t="shared" si="7"/>
        <v>28.119829530369778</v>
      </c>
      <c r="F469" s="11" t="s">
        <v>70</v>
      </c>
      <c r="G469" s="11" t="s">
        <v>69</v>
      </c>
      <c r="H469" s="11" t="s">
        <v>69</v>
      </c>
      <c r="I469" s="11" t="s">
        <v>69</v>
      </c>
      <c r="J469" s="11" t="s">
        <v>69</v>
      </c>
      <c r="K469" s="14"/>
      <c r="L469" s="14"/>
      <c r="M469" s="11"/>
      <c r="N469" s="12"/>
      <c r="O469" s="11"/>
      <c r="P469" s="11"/>
      <c r="Q469" s="1">
        <v>465</v>
      </c>
      <c r="R469" s="1"/>
      <c r="S469" s="3">
        <f>INDEX(Locations!$D$6:$D$455,MATCH(B469,Locations!$A$6:$A$455,0))</f>
        <v>42.731361680272997</v>
      </c>
      <c r="T469" s="3">
        <f>INDEX(Locations!$E$6:$E$455,MATCH(B469,Locations!$A$6:$A$455,0))</f>
        <v>-73.669059089101196</v>
      </c>
      <c r="U469" s="3">
        <f>INDEX(Locations!$D$6:$D$455,MATCH(C469,Locations!$A$6:$A$455,0))</f>
        <v>42.7315846858193</v>
      </c>
      <c r="V469" s="3">
        <f>INDEX(Locations!$E$6:$E$455,MATCH(C469,Locations!$A$6:$A$455,0))</f>
        <v>-73.668896742154203</v>
      </c>
    </row>
    <row r="470" spans="1:22" ht="23.1" customHeight="1">
      <c r="A470" s="1" t="s">
        <v>1078</v>
      </c>
      <c r="B470" s="1" t="s">
        <v>510</v>
      </c>
      <c r="C470" s="1" t="s">
        <v>511</v>
      </c>
      <c r="D470" s="1" t="s">
        <v>612</v>
      </c>
      <c r="E470" s="13">
        <f t="shared" si="7"/>
        <v>21.228065461923151</v>
      </c>
      <c r="F470" s="11" t="s">
        <v>70</v>
      </c>
      <c r="G470" s="11" t="s">
        <v>69</v>
      </c>
      <c r="H470" s="11" t="s">
        <v>69</v>
      </c>
      <c r="I470" s="11" t="s">
        <v>69</v>
      </c>
      <c r="J470" s="11" t="s">
        <v>69</v>
      </c>
      <c r="K470" s="14"/>
      <c r="L470" s="14"/>
      <c r="M470" s="11"/>
      <c r="N470" s="12"/>
      <c r="O470" s="11"/>
      <c r="P470" s="11"/>
      <c r="Q470" s="1">
        <v>466</v>
      </c>
      <c r="R470" s="1"/>
      <c r="S470" s="3">
        <f>INDEX(Locations!$D$6:$D$455,MATCH(B470,Locations!$A$6:$A$455,0))</f>
        <v>42.731490425742997</v>
      </c>
      <c r="T470" s="3">
        <f>INDEX(Locations!$E$6:$E$455,MATCH(B470,Locations!$A$6:$A$455,0))</f>
        <v>-73.668670729737798</v>
      </c>
      <c r="U470" s="3">
        <f>INDEX(Locations!$D$6:$D$455,MATCH(C470,Locations!$A$6:$A$455,0))</f>
        <v>42.7315846858193</v>
      </c>
      <c r="V470" s="3">
        <f>INDEX(Locations!$E$6:$E$455,MATCH(C470,Locations!$A$6:$A$455,0))</f>
        <v>-73.668896742154203</v>
      </c>
    </row>
    <row r="471" spans="1:22" ht="23.1" customHeight="1">
      <c r="A471" s="1" t="s">
        <v>1079</v>
      </c>
      <c r="B471" s="1" t="s">
        <v>510</v>
      </c>
      <c r="C471" s="1" t="s">
        <v>512</v>
      </c>
      <c r="D471" s="1" t="s">
        <v>612</v>
      </c>
      <c r="E471" s="13">
        <f t="shared" si="7"/>
        <v>50.872476149611835</v>
      </c>
      <c r="F471" s="11" t="s">
        <v>70</v>
      </c>
      <c r="G471" s="11" t="s">
        <v>69</v>
      </c>
      <c r="H471" s="11" t="s">
        <v>69</v>
      </c>
      <c r="I471" s="11" t="s">
        <v>69</v>
      </c>
      <c r="J471" s="11" t="s">
        <v>69</v>
      </c>
      <c r="K471" s="14"/>
      <c r="L471" s="14"/>
      <c r="M471" s="11"/>
      <c r="N471" s="12"/>
      <c r="O471" s="11"/>
      <c r="P471" s="11"/>
      <c r="Q471" s="1">
        <v>467</v>
      </c>
      <c r="R471" s="1"/>
      <c r="S471" s="3">
        <f>INDEX(Locations!$D$6:$D$455,MATCH(B471,Locations!$A$6:$A$455,0))</f>
        <v>42.731490425742997</v>
      </c>
      <c r="T471" s="3">
        <f>INDEX(Locations!$E$6:$E$455,MATCH(B471,Locations!$A$6:$A$455,0))</f>
        <v>-73.668670729737798</v>
      </c>
      <c r="U471" s="3">
        <f>INDEX(Locations!$D$6:$D$455,MATCH(C471,Locations!$A$6:$A$455,0))</f>
        <v>42.731120282516599</v>
      </c>
      <c r="V471" s="3">
        <f>INDEX(Locations!$E$6:$E$455,MATCH(C471,Locations!$A$6:$A$455,0))</f>
        <v>-73.669036806186895</v>
      </c>
    </row>
    <row r="472" spans="1:22" ht="23.1" customHeight="1">
      <c r="A472" s="1" t="s">
        <v>1080</v>
      </c>
      <c r="B472" s="1" t="s">
        <v>171</v>
      </c>
      <c r="C472" s="1" t="s">
        <v>513</v>
      </c>
      <c r="D472" s="1" t="s">
        <v>612</v>
      </c>
      <c r="E472" s="13">
        <f t="shared" si="7"/>
        <v>27.308356257047926</v>
      </c>
      <c r="F472" s="11" t="s">
        <v>70</v>
      </c>
      <c r="G472" s="11" t="s">
        <v>69</v>
      </c>
      <c r="H472" s="11" t="s">
        <v>69</v>
      </c>
      <c r="I472" s="11" t="s">
        <v>69</v>
      </c>
      <c r="J472" s="11" t="s">
        <v>69</v>
      </c>
      <c r="K472" s="14"/>
      <c r="L472" s="14"/>
      <c r="M472" s="11"/>
      <c r="N472" s="12"/>
      <c r="O472" s="11"/>
      <c r="P472" s="11"/>
      <c r="Q472" s="1">
        <v>468</v>
      </c>
      <c r="R472" s="1"/>
      <c r="S472" s="3">
        <f>INDEX(Locations!$D$6:$D$455,MATCH(B472,Locations!$A$6:$A$455,0))</f>
        <v>42.731012266979803</v>
      </c>
      <c r="T472" s="3">
        <f>INDEX(Locations!$E$6:$E$455,MATCH(B472,Locations!$A$6:$A$455,0))</f>
        <v>-73.669418861661498</v>
      </c>
      <c r="U472" s="3">
        <f>INDEX(Locations!$D$6:$D$455,MATCH(C472,Locations!$A$6:$A$455,0))</f>
        <v>42.731242130907901</v>
      </c>
      <c r="V472" s="3">
        <f>INDEX(Locations!$E$6:$E$455,MATCH(C472,Locations!$A$6:$A$455,0))</f>
        <v>-73.669536580121701</v>
      </c>
    </row>
    <row r="473" spans="1:22" ht="23.1" customHeight="1">
      <c r="A473" s="1" t="s">
        <v>1081</v>
      </c>
      <c r="B473" s="1" t="s">
        <v>512</v>
      </c>
      <c r="C473" s="1" t="s">
        <v>513</v>
      </c>
      <c r="D473" s="1" t="s">
        <v>612</v>
      </c>
      <c r="E473" s="13">
        <f t="shared" si="7"/>
        <v>43.010210156894892</v>
      </c>
      <c r="F473" s="11" t="s">
        <v>70</v>
      </c>
      <c r="G473" s="11" t="s">
        <v>69</v>
      </c>
      <c r="H473" s="11" t="s">
        <v>69</v>
      </c>
      <c r="I473" s="11" t="s">
        <v>69</v>
      </c>
      <c r="J473" s="11" t="s">
        <v>69</v>
      </c>
      <c r="K473" s="14"/>
      <c r="L473" s="14"/>
      <c r="M473" s="11"/>
      <c r="N473" s="12"/>
      <c r="O473" s="11"/>
      <c r="P473" s="11"/>
      <c r="Q473" s="1">
        <v>469</v>
      </c>
      <c r="R473" s="1"/>
      <c r="S473" s="3">
        <f>INDEX(Locations!$D$6:$D$455,MATCH(B473,Locations!$A$6:$A$455,0))</f>
        <v>42.731120282516599</v>
      </c>
      <c r="T473" s="3">
        <f>INDEX(Locations!$E$6:$E$455,MATCH(B473,Locations!$A$6:$A$455,0))</f>
        <v>-73.669036806186895</v>
      </c>
      <c r="U473" s="3">
        <f>INDEX(Locations!$D$6:$D$455,MATCH(C473,Locations!$A$6:$A$455,0))</f>
        <v>42.731242130907901</v>
      </c>
      <c r="V473" s="3">
        <f>INDEX(Locations!$E$6:$E$455,MATCH(C473,Locations!$A$6:$A$455,0))</f>
        <v>-73.669536580121701</v>
      </c>
    </row>
    <row r="474" spans="1:22" ht="23.1" customHeight="1">
      <c r="A474" s="1" t="s">
        <v>1082</v>
      </c>
      <c r="B474" s="1" t="s">
        <v>514</v>
      </c>
      <c r="C474" s="1" t="s">
        <v>513</v>
      </c>
      <c r="D474" s="1" t="s">
        <v>612</v>
      </c>
      <c r="E474" s="13">
        <f t="shared" si="7"/>
        <v>48.90099159040313</v>
      </c>
      <c r="F474" s="11" t="s">
        <v>70</v>
      </c>
      <c r="G474" s="11" t="s">
        <v>69</v>
      </c>
      <c r="H474" s="11" t="s">
        <v>69</v>
      </c>
      <c r="I474" s="11" t="s">
        <v>69</v>
      </c>
      <c r="J474" s="11" t="s">
        <v>69</v>
      </c>
      <c r="K474" s="14"/>
      <c r="L474" s="14"/>
      <c r="M474" s="11"/>
      <c r="N474" s="12"/>
      <c r="O474" s="11"/>
      <c r="P474" s="11"/>
      <c r="Q474" s="1">
        <v>470</v>
      </c>
      <c r="R474" s="1"/>
      <c r="S474" s="3">
        <f>INDEX(Locations!$D$6:$D$455,MATCH(B474,Locations!$A$6:$A$455,0))</f>
        <v>42.731276616301699</v>
      </c>
      <c r="T474" s="3">
        <f>INDEX(Locations!$E$6:$E$455,MATCH(B474,Locations!$A$6:$A$455,0))</f>
        <v>-73.670133443897498</v>
      </c>
      <c r="U474" s="3">
        <f>INDEX(Locations!$D$6:$D$455,MATCH(C474,Locations!$A$6:$A$455,0))</f>
        <v>42.731242130907901</v>
      </c>
      <c r="V474" s="3">
        <f>INDEX(Locations!$E$6:$E$455,MATCH(C474,Locations!$A$6:$A$455,0))</f>
        <v>-73.669536580121701</v>
      </c>
    </row>
    <row r="475" spans="1:22" ht="23.1" customHeight="1">
      <c r="A475" s="1" t="s">
        <v>1083</v>
      </c>
      <c r="B475" s="1" t="s">
        <v>515</v>
      </c>
      <c r="C475" s="1" t="s">
        <v>514</v>
      </c>
      <c r="D475" s="1" t="s">
        <v>612</v>
      </c>
      <c r="E475" s="13">
        <f t="shared" si="7"/>
        <v>47.730683904315384</v>
      </c>
      <c r="F475" s="11" t="s">
        <v>70</v>
      </c>
      <c r="G475" s="11" t="s">
        <v>69</v>
      </c>
      <c r="H475" s="11" t="s">
        <v>69</v>
      </c>
      <c r="I475" s="11" t="s">
        <v>69</v>
      </c>
      <c r="J475" s="11" t="s">
        <v>69</v>
      </c>
      <c r="K475" s="14"/>
      <c r="L475" s="14"/>
      <c r="M475" s="11"/>
      <c r="N475" s="12"/>
      <c r="O475" s="11"/>
      <c r="P475" s="11"/>
      <c r="Q475" s="1">
        <v>471</v>
      </c>
      <c r="R475" s="1"/>
      <c r="S475" s="3">
        <f>INDEX(Locations!$D$6:$D$455,MATCH(B475,Locations!$A$6:$A$455,0))</f>
        <v>42.730848997419102</v>
      </c>
      <c r="T475" s="3">
        <f>INDEX(Locations!$E$6:$E$455,MATCH(B475,Locations!$A$6:$A$455,0))</f>
        <v>-73.670184376272999</v>
      </c>
      <c r="U475" s="3">
        <f>INDEX(Locations!$D$6:$D$455,MATCH(C475,Locations!$A$6:$A$455,0))</f>
        <v>42.731276616301699</v>
      </c>
      <c r="V475" s="3">
        <f>INDEX(Locations!$E$6:$E$455,MATCH(C475,Locations!$A$6:$A$455,0))</f>
        <v>-73.670133443897498</v>
      </c>
    </row>
    <row r="476" spans="1:22" ht="23.1" customHeight="1">
      <c r="A476" s="1" t="s">
        <v>1084</v>
      </c>
      <c r="B476" s="1" t="s">
        <v>490</v>
      </c>
      <c r="C476" s="1" t="s">
        <v>515</v>
      </c>
      <c r="D476" s="1" t="s">
        <v>612</v>
      </c>
      <c r="E476" s="13">
        <f t="shared" si="7"/>
        <v>33.151485560658912</v>
      </c>
      <c r="F476" s="11" t="s">
        <v>70</v>
      </c>
      <c r="G476" s="11" t="s">
        <v>69</v>
      </c>
      <c r="H476" s="11" t="s">
        <v>69</v>
      </c>
      <c r="I476" s="11" t="s">
        <v>69</v>
      </c>
      <c r="J476" s="11" t="s">
        <v>69</v>
      </c>
      <c r="K476" s="14"/>
      <c r="L476" s="14"/>
      <c r="M476" s="11"/>
      <c r="N476" s="12"/>
      <c r="O476" s="11"/>
      <c r="P476" s="11"/>
      <c r="Q476" s="1">
        <v>472</v>
      </c>
      <c r="R476" s="1"/>
      <c r="S476" s="3">
        <f>INDEX(Locations!$D$6:$D$455,MATCH(B476,Locations!$A$6:$A$455,0))</f>
        <v>42.730851296445302</v>
      </c>
      <c r="T476" s="3">
        <f>INDEX(Locations!$E$6:$E$455,MATCH(B476,Locations!$A$6:$A$455,0))</f>
        <v>-73.670590243640504</v>
      </c>
      <c r="U476" s="3">
        <f>INDEX(Locations!$D$6:$D$455,MATCH(C476,Locations!$A$6:$A$455,0))</f>
        <v>42.730848997419102</v>
      </c>
      <c r="V476" s="3">
        <f>INDEX(Locations!$E$6:$E$455,MATCH(C476,Locations!$A$6:$A$455,0))</f>
        <v>-73.670184376272999</v>
      </c>
    </row>
    <row r="477" spans="1:22" ht="23.1" customHeight="1">
      <c r="A477" s="1" t="s">
        <v>1085</v>
      </c>
      <c r="B477" s="1" t="s">
        <v>512</v>
      </c>
      <c r="C477" s="1" t="s">
        <v>516</v>
      </c>
      <c r="D477" s="1" t="s">
        <v>612</v>
      </c>
      <c r="E477" s="13">
        <f t="shared" si="7"/>
        <v>24.778609077580196</v>
      </c>
      <c r="F477" s="11" t="s">
        <v>70</v>
      </c>
      <c r="G477" s="11" t="s">
        <v>69</v>
      </c>
      <c r="H477" s="11" t="s">
        <v>69</v>
      </c>
      <c r="I477" s="11" t="s">
        <v>69</v>
      </c>
      <c r="J477" s="11" t="s">
        <v>69</v>
      </c>
      <c r="K477" s="14"/>
      <c r="L477" s="14"/>
      <c r="M477" s="11"/>
      <c r="N477" s="12"/>
      <c r="O477" s="11"/>
      <c r="P477" s="11"/>
      <c r="Q477" s="1">
        <v>473</v>
      </c>
      <c r="R477" s="1"/>
      <c r="S477" s="3">
        <f>INDEX(Locations!$D$6:$D$455,MATCH(B477,Locations!$A$6:$A$455,0))</f>
        <v>42.731120282516599</v>
      </c>
      <c r="T477" s="3">
        <f>INDEX(Locations!$E$6:$E$455,MATCH(B477,Locations!$A$6:$A$455,0))</f>
        <v>-73.669036806186895</v>
      </c>
      <c r="U477" s="3">
        <f>INDEX(Locations!$D$6:$D$455,MATCH(C477,Locations!$A$6:$A$455,0))</f>
        <v>42.7309087721016</v>
      </c>
      <c r="V477" s="3">
        <f>INDEX(Locations!$E$6:$E$455,MATCH(C477,Locations!$A$6:$A$455,0))</f>
        <v>-73.669132304390999</v>
      </c>
    </row>
    <row r="478" spans="1:22" ht="23.1" customHeight="1">
      <c r="A478" s="1" t="s">
        <v>1086</v>
      </c>
      <c r="B478" s="1" t="s">
        <v>517</v>
      </c>
      <c r="C478" s="1" t="s">
        <v>516</v>
      </c>
      <c r="D478" s="1" t="s">
        <v>612</v>
      </c>
      <c r="E478" s="13">
        <f t="shared" si="7"/>
        <v>61.664201565077704</v>
      </c>
      <c r="F478" s="11" t="s">
        <v>70</v>
      </c>
      <c r="G478" s="11" t="s">
        <v>69</v>
      </c>
      <c r="H478" s="11" t="s">
        <v>69</v>
      </c>
      <c r="I478" s="11" t="s">
        <v>69</v>
      </c>
      <c r="J478" s="11" t="s">
        <v>69</v>
      </c>
      <c r="K478" s="14"/>
      <c r="L478" s="14"/>
      <c r="M478" s="11"/>
      <c r="N478" s="12"/>
      <c r="O478" s="11"/>
      <c r="P478" s="11"/>
      <c r="Q478" s="1">
        <v>474</v>
      </c>
      <c r="R478" s="1"/>
      <c r="S478" s="3">
        <f>INDEX(Locations!$D$6:$D$455,MATCH(B478,Locations!$A$6:$A$455,0))</f>
        <v>42.730529432770197</v>
      </c>
      <c r="T478" s="3">
        <f>INDEX(Locations!$E$6:$E$455,MATCH(B478,Locations!$A$6:$A$455,0))</f>
        <v>-73.668581598080607</v>
      </c>
      <c r="U478" s="3">
        <f>INDEX(Locations!$D$6:$D$455,MATCH(C478,Locations!$A$6:$A$455,0))</f>
        <v>42.7309087721016</v>
      </c>
      <c r="V478" s="3">
        <f>INDEX(Locations!$E$6:$E$455,MATCH(C478,Locations!$A$6:$A$455,0))</f>
        <v>-73.669132304390999</v>
      </c>
    </row>
    <row r="479" spans="1:22" ht="23.1" customHeight="1">
      <c r="A479" s="1" t="s">
        <v>1087</v>
      </c>
      <c r="B479" s="1" t="s">
        <v>519</v>
      </c>
      <c r="C479" s="1" t="s">
        <v>518</v>
      </c>
      <c r="D479" s="1" t="s">
        <v>612</v>
      </c>
      <c r="E479" s="13">
        <f t="shared" si="7"/>
        <v>63.236402623168189</v>
      </c>
      <c r="F479" s="11" t="s">
        <v>70</v>
      </c>
      <c r="G479" s="11" t="s">
        <v>69</v>
      </c>
      <c r="H479" s="11" t="s">
        <v>69</v>
      </c>
      <c r="I479" s="11" t="s">
        <v>69</v>
      </c>
      <c r="J479" s="11" t="s">
        <v>69</v>
      </c>
      <c r="K479" s="14"/>
      <c r="L479" s="14"/>
      <c r="M479" s="11"/>
      <c r="N479" s="12"/>
      <c r="O479" s="11"/>
      <c r="P479" s="11"/>
      <c r="Q479" s="1">
        <v>475</v>
      </c>
      <c r="R479" s="1"/>
      <c r="S479" s="3">
        <f>INDEX(Locations!$D$6:$D$455,MATCH(B479,Locations!$A$6:$A$455,0))</f>
        <v>42.731253626039198</v>
      </c>
      <c r="T479" s="3">
        <f>INDEX(Locations!$E$6:$E$455,MATCH(B479,Locations!$A$6:$A$455,0))</f>
        <v>-73.668083415782405</v>
      </c>
      <c r="U479" s="3">
        <f>INDEX(Locations!$D$6:$D$455,MATCH(C479,Locations!$A$6:$A$455,0))</f>
        <v>42.730707607304701</v>
      </c>
      <c r="V479" s="3">
        <f>INDEX(Locations!$E$6:$E$455,MATCH(C479,Locations!$A$6:$A$455,0))</f>
        <v>-73.668299878378406</v>
      </c>
    </row>
    <row r="480" spans="1:22" ht="23.1" customHeight="1">
      <c r="A480" s="1" t="s">
        <v>1088</v>
      </c>
      <c r="B480" s="1" t="s">
        <v>517</v>
      </c>
      <c r="C480" s="1" t="s">
        <v>518</v>
      </c>
      <c r="D480" s="1" t="s">
        <v>612</v>
      </c>
      <c r="E480" s="13">
        <f t="shared" si="7"/>
        <v>30.364444662883447</v>
      </c>
      <c r="F480" s="11" t="s">
        <v>70</v>
      </c>
      <c r="G480" s="11" t="s">
        <v>69</v>
      </c>
      <c r="H480" s="11" t="s">
        <v>69</v>
      </c>
      <c r="I480" s="11" t="s">
        <v>69</v>
      </c>
      <c r="J480" s="11" t="s">
        <v>69</v>
      </c>
      <c r="K480" s="14"/>
      <c r="L480" s="14"/>
      <c r="M480" s="11"/>
      <c r="N480" s="12"/>
      <c r="O480" s="11"/>
      <c r="P480" s="11"/>
      <c r="Q480" s="1">
        <v>476</v>
      </c>
      <c r="R480" s="1"/>
      <c r="S480" s="3">
        <f>INDEX(Locations!$D$6:$D$455,MATCH(B480,Locations!$A$6:$A$455,0))</f>
        <v>42.730529432770197</v>
      </c>
      <c r="T480" s="3">
        <f>INDEX(Locations!$E$6:$E$455,MATCH(B480,Locations!$A$6:$A$455,0))</f>
        <v>-73.668581598080607</v>
      </c>
      <c r="U480" s="3">
        <f>INDEX(Locations!$D$6:$D$455,MATCH(C480,Locations!$A$6:$A$455,0))</f>
        <v>42.730707607304701</v>
      </c>
      <c r="V480" s="3">
        <f>INDEX(Locations!$E$6:$E$455,MATCH(C480,Locations!$A$6:$A$455,0))</f>
        <v>-73.668299878378406</v>
      </c>
    </row>
    <row r="481" spans="1:22" ht="23.1" customHeight="1">
      <c r="A481" s="1" t="s">
        <v>1089</v>
      </c>
      <c r="B481" s="1" t="s">
        <v>510</v>
      </c>
      <c r="C481" s="1" t="s">
        <v>520</v>
      </c>
      <c r="D481" s="1" t="s">
        <v>612</v>
      </c>
      <c r="E481" s="13">
        <f t="shared" si="7"/>
        <v>86.156894852690897</v>
      </c>
      <c r="F481" s="11" t="s">
        <v>70</v>
      </c>
      <c r="G481" s="11" t="s">
        <v>69</v>
      </c>
      <c r="H481" s="11" t="s">
        <v>69</v>
      </c>
      <c r="I481" s="11" t="s">
        <v>69</v>
      </c>
      <c r="J481" s="11" t="s">
        <v>69</v>
      </c>
      <c r="K481" s="14"/>
      <c r="L481" s="14"/>
      <c r="M481" s="11"/>
      <c r="N481" s="12"/>
      <c r="O481" s="11"/>
      <c r="P481" s="11"/>
      <c r="Q481" s="1">
        <v>477</v>
      </c>
      <c r="R481" s="1"/>
      <c r="S481" s="3">
        <f>INDEX(Locations!$D$6:$D$455,MATCH(B481,Locations!$A$6:$A$455,0))</f>
        <v>42.731490425742997</v>
      </c>
      <c r="T481" s="3">
        <f>INDEX(Locations!$E$6:$E$455,MATCH(B481,Locations!$A$6:$A$455,0))</f>
        <v>-73.668670729737798</v>
      </c>
      <c r="U481" s="3">
        <f>INDEX(Locations!$D$6:$D$455,MATCH(C481,Locations!$A$6:$A$455,0))</f>
        <v>42.732180133618201</v>
      </c>
      <c r="V481" s="3">
        <f>INDEX(Locations!$E$6:$E$455,MATCH(C481,Locations!$A$6:$A$455,0))</f>
        <v>-73.668190055443702</v>
      </c>
    </row>
    <row r="482" spans="1:22" ht="23.1" customHeight="1">
      <c r="A482" s="1" t="s">
        <v>1090</v>
      </c>
      <c r="B482" s="1" t="s">
        <v>521</v>
      </c>
      <c r="C482" s="1" t="s">
        <v>520</v>
      </c>
      <c r="D482" s="1" t="s">
        <v>612</v>
      </c>
      <c r="E482" s="13">
        <f t="shared" si="7"/>
        <v>22.424947751695306</v>
      </c>
      <c r="F482" s="11" t="s">
        <v>70</v>
      </c>
      <c r="G482" s="11" t="s">
        <v>69</v>
      </c>
      <c r="H482" s="11" t="s">
        <v>69</v>
      </c>
      <c r="I482" s="11" t="s">
        <v>69</v>
      </c>
      <c r="J482" s="11" t="s">
        <v>69</v>
      </c>
      <c r="K482" s="14"/>
      <c r="L482" s="14"/>
      <c r="M482" s="11"/>
      <c r="N482" s="12"/>
      <c r="O482" s="11"/>
      <c r="P482" s="11"/>
      <c r="Q482" s="1">
        <v>478</v>
      </c>
      <c r="R482" s="1"/>
      <c r="S482" s="3">
        <f>INDEX(Locations!$D$6:$D$455,MATCH(B482,Locations!$A$6:$A$455,0))</f>
        <v>42.732377849875697</v>
      </c>
      <c r="T482" s="3">
        <f>INDEX(Locations!$E$6:$E$455,MATCH(B482,Locations!$A$6:$A$455,0))</f>
        <v>-73.668135939794695</v>
      </c>
      <c r="U482" s="3">
        <f>INDEX(Locations!$D$6:$D$455,MATCH(C482,Locations!$A$6:$A$455,0))</f>
        <v>42.732180133618201</v>
      </c>
      <c r="V482" s="3">
        <f>INDEX(Locations!$E$6:$E$455,MATCH(C482,Locations!$A$6:$A$455,0))</f>
        <v>-73.668190055443702</v>
      </c>
    </row>
    <row r="483" spans="1:22" ht="23.1" customHeight="1">
      <c r="A483" s="1" t="s">
        <v>1091</v>
      </c>
      <c r="B483" s="1" t="s">
        <v>121</v>
      </c>
      <c r="C483" s="1" t="s">
        <v>521</v>
      </c>
      <c r="D483" s="1" t="s">
        <v>612</v>
      </c>
      <c r="E483" s="13">
        <f t="shared" si="7"/>
        <v>41.84459727053251</v>
      </c>
      <c r="F483" s="11" t="s">
        <v>70</v>
      </c>
      <c r="G483" s="11" t="s">
        <v>69</v>
      </c>
      <c r="H483" s="11" t="s">
        <v>69</v>
      </c>
      <c r="I483" s="11" t="s">
        <v>69</v>
      </c>
      <c r="J483" s="11" t="s">
        <v>69</v>
      </c>
      <c r="K483" s="14"/>
      <c r="L483" s="14"/>
      <c r="M483" s="11"/>
      <c r="N483" s="12"/>
      <c r="O483" s="11"/>
      <c r="P483" s="11"/>
      <c r="Q483" s="1">
        <v>479</v>
      </c>
      <c r="R483" s="1"/>
      <c r="S483" s="3">
        <f>INDEX(Locations!$D$6:$D$455,MATCH(B483,Locations!$A$6:$A$455,0))</f>
        <v>42.732367962673003</v>
      </c>
      <c r="T483" s="3">
        <f>INDEX(Locations!$E$6:$E$455,MATCH(B483,Locations!$A$6:$A$455,0))</f>
        <v>-73.667623793353201</v>
      </c>
      <c r="U483" s="3">
        <f>INDEX(Locations!$D$6:$D$455,MATCH(C483,Locations!$A$6:$A$455,0))</f>
        <v>42.732377849875697</v>
      </c>
      <c r="V483" s="3">
        <f>INDEX(Locations!$E$6:$E$455,MATCH(C483,Locations!$A$6:$A$455,0))</f>
        <v>-73.668135939794695</v>
      </c>
    </row>
    <row r="484" spans="1:22" ht="23.1" customHeight="1">
      <c r="A484" s="1" t="s">
        <v>1092</v>
      </c>
      <c r="B484" s="1" t="s">
        <v>522</v>
      </c>
      <c r="C484" s="1" t="s">
        <v>521</v>
      </c>
      <c r="D484" s="1" t="s">
        <v>612</v>
      </c>
      <c r="E484" s="13">
        <f t="shared" si="7"/>
        <v>31.401986045410727</v>
      </c>
      <c r="F484" s="11" t="s">
        <v>70</v>
      </c>
      <c r="G484" s="11" t="s">
        <v>69</v>
      </c>
      <c r="H484" s="11" t="s">
        <v>69</v>
      </c>
      <c r="I484" s="11" t="s">
        <v>69</v>
      </c>
      <c r="J484" s="11" t="s">
        <v>69</v>
      </c>
      <c r="K484" s="14"/>
      <c r="L484" s="14"/>
      <c r="M484" s="11"/>
      <c r="N484" s="12"/>
      <c r="O484" s="11"/>
      <c r="P484" s="11"/>
      <c r="Q484" s="1">
        <v>480</v>
      </c>
      <c r="R484" s="1"/>
      <c r="S484" s="3">
        <f>INDEX(Locations!$D$6:$D$455,MATCH(B484,Locations!$A$6:$A$455,0))</f>
        <v>42.732426129426997</v>
      </c>
      <c r="T484" s="3">
        <f>INDEX(Locations!$E$6:$E$455,MATCH(B484,Locations!$A$6:$A$455,0))</f>
        <v>-73.668514749337703</v>
      </c>
      <c r="U484" s="3">
        <f>INDEX(Locations!$D$6:$D$455,MATCH(C484,Locations!$A$6:$A$455,0))</f>
        <v>42.732377849875697</v>
      </c>
      <c r="V484" s="3">
        <f>INDEX(Locations!$E$6:$E$455,MATCH(C484,Locations!$A$6:$A$455,0))</f>
        <v>-73.668135939794695</v>
      </c>
    </row>
    <row r="485" spans="1:22" ht="23.1" customHeight="1">
      <c r="A485" s="1" t="s">
        <v>1093</v>
      </c>
      <c r="B485" s="1" t="s">
        <v>506</v>
      </c>
      <c r="C485" s="1" t="s">
        <v>522</v>
      </c>
      <c r="D485" s="1" t="s">
        <v>612</v>
      </c>
      <c r="E485" s="13">
        <f t="shared" si="7"/>
        <v>15.43303534968882</v>
      </c>
      <c r="F485" s="11" t="s">
        <v>70</v>
      </c>
      <c r="G485" s="11" t="s">
        <v>69</v>
      </c>
      <c r="H485" s="11" t="s">
        <v>69</v>
      </c>
      <c r="I485" s="11" t="s">
        <v>69</v>
      </c>
      <c r="J485" s="11" t="s">
        <v>69</v>
      </c>
      <c r="K485" s="14"/>
      <c r="L485" s="14"/>
      <c r="M485" s="11"/>
      <c r="N485" s="12"/>
      <c r="O485" s="11"/>
      <c r="P485" s="11"/>
      <c r="Q485" s="1">
        <v>481</v>
      </c>
      <c r="R485" s="1"/>
      <c r="S485" s="3">
        <f>INDEX(Locations!$D$6:$D$455,MATCH(B485,Locations!$A$6:$A$455,0))</f>
        <v>42.732315776166999</v>
      </c>
      <c r="T485" s="3">
        <f>INDEX(Locations!$E$6:$E$455,MATCH(B485,Locations!$A$6:$A$455,0))</f>
        <v>-73.668629347182602</v>
      </c>
      <c r="U485" s="3">
        <f>INDEX(Locations!$D$6:$D$455,MATCH(C485,Locations!$A$6:$A$455,0))</f>
        <v>42.732426129426997</v>
      </c>
      <c r="V485" s="3">
        <f>INDEX(Locations!$E$6:$E$455,MATCH(C485,Locations!$A$6:$A$455,0))</f>
        <v>-73.668514749337703</v>
      </c>
    </row>
    <row r="486" spans="1:22" ht="23.1" customHeight="1">
      <c r="A486" s="1" t="s">
        <v>1094</v>
      </c>
      <c r="B486" s="1" t="s">
        <v>519</v>
      </c>
      <c r="C486" s="1" t="s">
        <v>523</v>
      </c>
      <c r="D486" s="1" t="s">
        <v>612</v>
      </c>
      <c r="E486" s="13">
        <f t="shared" si="7"/>
        <v>96.49263588952995</v>
      </c>
      <c r="F486" s="11" t="s">
        <v>70</v>
      </c>
      <c r="G486" s="11" t="s">
        <v>69</v>
      </c>
      <c r="H486" s="11" t="s">
        <v>69</v>
      </c>
      <c r="I486" s="11" t="s">
        <v>69</v>
      </c>
      <c r="J486" s="11" t="s">
        <v>69</v>
      </c>
      <c r="K486" s="14"/>
      <c r="L486" s="14"/>
      <c r="M486" s="11"/>
      <c r="N486" s="12"/>
      <c r="O486" s="11"/>
      <c r="P486" s="11"/>
      <c r="Q486" s="1">
        <v>482</v>
      </c>
      <c r="R486" s="1"/>
      <c r="S486" s="3">
        <f>INDEX(Locations!$D$6:$D$455,MATCH(B486,Locations!$A$6:$A$455,0))</f>
        <v>42.731253626039198</v>
      </c>
      <c r="T486" s="3">
        <f>INDEX(Locations!$E$6:$E$455,MATCH(B486,Locations!$A$6:$A$455,0))</f>
        <v>-73.668083415782405</v>
      </c>
      <c r="U486" s="3">
        <f>INDEX(Locations!$D$6:$D$455,MATCH(C486,Locations!$A$6:$A$455,0))</f>
        <v>42.7308432498534</v>
      </c>
      <c r="V486" s="3">
        <f>INDEX(Locations!$E$6:$E$455,MATCH(C486,Locations!$A$6:$A$455,0))</f>
        <v>-73.667042485357598</v>
      </c>
    </row>
    <row r="487" spans="1:22" ht="23.1" customHeight="1">
      <c r="A487" s="1" t="s">
        <v>1095</v>
      </c>
      <c r="B487" s="1" t="s">
        <v>524</v>
      </c>
      <c r="C487" s="1" t="s">
        <v>523</v>
      </c>
      <c r="D487" s="1" t="s">
        <v>612</v>
      </c>
      <c r="E487" s="13">
        <f t="shared" si="7"/>
        <v>125.41301511569282</v>
      </c>
      <c r="F487" s="11" t="s">
        <v>70</v>
      </c>
      <c r="G487" s="11" t="s">
        <v>69</v>
      </c>
      <c r="H487" s="11" t="s">
        <v>69</v>
      </c>
      <c r="I487" s="11" t="s">
        <v>69</v>
      </c>
      <c r="J487" s="11" t="s">
        <v>69</v>
      </c>
      <c r="K487" s="14"/>
      <c r="L487" s="14"/>
      <c r="M487" s="11"/>
      <c r="N487" s="12"/>
      <c r="O487" s="11"/>
      <c r="P487" s="11"/>
      <c r="Q487" s="1">
        <v>483</v>
      </c>
      <c r="R487" s="1"/>
      <c r="S487" s="3">
        <f>INDEX(Locations!$D$6:$D$455,MATCH(B487,Locations!$A$6:$A$455,0))</f>
        <v>42.729765006541903</v>
      </c>
      <c r="T487" s="3">
        <f>INDEX(Locations!$E$6:$E$455,MATCH(B487,Locations!$A$6:$A$455,0))</f>
        <v>-73.667492918553606</v>
      </c>
      <c r="U487" s="3">
        <f>INDEX(Locations!$D$6:$D$455,MATCH(C487,Locations!$A$6:$A$455,0))</f>
        <v>42.7308432498534</v>
      </c>
      <c r="V487" s="3">
        <f>INDEX(Locations!$E$6:$E$455,MATCH(C487,Locations!$A$6:$A$455,0))</f>
        <v>-73.667042485357598</v>
      </c>
    </row>
    <row r="488" spans="1:22" ht="23.1" customHeight="1">
      <c r="A488" s="1" t="s">
        <v>1096</v>
      </c>
      <c r="B488" s="1" t="s">
        <v>525</v>
      </c>
      <c r="C488" s="1" t="s">
        <v>524</v>
      </c>
      <c r="D488" s="1" t="s">
        <v>612</v>
      </c>
      <c r="E488" s="13">
        <f t="shared" si="7"/>
        <v>96.154311976185468</v>
      </c>
      <c r="F488" s="11" t="s">
        <v>70</v>
      </c>
      <c r="G488" s="11" t="s">
        <v>69</v>
      </c>
      <c r="H488" s="11" t="s">
        <v>69</v>
      </c>
      <c r="I488" s="11" t="s">
        <v>69</v>
      </c>
      <c r="J488" s="11" t="s">
        <v>69</v>
      </c>
      <c r="K488" s="14"/>
      <c r="L488" s="14"/>
      <c r="M488" s="11"/>
      <c r="N488" s="12"/>
      <c r="O488" s="11"/>
      <c r="P488" s="11"/>
      <c r="Q488" s="1">
        <v>484</v>
      </c>
      <c r="R488" s="1"/>
      <c r="S488" s="3">
        <f>INDEX(Locations!$D$6:$D$455,MATCH(B488,Locations!$A$6:$A$455,0))</f>
        <v>42.729018972523598</v>
      </c>
      <c r="T488" s="3">
        <f>INDEX(Locations!$E$6:$E$455,MATCH(B488,Locations!$A$6:$A$455,0))</f>
        <v>-73.6680881906926</v>
      </c>
      <c r="U488" s="3">
        <f>INDEX(Locations!$D$6:$D$455,MATCH(C488,Locations!$A$6:$A$455,0))</f>
        <v>42.729765006541903</v>
      </c>
      <c r="V488" s="3">
        <f>INDEX(Locations!$E$6:$E$455,MATCH(C488,Locations!$A$6:$A$455,0))</f>
        <v>-73.667492918553606</v>
      </c>
    </row>
    <row r="489" spans="1:22" ht="23.1" customHeight="1">
      <c r="A489" s="1" t="s">
        <v>1097</v>
      </c>
      <c r="B489" s="1" t="s">
        <v>525</v>
      </c>
      <c r="C489" s="1" t="s">
        <v>526</v>
      </c>
      <c r="D489" s="1" t="s">
        <v>612</v>
      </c>
      <c r="E489" s="13">
        <f t="shared" si="7"/>
        <v>14.827123213895071</v>
      </c>
      <c r="F489" s="11" t="s">
        <v>70</v>
      </c>
      <c r="G489" s="11" t="s">
        <v>69</v>
      </c>
      <c r="H489" s="11" t="s">
        <v>69</v>
      </c>
      <c r="I489" s="11" t="s">
        <v>69</v>
      </c>
      <c r="J489" s="11" t="s">
        <v>69</v>
      </c>
      <c r="K489" s="14"/>
      <c r="L489" s="14"/>
      <c r="M489" s="11"/>
      <c r="N489" s="12"/>
      <c r="O489" s="11"/>
      <c r="P489" s="11"/>
      <c r="Q489" s="1">
        <v>485</v>
      </c>
      <c r="R489" s="1"/>
      <c r="S489" s="3">
        <f>INDEX(Locations!$D$6:$D$455,MATCH(B489,Locations!$A$6:$A$455,0))</f>
        <v>42.729018972523598</v>
      </c>
      <c r="T489" s="3">
        <f>INDEX(Locations!$E$6:$E$455,MATCH(B489,Locations!$A$6:$A$455,0))</f>
        <v>-73.6680881906926</v>
      </c>
      <c r="U489" s="3">
        <f>INDEX(Locations!$D$6:$D$455,MATCH(C489,Locations!$A$6:$A$455,0))</f>
        <v>42.728885629000999</v>
      </c>
      <c r="V489" s="3">
        <f>INDEX(Locations!$E$6:$E$455,MATCH(C489,Locations!$A$6:$A$455,0))</f>
        <v>-73.6680881906926</v>
      </c>
    </row>
    <row r="490" spans="1:22" ht="23.1" customHeight="1">
      <c r="A490" s="1" t="s">
        <v>1098</v>
      </c>
      <c r="B490" s="1" t="s">
        <v>129</v>
      </c>
      <c r="C490" s="1" t="s">
        <v>526</v>
      </c>
      <c r="D490" s="1" t="s">
        <v>612</v>
      </c>
      <c r="E490" s="13">
        <f t="shared" si="7"/>
        <v>14.210385865143726</v>
      </c>
      <c r="F490" s="11" t="s">
        <v>70</v>
      </c>
      <c r="G490" s="11" t="s">
        <v>69</v>
      </c>
      <c r="H490" s="11" t="s">
        <v>69</v>
      </c>
      <c r="I490" s="11" t="s">
        <v>69</v>
      </c>
      <c r="J490" s="11" t="s">
        <v>69</v>
      </c>
      <c r="K490" s="14"/>
      <c r="L490" s="14"/>
      <c r="M490" s="11"/>
      <c r="N490" s="12"/>
      <c r="O490" s="11"/>
      <c r="P490" s="11"/>
      <c r="Q490" s="1">
        <v>486</v>
      </c>
      <c r="R490" s="1"/>
      <c r="S490" s="3">
        <f>INDEX(Locations!$D$6:$D$455,MATCH(B490,Locations!$A$6:$A$455,0))</f>
        <v>42.7288083242615</v>
      </c>
      <c r="T490" s="3">
        <f>INDEX(Locations!$E$6:$E$455,MATCH(B490,Locations!$A$6:$A$455,0))</f>
        <v>-73.667949654752604</v>
      </c>
      <c r="U490" s="3">
        <f>INDEX(Locations!$D$6:$D$455,MATCH(C490,Locations!$A$6:$A$455,0))</f>
        <v>42.728885629000999</v>
      </c>
      <c r="V490" s="3">
        <f>INDEX(Locations!$E$6:$E$455,MATCH(C490,Locations!$A$6:$A$455,0))</f>
        <v>-73.6680881906926</v>
      </c>
    </row>
    <row r="491" spans="1:22" ht="23.1" customHeight="1">
      <c r="A491" s="1" t="s">
        <v>1099</v>
      </c>
      <c r="B491" s="1" t="s">
        <v>523</v>
      </c>
      <c r="C491" s="1" t="s">
        <v>527</v>
      </c>
      <c r="D491" s="1" t="s">
        <v>612</v>
      </c>
      <c r="E491" s="13">
        <f t="shared" si="7"/>
        <v>20.452740692785522</v>
      </c>
      <c r="F491" s="11" t="s">
        <v>70</v>
      </c>
      <c r="G491" s="11" t="s">
        <v>69</v>
      </c>
      <c r="H491" s="11" t="s">
        <v>69</v>
      </c>
      <c r="I491" s="11" t="s">
        <v>69</v>
      </c>
      <c r="J491" s="11" t="s">
        <v>69</v>
      </c>
      <c r="K491" s="14"/>
      <c r="L491" s="14"/>
      <c r="M491" s="11"/>
      <c r="N491" s="12"/>
      <c r="O491" s="11"/>
      <c r="P491" s="11"/>
      <c r="Q491" s="1">
        <v>487</v>
      </c>
      <c r="R491" s="1"/>
      <c r="S491" s="3">
        <f>INDEX(Locations!$D$6:$D$455,MATCH(B491,Locations!$A$6:$A$455,0))</f>
        <v>42.7308432498534</v>
      </c>
      <c r="T491" s="3">
        <f>INDEX(Locations!$E$6:$E$455,MATCH(B491,Locations!$A$6:$A$455,0))</f>
        <v>-73.667042485357598</v>
      </c>
      <c r="U491" s="3">
        <f>INDEX(Locations!$D$6:$D$455,MATCH(C491,Locations!$A$6:$A$455,0))</f>
        <v>42.730927164311602</v>
      </c>
      <c r="V491" s="3">
        <f>INDEX(Locations!$E$6:$E$455,MATCH(C491,Locations!$A$6:$A$455,0))</f>
        <v>-73.666819656214599</v>
      </c>
    </row>
    <row r="492" spans="1:22" ht="23.1" customHeight="1">
      <c r="A492" s="1" t="s">
        <v>1100</v>
      </c>
      <c r="B492" s="1" t="s">
        <v>528</v>
      </c>
      <c r="C492" s="1" t="s">
        <v>527</v>
      </c>
      <c r="D492" s="1" t="s">
        <v>612</v>
      </c>
      <c r="E492" s="13">
        <f t="shared" si="7"/>
        <v>41.684802998464242</v>
      </c>
      <c r="F492" s="11" t="s">
        <v>70</v>
      </c>
      <c r="G492" s="11" t="s">
        <v>69</v>
      </c>
      <c r="H492" s="11" t="s">
        <v>69</v>
      </c>
      <c r="I492" s="11" t="s">
        <v>69</v>
      </c>
      <c r="J492" s="11" t="s">
        <v>69</v>
      </c>
      <c r="K492" s="14"/>
      <c r="L492" s="14"/>
      <c r="M492" s="11"/>
      <c r="N492" s="12"/>
      <c r="O492" s="11"/>
      <c r="P492" s="11"/>
      <c r="Q492" s="1">
        <v>488</v>
      </c>
      <c r="R492" s="1"/>
      <c r="S492" s="3">
        <f>INDEX(Locations!$D$6:$D$455,MATCH(B492,Locations!$A$6:$A$455,0))</f>
        <v>42.730736345132797</v>
      </c>
      <c r="T492" s="3">
        <f>INDEX(Locations!$E$6:$E$455,MATCH(B492,Locations!$A$6:$A$455,0))</f>
        <v>-73.6663803644757</v>
      </c>
      <c r="U492" s="3">
        <f>INDEX(Locations!$D$6:$D$455,MATCH(C492,Locations!$A$6:$A$455,0))</f>
        <v>42.730927164311602</v>
      </c>
      <c r="V492" s="3">
        <f>INDEX(Locations!$E$6:$E$455,MATCH(C492,Locations!$A$6:$A$455,0))</f>
        <v>-73.666819656214599</v>
      </c>
    </row>
    <row r="493" spans="1:22" ht="23.1" customHeight="1">
      <c r="A493" s="1" t="s">
        <v>1101</v>
      </c>
      <c r="B493" s="1" t="s">
        <v>529</v>
      </c>
      <c r="C493" s="1" t="s">
        <v>528</v>
      </c>
      <c r="D493" s="1" t="s">
        <v>612</v>
      </c>
      <c r="E493" s="13">
        <f t="shared" si="7"/>
        <v>23.80377786281587</v>
      </c>
      <c r="F493" s="11" t="s">
        <v>70</v>
      </c>
      <c r="G493" s="11" t="s">
        <v>69</v>
      </c>
      <c r="H493" s="11" t="s">
        <v>69</v>
      </c>
      <c r="I493" s="11" t="s">
        <v>69</v>
      </c>
      <c r="J493" s="11" t="s">
        <v>69</v>
      </c>
      <c r="K493" s="14"/>
      <c r="L493" s="14"/>
      <c r="M493" s="11"/>
      <c r="N493" s="12"/>
      <c r="O493" s="11"/>
      <c r="P493" s="11"/>
      <c r="Q493" s="1">
        <v>489</v>
      </c>
      <c r="R493" s="1"/>
      <c r="S493" s="3">
        <f>INDEX(Locations!$D$6:$D$455,MATCH(B493,Locations!$A$6:$A$455,0))</f>
        <v>42.730523685204602</v>
      </c>
      <c r="T493" s="3">
        <f>INDEX(Locations!$E$6:$E$455,MATCH(B493,Locations!$A$6:$A$455,0))</f>
        <v>-73.666413788847194</v>
      </c>
      <c r="U493" s="3">
        <f>INDEX(Locations!$D$6:$D$455,MATCH(C493,Locations!$A$6:$A$455,0))</f>
        <v>42.730736345132797</v>
      </c>
      <c r="V493" s="3">
        <f>INDEX(Locations!$E$6:$E$455,MATCH(C493,Locations!$A$6:$A$455,0))</f>
        <v>-73.6663803644757</v>
      </c>
    </row>
    <row r="494" spans="1:22" ht="23.1" customHeight="1">
      <c r="A494" s="1" t="s">
        <v>1102</v>
      </c>
      <c r="B494" s="1" t="s">
        <v>527</v>
      </c>
      <c r="C494" s="1" t="s">
        <v>530</v>
      </c>
      <c r="D494" s="1" t="s">
        <v>612</v>
      </c>
      <c r="E494" s="13">
        <f t="shared" si="7"/>
        <v>68.077842435909631</v>
      </c>
      <c r="F494" s="11" t="s">
        <v>70</v>
      </c>
      <c r="G494" s="11" t="s">
        <v>69</v>
      </c>
      <c r="H494" s="11" t="s">
        <v>69</v>
      </c>
      <c r="I494" s="11" t="s">
        <v>69</v>
      </c>
      <c r="J494" s="11" t="s">
        <v>69</v>
      </c>
      <c r="K494" s="14"/>
      <c r="L494" s="14"/>
      <c r="M494" s="11"/>
      <c r="N494" s="12"/>
      <c r="O494" s="11"/>
      <c r="P494" s="11"/>
      <c r="Q494" s="1">
        <v>490</v>
      </c>
      <c r="R494" s="1"/>
      <c r="S494" s="3">
        <f>INDEX(Locations!$D$6:$D$455,MATCH(B494,Locations!$A$6:$A$455,0))</f>
        <v>42.730927164311602</v>
      </c>
      <c r="T494" s="3">
        <f>INDEX(Locations!$E$6:$E$455,MATCH(B494,Locations!$A$6:$A$455,0))</f>
        <v>-73.666819656214599</v>
      </c>
      <c r="U494" s="3">
        <f>INDEX(Locations!$D$6:$D$455,MATCH(C494,Locations!$A$6:$A$455,0))</f>
        <v>42.731418006416099</v>
      </c>
      <c r="V494" s="3">
        <f>INDEX(Locations!$E$6:$E$455,MATCH(C494,Locations!$A$6:$A$455,0))</f>
        <v>-73.666321473916497</v>
      </c>
    </row>
    <row r="495" spans="1:22" ht="23.1" customHeight="1">
      <c r="A495" s="1" t="s">
        <v>1103</v>
      </c>
      <c r="B495" s="1" t="s">
        <v>510</v>
      </c>
      <c r="C495" s="1" t="s">
        <v>532</v>
      </c>
      <c r="D495" s="1" t="s">
        <v>612</v>
      </c>
      <c r="E495" s="13">
        <f t="shared" si="7"/>
        <v>35.090620903871155</v>
      </c>
      <c r="F495" s="11" t="s">
        <v>70</v>
      </c>
      <c r="G495" s="11" t="s">
        <v>69</v>
      </c>
      <c r="H495" s="11" t="s">
        <v>69</v>
      </c>
      <c r="I495" s="11" t="s">
        <v>69</v>
      </c>
      <c r="J495" s="11" t="s">
        <v>69</v>
      </c>
      <c r="K495" s="14"/>
      <c r="L495" s="14"/>
      <c r="M495" s="11"/>
      <c r="N495" s="12"/>
      <c r="O495" s="11"/>
      <c r="P495" s="11"/>
      <c r="Q495" s="1">
        <v>491</v>
      </c>
      <c r="R495" s="1"/>
      <c r="S495" s="3">
        <f>INDEX(Locations!$D$6:$D$455,MATCH(B495,Locations!$A$6:$A$455,0))</f>
        <v>42.731490425742997</v>
      </c>
      <c r="T495" s="3">
        <f>INDEX(Locations!$E$6:$E$455,MATCH(B495,Locations!$A$6:$A$455,0))</f>
        <v>-73.668670729737798</v>
      </c>
      <c r="U495" s="3">
        <f>INDEX(Locations!$D$6:$D$455,MATCH(C495,Locations!$A$6:$A$455,0))</f>
        <v>42.731360530759801</v>
      </c>
      <c r="V495" s="3">
        <f>INDEX(Locations!$E$6:$E$455,MATCH(C495,Locations!$A$6:$A$455,0))</f>
        <v>-73.668279187100893</v>
      </c>
    </row>
    <row r="496" spans="1:22" ht="23.1" customHeight="1">
      <c r="A496" s="1" t="s">
        <v>1104</v>
      </c>
      <c r="B496" s="1" t="s">
        <v>519</v>
      </c>
      <c r="C496" s="1" t="s">
        <v>532</v>
      </c>
      <c r="D496" s="1" t="s">
        <v>612</v>
      </c>
      <c r="E496" s="13">
        <f t="shared" si="7"/>
        <v>19.92463438299956</v>
      </c>
      <c r="F496" s="11" t="s">
        <v>70</v>
      </c>
      <c r="G496" s="11" t="s">
        <v>69</v>
      </c>
      <c r="H496" s="11" t="s">
        <v>69</v>
      </c>
      <c r="I496" s="11" t="s">
        <v>69</v>
      </c>
      <c r="J496" s="11" t="s">
        <v>69</v>
      </c>
      <c r="K496" s="14"/>
      <c r="L496" s="14"/>
      <c r="M496" s="11"/>
      <c r="N496" s="12"/>
      <c r="O496" s="11"/>
      <c r="P496" s="11"/>
      <c r="Q496" s="1">
        <v>492</v>
      </c>
      <c r="R496" s="1"/>
      <c r="S496" s="3">
        <f>INDEX(Locations!$D$6:$D$455,MATCH(B496,Locations!$A$6:$A$455,0))</f>
        <v>42.731253626039198</v>
      </c>
      <c r="T496" s="3">
        <f>INDEX(Locations!$E$6:$E$455,MATCH(B496,Locations!$A$6:$A$455,0))</f>
        <v>-73.668083415782405</v>
      </c>
      <c r="U496" s="3">
        <f>INDEX(Locations!$D$6:$D$455,MATCH(C496,Locations!$A$6:$A$455,0))</f>
        <v>42.731360530759801</v>
      </c>
      <c r="V496" s="3">
        <f>INDEX(Locations!$E$6:$E$455,MATCH(C496,Locations!$A$6:$A$455,0))</f>
        <v>-73.668279187100893</v>
      </c>
    </row>
    <row r="497" spans="1:22" ht="23.1" customHeight="1">
      <c r="A497" s="1" t="s">
        <v>1105</v>
      </c>
      <c r="B497" s="1" t="s">
        <v>527</v>
      </c>
      <c r="C497" s="1" t="s">
        <v>535</v>
      </c>
      <c r="D497" s="1" t="s">
        <v>612</v>
      </c>
      <c r="E497" s="13">
        <f t="shared" si="7"/>
        <v>44.027445324080588</v>
      </c>
      <c r="F497" s="11" t="s">
        <v>70</v>
      </c>
      <c r="G497" s="11" t="s">
        <v>69</v>
      </c>
      <c r="H497" s="11" t="s">
        <v>69</v>
      </c>
      <c r="I497" s="11" t="s">
        <v>69</v>
      </c>
      <c r="J497" s="11" t="s">
        <v>69</v>
      </c>
      <c r="K497" s="14"/>
      <c r="L497" s="14"/>
      <c r="M497" s="11"/>
      <c r="N497" s="12"/>
      <c r="O497" s="11"/>
      <c r="P497" s="11"/>
      <c r="Q497" s="1">
        <v>493</v>
      </c>
      <c r="R497" s="1"/>
      <c r="S497" s="3">
        <f>INDEX(Locations!$D$6:$D$455,MATCH(B497,Locations!$A$6:$A$455,0))</f>
        <v>42.730927164311602</v>
      </c>
      <c r="T497" s="3">
        <f>INDEX(Locations!$E$6:$E$455,MATCH(B497,Locations!$A$6:$A$455,0))</f>
        <v>-73.666819656214599</v>
      </c>
      <c r="U497" s="3">
        <f>INDEX(Locations!$D$6:$D$455,MATCH(C497,Locations!$A$6:$A$455,0))</f>
        <v>42.731316849261098</v>
      </c>
      <c r="V497" s="3">
        <f>INDEX(Locations!$E$6:$E$455,MATCH(C497,Locations!$A$6:$A$455,0))</f>
        <v>-73.666915154418803</v>
      </c>
    </row>
    <row r="498" spans="1:22" ht="23.1" customHeight="1">
      <c r="A498" s="1" t="s">
        <v>1106</v>
      </c>
      <c r="B498" s="1" t="s">
        <v>533</v>
      </c>
      <c r="C498" s="1" t="s">
        <v>534</v>
      </c>
      <c r="D498" s="1" t="s">
        <v>612</v>
      </c>
      <c r="E498" s="13">
        <f t="shared" si="7"/>
        <v>70.589257457540711</v>
      </c>
      <c r="F498" s="11" t="s">
        <v>70</v>
      </c>
      <c r="G498" s="11" t="s">
        <v>69</v>
      </c>
      <c r="H498" s="11" t="s">
        <v>69</v>
      </c>
      <c r="I498" s="11" t="s">
        <v>69</v>
      </c>
      <c r="J498" s="11" t="s">
        <v>69</v>
      </c>
      <c r="K498" s="14"/>
      <c r="L498" s="14"/>
      <c r="M498" s="11"/>
      <c r="N498" s="12"/>
      <c r="O498" s="11"/>
      <c r="P498" s="11"/>
      <c r="Q498" s="1">
        <v>494</v>
      </c>
      <c r="R498" s="1"/>
      <c r="S498" s="3">
        <f>INDEX(Locations!$D$6:$D$455,MATCH(B498,Locations!$A$6:$A$455,0))</f>
        <v>42.731303055103602</v>
      </c>
      <c r="T498" s="3">
        <f>INDEX(Locations!$E$6:$E$455,MATCH(B498,Locations!$A$6:$A$455,0))</f>
        <v>-73.667816020810903</v>
      </c>
      <c r="U498" s="3">
        <f>INDEX(Locations!$D$6:$D$455,MATCH(C498,Locations!$A$6:$A$455,0))</f>
        <v>42.731805392339297</v>
      </c>
      <c r="V498" s="3">
        <f>INDEX(Locations!$E$6:$E$455,MATCH(C498,Locations!$A$6:$A$455,0))</f>
        <v>-73.667287597414798</v>
      </c>
    </row>
    <row r="499" spans="1:22" ht="23.1" customHeight="1">
      <c r="A499" s="1" t="s">
        <v>1107</v>
      </c>
      <c r="B499" s="1" t="s">
        <v>519</v>
      </c>
      <c r="C499" s="1" t="s">
        <v>533</v>
      </c>
      <c r="D499" s="1" t="s">
        <v>612</v>
      </c>
      <c r="E499" s="13">
        <f t="shared" si="7"/>
        <v>22.521151980289861</v>
      </c>
      <c r="F499" s="11" t="s">
        <v>70</v>
      </c>
      <c r="G499" s="11" t="s">
        <v>69</v>
      </c>
      <c r="H499" s="11" t="s">
        <v>69</v>
      </c>
      <c r="I499" s="11" t="s">
        <v>69</v>
      </c>
      <c r="J499" s="11" t="s">
        <v>69</v>
      </c>
      <c r="K499" s="14"/>
      <c r="L499" s="14"/>
      <c r="M499" s="11"/>
      <c r="N499" s="12"/>
      <c r="O499" s="11"/>
      <c r="P499" s="11"/>
      <c r="Q499" s="1">
        <v>495</v>
      </c>
      <c r="R499" s="1"/>
      <c r="S499" s="3">
        <f>INDEX(Locations!$D$6:$D$455,MATCH(B499,Locations!$A$6:$A$455,0))</f>
        <v>42.731253626039198</v>
      </c>
      <c r="T499" s="3">
        <f>INDEX(Locations!$E$6:$E$455,MATCH(B499,Locations!$A$6:$A$455,0))</f>
        <v>-73.668083415782405</v>
      </c>
      <c r="U499" s="3">
        <f>INDEX(Locations!$D$6:$D$455,MATCH(C499,Locations!$A$6:$A$455,0))</f>
        <v>42.731303055103602</v>
      </c>
      <c r="V499" s="3">
        <f>INDEX(Locations!$E$6:$E$455,MATCH(C499,Locations!$A$6:$A$455,0))</f>
        <v>-73.667816020810903</v>
      </c>
    </row>
    <row r="500" spans="1:22" ht="23.1" customHeight="1">
      <c r="A500" s="1" t="s">
        <v>1108</v>
      </c>
      <c r="B500" s="1" t="s">
        <v>531</v>
      </c>
      <c r="C500" s="1" t="s">
        <v>534</v>
      </c>
      <c r="D500" s="1" t="s">
        <v>612</v>
      </c>
      <c r="E500" s="13">
        <f t="shared" si="7"/>
        <v>42.727812868491576</v>
      </c>
      <c r="F500" s="11" t="s">
        <v>70</v>
      </c>
      <c r="G500" s="11" t="s">
        <v>69</v>
      </c>
      <c r="H500" s="11" t="s">
        <v>69</v>
      </c>
      <c r="I500" s="11" t="s">
        <v>69</v>
      </c>
      <c r="J500" s="11" t="s">
        <v>69</v>
      </c>
      <c r="K500" s="14"/>
      <c r="L500" s="14"/>
      <c r="M500" s="11"/>
      <c r="N500" s="12"/>
      <c r="O500" s="11"/>
      <c r="P500" s="11"/>
      <c r="Q500" s="1">
        <v>496</v>
      </c>
      <c r="R500" s="1"/>
      <c r="S500" s="3">
        <f>INDEX(Locations!$D$6:$D$455,MATCH(B500,Locations!$A$6:$A$455,0))</f>
        <v>42.7320008095706</v>
      </c>
      <c r="T500" s="3">
        <f>INDEX(Locations!$E$6:$E$455,MATCH(B500,Locations!$A$6:$A$455,0))</f>
        <v>-73.667738030610906</v>
      </c>
      <c r="U500" s="3">
        <f>INDEX(Locations!$D$6:$D$455,MATCH(C500,Locations!$A$6:$A$455,0))</f>
        <v>42.731805392339297</v>
      </c>
      <c r="V500" s="3">
        <f>INDEX(Locations!$E$6:$E$455,MATCH(C500,Locations!$A$6:$A$455,0))</f>
        <v>-73.667287597414798</v>
      </c>
    </row>
    <row r="501" spans="1:22" ht="23.1" customHeight="1">
      <c r="A501" s="1" t="s">
        <v>1109</v>
      </c>
      <c r="B501" s="1" t="s">
        <v>531</v>
      </c>
      <c r="C501" s="1" t="s">
        <v>532</v>
      </c>
      <c r="D501" s="1" t="s">
        <v>612</v>
      </c>
      <c r="E501" s="13">
        <f t="shared" si="7"/>
        <v>83.800251705508416</v>
      </c>
      <c r="F501" s="11" t="s">
        <v>70</v>
      </c>
      <c r="G501" s="11" t="s">
        <v>69</v>
      </c>
      <c r="H501" s="11" t="s">
        <v>69</v>
      </c>
      <c r="I501" s="11" t="s">
        <v>69</v>
      </c>
      <c r="J501" s="11" t="s">
        <v>69</v>
      </c>
      <c r="K501" s="14"/>
      <c r="L501" s="14"/>
      <c r="M501" s="11"/>
      <c r="N501" s="12"/>
      <c r="O501" s="11"/>
      <c r="P501" s="11"/>
      <c r="Q501" s="1">
        <v>497</v>
      </c>
      <c r="R501" s="1"/>
      <c r="S501" s="3">
        <f>INDEX(Locations!$D$6:$D$455,MATCH(B501,Locations!$A$6:$A$455,0))</f>
        <v>42.7320008095706</v>
      </c>
      <c r="T501" s="3">
        <f>INDEX(Locations!$E$6:$E$455,MATCH(B501,Locations!$A$6:$A$455,0))</f>
        <v>-73.667738030610906</v>
      </c>
      <c r="U501" s="3">
        <f>INDEX(Locations!$D$6:$D$455,MATCH(C501,Locations!$A$6:$A$455,0))</f>
        <v>42.731360530759801</v>
      </c>
      <c r="V501" s="3">
        <f>INDEX(Locations!$E$6:$E$455,MATCH(C501,Locations!$A$6:$A$455,0))</f>
        <v>-73.668279187100893</v>
      </c>
    </row>
    <row r="502" spans="1:22" ht="23.1" customHeight="1">
      <c r="A502" s="1" t="s">
        <v>1110</v>
      </c>
      <c r="B502" s="1" t="s">
        <v>536</v>
      </c>
      <c r="C502" s="1" t="s">
        <v>521</v>
      </c>
      <c r="D502" s="1" t="s">
        <v>612</v>
      </c>
      <c r="E502" s="13">
        <f t="shared" si="7"/>
        <v>166.04531002607251</v>
      </c>
      <c r="F502" s="11" t="s">
        <v>70</v>
      </c>
      <c r="G502" s="11" t="s">
        <v>69</v>
      </c>
      <c r="H502" s="11" t="s">
        <v>69</v>
      </c>
      <c r="I502" s="11" t="s">
        <v>69</v>
      </c>
      <c r="J502" s="11" t="s">
        <v>69</v>
      </c>
      <c r="K502" s="14"/>
      <c r="L502" s="14"/>
      <c r="M502" s="11"/>
      <c r="N502" s="12"/>
      <c r="O502" s="11"/>
      <c r="P502" s="11"/>
      <c r="Q502" s="1">
        <v>498</v>
      </c>
      <c r="R502" s="1"/>
      <c r="S502" s="3">
        <f>INDEX(Locations!$D$6:$D$455,MATCH(B502,Locations!$A$6:$A$455,0))</f>
        <v>42.7338342830055</v>
      </c>
      <c r="T502" s="3">
        <f>INDEX(Locations!$E$6:$E$455,MATCH(B502,Locations!$A$6:$A$455,0))</f>
        <v>-73.667687098235405</v>
      </c>
      <c r="U502" s="3">
        <f>INDEX(Locations!$D$6:$D$455,MATCH(C502,Locations!$A$6:$A$455,0))</f>
        <v>42.732377849875697</v>
      </c>
      <c r="V502" s="3">
        <f>INDEX(Locations!$E$6:$E$455,MATCH(C502,Locations!$A$6:$A$455,0))</f>
        <v>-73.668135939794695</v>
      </c>
    </row>
    <row r="503" spans="1:22" ht="23.1" customHeight="1">
      <c r="A503" s="1" t="s">
        <v>1111</v>
      </c>
      <c r="B503" s="1" t="s">
        <v>537</v>
      </c>
      <c r="C503" s="1" t="s">
        <v>540</v>
      </c>
      <c r="D503" s="1" t="s">
        <v>612</v>
      </c>
      <c r="E503" s="13">
        <f t="shared" si="7"/>
        <v>86.473998576870017</v>
      </c>
      <c r="F503" s="11" t="s">
        <v>70</v>
      </c>
      <c r="G503" s="11" t="s">
        <v>69</v>
      </c>
      <c r="H503" s="11" t="s">
        <v>69</v>
      </c>
      <c r="I503" s="11" t="s">
        <v>69</v>
      </c>
      <c r="J503" s="11" t="s">
        <v>69</v>
      </c>
      <c r="K503" s="14"/>
      <c r="L503" s="14"/>
      <c r="M503" s="11"/>
      <c r="N503" s="12"/>
      <c r="O503" s="11"/>
      <c r="P503" s="11"/>
      <c r="Q503" s="1">
        <v>499</v>
      </c>
      <c r="R503" s="1"/>
      <c r="S503" s="3">
        <f>INDEX(Locations!$D$6:$D$455,MATCH(B503,Locations!$A$6:$A$455,0))</f>
        <v>42.733751518060501</v>
      </c>
      <c r="T503" s="3">
        <f>INDEX(Locations!$E$6:$E$455,MATCH(B503,Locations!$A$6:$A$455,0))</f>
        <v>-73.667196874120904</v>
      </c>
      <c r="U503" s="3">
        <f>INDEX(Locations!$D$6:$D$455,MATCH(C503,Locations!$A$6:$A$455,0))</f>
        <v>42.733603230867303</v>
      </c>
      <c r="V503" s="3">
        <f>INDEX(Locations!$E$6:$E$455,MATCH(C503,Locations!$A$6:$A$455,0))</f>
        <v>-73.6661575353328</v>
      </c>
    </row>
    <row r="504" spans="1:22" ht="23.1" customHeight="1">
      <c r="A504" s="1" t="s">
        <v>1112</v>
      </c>
      <c r="B504" s="1" t="s">
        <v>536</v>
      </c>
      <c r="C504" s="1" t="s">
        <v>537</v>
      </c>
      <c r="D504" s="1" t="s">
        <v>612</v>
      </c>
      <c r="E504" s="13">
        <f t="shared" si="7"/>
        <v>41.082767665914716</v>
      </c>
      <c r="F504" s="11" t="s">
        <v>70</v>
      </c>
      <c r="G504" s="11" t="s">
        <v>69</v>
      </c>
      <c r="H504" s="11" t="s">
        <v>69</v>
      </c>
      <c r="I504" s="11" t="s">
        <v>69</v>
      </c>
      <c r="J504" s="11" t="s">
        <v>69</v>
      </c>
      <c r="K504" s="14"/>
      <c r="L504" s="14"/>
      <c r="M504" s="11"/>
      <c r="N504" s="12"/>
      <c r="O504" s="11"/>
      <c r="P504" s="11"/>
      <c r="Q504" s="1">
        <v>500</v>
      </c>
      <c r="R504" s="1"/>
      <c r="S504" s="3">
        <f>INDEX(Locations!$D$6:$D$455,MATCH(B504,Locations!$A$6:$A$455,0))</f>
        <v>42.7338342830055</v>
      </c>
      <c r="T504" s="3">
        <f>INDEX(Locations!$E$6:$E$455,MATCH(B504,Locations!$A$6:$A$455,0))</f>
        <v>-73.667687098235405</v>
      </c>
      <c r="U504" s="3">
        <f>INDEX(Locations!$D$6:$D$455,MATCH(C504,Locations!$A$6:$A$455,0))</f>
        <v>42.733751518060501</v>
      </c>
      <c r="V504" s="3">
        <f>INDEX(Locations!$E$6:$E$455,MATCH(C504,Locations!$A$6:$A$455,0))</f>
        <v>-73.667196874120904</v>
      </c>
    </row>
    <row r="505" spans="1:22" ht="23.1" customHeight="1">
      <c r="A505" s="1" t="s">
        <v>1113</v>
      </c>
      <c r="B505" s="1" t="s">
        <v>540</v>
      </c>
      <c r="C505" s="1" t="s">
        <v>539</v>
      </c>
      <c r="D505" s="1" t="s">
        <v>612</v>
      </c>
      <c r="E505" s="13">
        <f t="shared" si="7"/>
        <v>123.3500752116811</v>
      </c>
      <c r="F505" s="11" t="s">
        <v>70</v>
      </c>
      <c r="G505" s="11" t="s">
        <v>69</v>
      </c>
      <c r="H505" s="11" t="s">
        <v>69</v>
      </c>
      <c r="I505" s="11" t="s">
        <v>69</v>
      </c>
      <c r="J505" s="11" t="s">
        <v>69</v>
      </c>
      <c r="K505" s="14"/>
      <c r="L505" s="14"/>
      <c r="M505" s="11"/>
      <c r="N505" s="12"/>
      <c r="O505" s="11"/>
      <c r="P505" s="11"/>
      <c r="Q505" s="1">
        <v>501</v>
      </c>
      <c r="R505" s="1"/>
      <c r="S505" s="3">
        <f>INDEX(Locations!$D$6:$D$455,MATCH(B505,Locations!$A$6:$A$455,0))</f>
        <v>42.733603230867303</v>
      </c>
      <c r="T505" s="3">
        <f>INDEX(Locations!$E$6:$E$455,MATCH(B505,Locations!$A$6:$A$455,0))</f>
        <v>-73.6661575353328</v>
      </c>
      <c r="U505" s="3">
        <f>INDEX(Locations!$D$6:$D$455,MATCH(C505,Locations!$A$6:$A$455,0))</f>
        <v>42.732524987555799</v>
      </c>
      <c r="V505" s="3">
        <f>INDEX(Locations!$E$6:$E$455,MATCH(C505,Locations!$A$6:$A$455,0))</f>
        <v>-73.666512470324705</v>
      </c>
    </row>
    <row r="506" spans="1:22" ht="23.1" customHeight="1">
      <c r="A506" s="1" t="s">
        <v>1114</v>
      </c>
      <c r="B506" s="1" t="s">
        <v>538</v>
      </c>
      <c r="C506" s="1" t="s">
        <v>539</v>
      </c>
      <c r="D506" s="1" t="s">
        <v>612</v>
      </c>
      <c r="E506" s="13">
        <f t="shared" si="7"/>
        <v>79.05288382887629</v>
      </c>
      <c r="F506" s="11" t="s">
        <v>70</v>
      </c>
      <c r="G506" s="11" t="s">
        <v>69</v>
      </c>
      <c r="H506" s="11" t="s">
        <v>69</v>
      </c>
      <c r="I506" s="11" t="s">
        <v>69</v>
      </c>
      <c r="J506" s="11" t="s">
        <v>69</v>
      </c>
      <c r="K506" s="14"/>
      <c r="L506" s="14"/>
      <c r="M506" s="11"/>
      <c r="N506" s="12"/>
      <c r="O506" s="11"/>
      <c r="P506" s="11"/>
      <c r="Q506" s="1">
        <v>502</v>
      </c>
      <c r="R506" s="1"/>
      <c r="S506" s="3">
        <f>INDEX(Locations!$D$6:$D$455,MATCH(B506,Locations!$A$6:$A$455,0))</f>
        <v>42.732682470853902</v>
      </c>
      <c r="T506" s="3">
        <f>INDEX(Locations!$E$6:$E$455,MATCH(B506,Locations!$A$6:$A$455,0))</f>
        <v>-73.667456310908705</v>
      </c>
      <c r="U506" s="3">
        <f>INDEX(Locations!$D$6:$D$455,MATCH(C506,Locations!$A$6:$A$455,0))</f>
        <v>42.732524987555799</v>
      </c>
      <c r="V506" s="3">
        <f>INDEX(Locations!$E$6:$E$455,MATCH(C506,Locations!$A$6:$A$455,0))</f>
        <v>-73.666512470324705</v>
      </c>
    </row>
    <row r="507" spans="1:22" ht="23.1" customHeight="1">
      <c r="A507" s="1" t="s">
        <v>1115</v>
      </c>
      <c r="B507" s="1" t="s">
        <v>197</v>
      </c>
      <c r="C507" s="1" t="s">
        <v>538</v>
      </c>
      <c r="D507" s="1" t="s">
        <v>612</v>
      </c>
      <c r="E507" s="13">
        <f t="shared" si="7"/>
        <v>57.901229628734427</v>
      </c>
      <c r="F507" s="11" t="s">
        <v>70</v>
      </c>
      <c r="G507" s="11" t="s">
        <v>69</v>
      </c>
      <c r="H507" s="11" t="s">
        <v>69</v>
      </c>
      <c r="I507" s="11" t="s">
        <v>69</v>
      </c>
      <c r="J507" s="11" t="s">
        <v>69</v>
      </c>
      <c r="K507" s="14"/>
      <c r="L507" s="14"/>
      <c r="M507" s="11"/>
      <c r="N507" s="12"/>
      <c r="O507" s="11"/>
      <c r="P507" s="11"/>
      <c r="Q507" s="1">
        <v>503</v>
      </c>
      <c r="R507" s="1"/>
      <c r="S507" s="3">
        <f>INDEX(Locations!$D$6:$D$455,MATCH(B507,Locations!$A$6:$A$455,0))</f>
        <v>42.733044075699603</v>
      </c>
      <c r="T507" s="3">
        <f>INDEX(Locations!$E$6:$E$455,MATCH(B507,Locations!$A$6:$A$455,0))</f>
        <v>-73.666946204994304</v>
      </c>
      <c r="U507" s="3">
        <f>INDEX(Locations!$D$6:$D$455,MATCH(C507,Locations!$A$6:$A$455,0))</f>
        <v>42.732682470853902</v>
      </c>
      <c r="V507" s="3">
        <f>INDEX(Locations!$E$6:$E$455,MATCH(C507,Locations!$A$6:$A$455,0))</f>
        <v>-73.667456310908705</v>
      </c>
    </row>
    <row r="508" spans="1:22" ht="23.1" customHeight="1">
      <c r="A508" s="1" t="s">
        <v>1116</v>
      </c>
      <c r="B508" s="1" t="s">
        <v>197</v>
      </c>
      <c r="C508" s="1" t="s">
        <v>537</v>
      </c>
      <c r="D508" s="1" t="s">
        <v>612</v>
      </c>
      <c r="E508" s="13">
        <f t="shared" si="7"/>
        <v>81.2845819704728</v>
      </c>
      <c r="F508" s="11" t="s">
        <v>70</v>
      </c>
      <c r="G508" s="11" t="s">
        <v>69</v>
      </c>
      <c r="H508" s="11" t="s">
        <v>69</v>
      </c>
      <c r="I508" s="11" t="s">
        <v>69</v>
      </c>
      <c r="J508" s="11" t="s">
        <v>69</v>
      </c>
      <c r="K508" s="14"/>
      <c r="L508" s="14"/>
      <c r="M508" s="11"/>
      <c r="N508" s="12"/>
      <c r="O508" s="11"/>
      <c r="P508" s="11"/>
      <c r="Q508" s="1">
        <v>504</v>
      </c>
      <c r="R508" s="1"/>
      <c r="S508" s="3">
        <f>INDEX(Locations!$D$6:$D$455,MATCH(B508,Locations!$A$6:$A$455,0))</f>
        <v>42.733044075699603</v>
      </c>
      <c r="T508" s="3">
        <f>INDEX(Locations!$E$6:$E$455,MATCH(B508,Locations!$A$6:$A$455,0))</f>
        <v>-73.666946204994304</v>
      </c>
      <c r="U508" s="3">
        <f>INDEX(Locations!$D$6:$D$455,MATCH(C508,Locations!$A$6:$A$455,0))</f>
        <v>42.733751518060501</v>
      </c>
      <c r="V508" s="3">
        <f>INDEX(Locations!$E$6:$E$455,MATCH(C508,Locations!$A$6:$A$455,0))</f>
        <v>-73.667196874120904</v>
      </c>
    </row>
    <row r="509" spans="1:22" ht="23.1" customHeight="1">
      <c r="A509" s="1" t="s">
        <v>1117</v>
      </c>
      <c r="B509" s="1" t="s">
        <v>538</v>
      </c>
      <c r="C509" s="1" t="s">
        <v>537</v>
      </c>
      <c r="D509" s="1" t="s">
        <v>612</v>
      </c>
      <c r="E509" s="13">
        <f t="shared" si="7"/>
        <v>120.74641409374399</v>
      </c>
      <c r="F509" s="11" t="s">
        <v>70</v>
      </c>
      <c r="G509" s="11" t="s">
        <v>69</v>
      </c>
      <c r="H509" s="11" t="s">
        <v>69</v>
      </c>
      <c r="I509" s="11" t="s">
        <v>69</v>
      </c>
      <c r="J509" s="11" t="s">
        <v>69</v>
      </c>
      <c r="K509" s="14"/>
      <c r="L509" s="14"/>
      <c r="M509" s="11"/>
      <c r="N509" s="12"/>
      <c r="O509" s="11"/>
      <c r="P509" s="11"/>
      <c r="Q509" s="1">
        <v>505</v>
      </c>
      <c r="R509" s="1"/>
      <c r="S509" s="3">
        <f>INDEX(Locations!$D$6:$D$455,MATCH(B509,Locations!$A$6:$A$455,0))</f>
        <v>42.732682470853902</v>
      </c>
      <c r="T509" s="3">
        <f>INDEX(Locations!$E$6:$E$455,MATCH(B509,Locations!$A$6:$A$455,0))</f>
        <v>-73.667456310908705</v>
      </c>
      <c r="U509" s="3">
        <f>INDEX(Locations!$D$6:$D$455,MATCH(C509,Locations!$A$6:$A$455,0))</f>
        <v>42.733751518060501</v>
      </c>
      <c r="V509" s="3">
        <f>INDEX(Locations!$E$6:$E$455,MATCH(C509,Locations!$A$6:$A$455,0))</f>
        <v>-73.667196874120904</v>
      </c>
    </row>
    <row r="510" spans="1:22" ht="23.1" customHeight="1">
      <c r="A510" s="1" t="s">
        <v>1118</v>
      </c>
      <c r="B510" s="1" t="s">
        <v>540</v>
      </c>
      <c r="C510" s="1" t="s">
        <v>197</v>
      </c>
      <c r="D510" s="1" t="s">
        <v>612</v>
      </c>
      <c r="E510" s="13">
        <f t="shared" si="7"/>
        <v>89.52646449289449</v>
      </c>
      <c r="F510" s="11" t="s">
        <v>70</v>
      </c>
      <c r="G510" s="11" t="s">
        <v>69</v>
      </c>
      <c r="H510" s="11" t="s">
        <v>69</v>
      </c>
      <c r="I510" s="11" t="s">
        <v>69</v>
      </c>
      <c r="J510" s="11" t="s">
        <v>69</v>
      </c>
      <c r="K510" s="14"/>
      <c r="L510" s="14"/>
      <c r="M510" s="11"/>
      <c r="N510" s="12"/>
      <c r="O510" s="11"/>
      <c r="P510" s="11"/>
      <c r="Q510" s="1">
        <v>506</v>
      </c>
      <c r="R510" s="1"/>
      <c r="S510" s="3">
        <f>INDEX(Locations!$D$6:$D$455,MATCH(B510,Locations!$A$6:$A$455,0))</f>
        <v>42.733603230867303</v>
      </c>
      <c r="T510" s="3">
        <f>INDEX(Locations!$E$6:$E$455,MATCH(B510,Locations!$A$6:$A$455,0))</f>
        <v>-73.6661575353328</v>
      </c>
      <c r="U510" s="3">
        <f>INDEX(Locations!$D$6:$D$455,MATCH(C510,Locations!$A$6:$A$455,0))</f>
        <v>42.733044075699603</v>
      </c>
      <c r="V510" s="3">
        <f>INDEX(Locations!$E$6:$E$455,MATCH(C510,Locations!$A$6:$A$455,0))</f>
        <v>-73.666946204994304</v>
      </c>
    </row>
    <row r="511" spans="1:22" ht="23.1" customHeight="1">
      <c r="A511" s="1" t="s">
        <v>1119</v>
      </c>
      <c r="B511" s="1" t="s">
        <v>539</v>
      </c>
      <c r="C511" s="1" t="s">
        <v>197</v>
      </c>
      <c r="D511" s="1" t="s">
        <v>612</v>
      </c>
      <c r="E511" s="13">
        <f t="shared" si="7"/>
        <v>67.724175520290856</v>
      </c>
      <c r="F511" s="11" t="s">
        <v>70</v>
      </c>
      <c r="G511" s="11" t="s">
        <v>69</v>
      </c>
      <c r="H511" s="11" t="s">
        <v>69</v>
      </c>
      <c r="I511" s="11" t="s">
        <v>69</v>
      </c>
      <c r="J511" s="11" t="s">
        <v>69</v>
      </c>
      <c r="K511" s="14"/>
      <c r="L511" s="14"/>
      <c r="M511" s="11"/>
      <c r="N511" s="12"/>
      <c r="O511" s="11"/>
      <c r="P511" s="11"/>
      <c r="Q511" s="1">
        <v>507</v>
      </c>
      <c r="R511" s="1"/>
      <c r="S511" s="3">
        <f>INDEX(Locations!$D$6:$D$455,MATCH(B511,Locations!$A$6:$A$455,0))</f>
        <v>42.732524987555799</v>
      </c>
      <c r="T511" s="3">
        <f>INDEX(Locations!$E$6:$E$455,MATCH(B511,Locations!$A$6:$A$455,0))</f>
        <v>-73.666512470324705</v>
      </c>
      <c r="U511" s="3">
        <f>INDEX(Locations!$D$6:$D$455,MATCH(C511,Locations!$A$6:$A$455,0))</f>
        <v>42.733044075699603</v>
      </c>
      <c r="V511" s="3">
        <f>INDEX(Locations!$E$6:$E$455,MATCH(C511,Locations!$A$6:$A$455,0))</f>
        <v>-73.666946204994304</v>
      </c>
    </row>
    <row r="512" spans="1:22" ht="23.1" customHeight="1">
      <c r="A512" s="1" t="s">
        <v>1120</v>
      </c>
      <c r="B512" s="1" t="s">
        <v>539</v>
      </c>
      <c r="C512" s="1" t="s">
        <v>541</v>
      </c>
      <c r="D512" s="1" t="s">
        <v>612</v>
      </c>
      <c r="E512" s="13">
        <f t="shared" si="7"/>
        <v>99.925696016700272</v>
      </c>
      <c r="F512" s="11" t="s">
        <v>70</v>
      </c>
      <c r="G512" s="11" t="s">
        <v>69</v>
      </c>
      <c r="H512" s="11" t="s">
        <v>69</v>
      </c>
      <c r="I512" s="11" t="s">
        <v>69</v>
      </c>
      <c r="J512" s="11" t="s">
        <v>69</v>
      </c>
      <c r="K512" s="14"/>
      <c r="L512" s="14"/>
      <c r="M512" s="11"/>
      <c r="N512" s="12"/>
      <c r="O512" s="11"/>
      <c r="P512" s="11"/>
      <c r="Q512" s="1">
        <v>508</v>
      </c>
      <c r="R512" s="1"/>
      <c r="S512" s="3">
        <f>INDEX(Locations!$D$6:$D$455,MATCH(B512,Locations!$A$6:$A$455,0))</f>
        <v>42.732524987555799</v>
      </c>
      <c r="T512" s="3">
        <f>INDEX(Locations!$E$6:$E$455,MATCH(B512,Locations!$A$6:$A$455,0))</f>
        <v>-73.666512470324705</v>
      </c>
      <c r="U512" s="3">
        <f>INDEX(Locations!$D$6:$D$455,MATCH(C512,Locations!$A$6:$A$455,0))</f>
        <v>42.7316502080674</v>
      </c>
      <c r="V512" s="3">
        <f>INDEX(Locations!$E$6:$E$455,MATCH(C512,Locations!$A$6:$A$455,0))</f>
        <v>-73.666792598390103</v>
      </c>
    </row>
    <row r="513" spans="1:22" ht="23.1" customHeight="1">
      <c r="A513" s="1" t="s">
        <v>1121</v>
      </c>
      <c r="B513" s="1" t="s">
        <v>530</v>
      </c>
      <c r="C513" s="1" t="s">
        <v>541</v>
      </c>
      <c r="D513" s="1" t="s">
        <v>612</v>
      </c>
      <c r="E513" s="13">
        <f t="shared" si="7"/>
        <v>46.339793888193874</v>
      </c>
      <c r="F513" s="11" t="s">
        <v>70</v>
      </c>
      <c r="G513" s="11" t="s">
        <v>69</v>
      </c>
      <c r="H513" s="11" t="s">
        <v>69</v>
      </c>
      <c r="I513" s="11" t="s">
        <v>69</v>
      </c>
      <c r="J513" s="11" t="s">
        <v>69</v>
      </c>
      <c r="K513" s="14"/>
      <c r="L513" s="14"/>
      <c r="M513" s="11"/>
      <c r="N513" s="12"/>
      <c r="O513" s="11"/>
      <c r="P513" s="11"/>
      <c r="Q513" s="1">
        <v>509</v>
      </c>
      <c r="R513" s="1"/>
      <c r="S513" s="3">
        <f>INDEX(Locations!$D$6:$D$455,MATCH(B513,Locations!$A$6:$A$455,0))</f>
        <v>42.731418006416099</v>
      </c>
      <c r="T513" s="3">
        <f>INDEX(Locations!$E$6:$E$455,MATCH(B513,Locations!$A$6:$A$455,0))</f>
        <v>-73.666321473916497</v>
      </c>
      <c r="U513" s="3">
        <f>INDEX(Locations!$D$6:$D$455,MATCH(C513,Locations!$A$6:$A$455,0))</f>
        <v>42.7316502080674</v>
      </c>
      <c r="V513" s="3">
        <f>INDEX(Locations!$E$6:$E$455,MATCH(C513,Locations!$A$6:$A$455,0))</f>
        <v>-73.666792598390103</v>
      </c>
    </row>
    <row r="514" spans="1:22" ht="23.1" customHeight="1">
      <c r="A514" s="1" t="s">
        <v>1122</v>
      </c>
      <c r="B514" s="1" t="s">
        <v>534</v>
      </c>
      <c r="C514" s="1" t="s">
        <v>541</v>
      </c>
      <c r="D514" s="1" t="s">
        <v>612</v>
      </c>
      <c r="E514" s="13">
        <f t="shared" si="7"/>
        <v>43.958471864065999</v>
      </c>
      <c r="F514" s="11" t="s">
        <v>70</v>
      </c>
      <c r="G514" s="11" t="s">
        <v>69</v>
      </c>
      <c r="H514" s="11" t="s">
        <v>69</v>
      </c>
      <c r="I514" s="11" t="s">
        <v>69</v>
      </c>
      <c r="J514" s="11" t="s">
        <v>69</v>
      </c>
      <c r="K514" s="14"/>
      <c r="L514" s="14"/>
      <c r="M514" s="11"/>
      <c r="N514" s="12"/>
      <c r="O514" s="11"/>
      <c r="P514" s="11"/>
      <c r="Q514" s="1">
        <v>510</v>
      </c>
      <c r="R514" s="1"/>
      <c r="S514" s="3">
        <f>INDEX(Locations!$D$6:$D$455,MATCH(B514,Locations!$A$6:$A$455,0))</f>
        <v>42.731805392339297</v>
      </c>
      <c r="T514" s="3">
        <f>INDEX(Locations!$E$6:$E$455,MATCH(B514,Locations!$A$6:$A$455,0))</f>
        <v>-73.667287597414798</v>
      </c>
      <c r="U514" s="3">
        <f>INDEX(Locations!$D$6:$D$455,MATCH(C514,Locations!$A$6:$A$455,0))</f>
        <v>42.7316502080674</v>
      </c>
      <c r="V514" s="3">
        <f>INDEX(Locations!$E$6:$E$455,MATCH(C514,Locations!$A$6:$A$455,0))</f>
        <v>-73.666792598390103</v>
      </c>
    </row>
    <row r="515" spans="1:22" ht="23.1" customHeight="1">
      <c r="A515" s="1" t="s">
        <v>1123</v>
      </c>
      <c r="B515" s="1" t="s">
        <v>543</v>
      </c>
      <c r="C515" s="1" t="s">
        <v>542</v>
      </c>
      <c r="D515" s="1" t="s">
        <v>612</v>
      </c>
      <c r="E515" s="13">
        <f t="shared" si="7"/>
        <v>101.71135853507218</v>
      </c>
      <c r="F515" s="11" t="s">
        <v>70</v>
      </c>
      <c r="G515" s="11" t="s">
        <v>69</v>
      </c>
      <c r="H515" s="11" t="s">
        <v>69</v>
      </c>
      <c r="I515" s="11" t="s">
        <v>69</v>
      </c>
      <c r="J515" s="11" t="s">
        <v>69</v>
      </c>
      <c r="K515" s="14"/>
      <c r="L515" s="14"/>
      <c r="M515" s="11"/>
      <c r="N515" s="12"/>
      <c r="O515" s="11"/>
      <c r="P515" s="11"/>
      <c r="Q515" s="1">
        <v>511</v>
      </c>
      <c r="R515" s="1"/>
      <c r="S515" s="3">
        <f>INDEX(Locations!$D$6:$D$455,MATCH(B515,Locations!$A$6:$A$455,0))</f>
        <v>42.732828459020801</v>
      </c>
      <c r="T515" s="3">
        <f>INDEX(Locations!$E$6:$E$455,MATCH(B515,Locations!$A$6:$A$455,0))</f>
        <v>-73.664761669915904</v>
      </c>
      <c r="U515" s="3">
        <f>INDEX(Locations!$D$6:$D$455,MATCH(C515,Locations!$A$6:$A$455,0))</f>
        <v>42.732150246276902</v>
      </c>
      <c r="V515" s="3">
        <f>INDEX(Locations!$E$6:$E$455,MATCH(C515,Locations!$A$6:$A$455,0))</f>
        <v>-73.665597279202004</v>
      </c>
    </row>
    <row r="516" spans="1:22" ht="23.1" customHeight="1">
      <c r="A516" s="1" t="s">
        <v>1124</v>
      </c>
      <c r="B516" s="1" t="s">
        <v>530</v>
      </c>
      <c r="C516" s="1" t="s">
        <v>542</v>
      </c>
      <c r="D516" s="1" t="s">
        <v>612</v>
      </c>
      <c r="E516" s="13">
        <f t="shared" si="7"/>
        <v>100.63876052596532</v>
      </c>
      <c r="F516" s="11" t="s">
        <v>70</v>
      </c>
      <c r="G516" s="11" t="s">
        <v>69</v>
      </c>
      <c r="H516" s="11" t="s">
        <v>69</v>
      </c>
      <c r="I516" s="11" t="s">
        <v>69</v>
      </c>
      <c r="J516" s="11" t="s">
        <v>69</v>
      </c>
      <c r="K516" s="14"/>
      <c r="L516" s="14"/>
      <c r="M516" s="11"/>
      <c r="N516" s="12"/>
      <c r="O516" s="11"/>
      <c r="P516" s="11"/>
      <c r="Q516" s="1">
        <v>512</v>
      </c>
      <c r="R516" s="1"/>
      <c r="S516" s="3">
        <f>INDEX(Locations!$D$6:$D$455,MATCH(B516,Locations!$A$6:$A$455,0))</f>
        <v>42.731418006416099</v>
      </c>
      <c r="T516" s="3">
        <f>INDEX(Locations!$E$6:$E$455,MATCH(B516,Locations!$A$6:$A$455,0))</f>
        <v>-73.666321473916497</v>
      </c>
      <c r="U516" s="3">
        <f>INDEX(Locations!$D$6:$D$455,MATCH(C516,Locations!$A$6:$A$455,0))</f>
        <v>42.732150246276902</v>
      </c>
      <c r="V516" s="3">
        <f>INDEX(Locations!$E$6:$E$455,MATCH(C516,Locations!$A$6:$A$455,0))</f>
        <v>-73.665597279202004</v>
      </c>
    </row>
    <row r="517" spans="1:22" ht="23.1" customHeight="1">
      <c r="A517" s="1" t="s">
        <v>1125</v>
      </c>
      <c r="B517" s="1" t="s">
        <v>539</v>
      </c>
      <c r="C517" s="1" t="s">
        <v>548</v>
      </c>
      <c r="D517" s="1" t="s">
        <v>612</v>
      </c>
      <c r="E517" s="13">
        <f t="shared" si="7"/>
        <v>22.091150150120239</v>
      </c>
      <c r="F517" s="11" t="s">
        <v>70</v>
      </c>
      <c r="G517" s="11" t="s">
        <v>69</v>
      </c>
      <c r="H517" s="11" t="s">
        <v>69</v>
      </c>
      <c r="I517" s="11" t="s">
        <v>69</v>
      </c>
      <c r="J517" s="11" t="s">
        <v>69</v>
      </c>
      <c r="K517" s="14"/>
      <c r="L517" s="14"/>
      <c r="M517" s="11"/>
      <c r="N517" s="12"/>
      <c r="O517" s="11"/>
      <c r="P517" s="11"/>
      <c r="Q517" s="1">
        <v>513</v>
      </c>
      <c r="R517" s="1"/>
      <c r="S517" s="3">
        <f>INDEX(Locations!$D$6:$D$455,MATCH(B517,Locations!$A$6:$A$455,0))</f>
        <v>42.732524987555799</v>
      </c>
      <c r="T517" s="3">
        <f>INDEX(Locations!$E$6:$E$455,MATCH(B517,Locations!$A$6:$A$455,0))</f>
        <v>-73.666512470324705</v>
      </c>
      <c r="U517" s="3">
        <f>INDEX(Locations!$D$6:$D$455,MATCH(C517,Locations!$A$6:$A$455,0))</f>
        <v>42.7324951002145</v>
      </c>
      <c r="V517" s="3">
        <f>INDEX(Locations!$E$6:$E$455,MATCH(C517,Locations!$A$6:$A$455,0))</f>
        <v>-73.666245075353203</v>
      </c>
    </row>
    <row r="518" spans="1:22" ht="23.1" customHeight="1">
      <c r="A518" s="1" t="s">
        <v>1126</v>
      </c>
      <c r="B518" s="1" t="s">
        <v>547</v>
      </c>
      <c r="C518" s="1" t="s">
        <v>548</v>
      </c>
      <c r="D518" s="1" t="s">
        <v>612</v>
      </c>
      <c r="E518" s="13">
        <f t="shared" ref="E518:E581" si="8">2*6371000*ASIN(SQRT(MIN(1,SIN(RADIANS(U518-S518)/2)^2+COS(RADIANS(S518))*COS(RADIANS(U518))*SIN(RADIANS(V518-T518)/2)^2)))</f>
        <v>61.771012614742482</v>
      </c>
      <c r="F518" s="11" t="s">
        <v>70</v>
      </c>
      <c r="G518" s="11" t="s">
        <v>69</v>
      </c>
      <c r="H518" s="11" t="s">
        <v>69</v>
      </c>
      <c r="I518" s="11" t="s">
        <v>69</v>
      </c>
      <c r="J518" s="11" t="s">
        <v>69</v>
      </c>
      <c r="K518" s="14"/>
      <c r="L518" s="14"/>
      <c r="M518" s="11"/>
      <c r="N518" s="12"/>
      <c r="O518" s="11"/>
      <c r="P518" s="11"/>
      <c r="Q518" s="1">
        <v>514</v>
      </c>
      <c r="R518" s="1"/>
      <c r="S518" s="3">
        <f>INDEX(Locations!$D$6:$D$455,MATCH(B518,Locations!$A$6:$A$455,0))</f>
        <v>42.733037670409601</v>
      </c>
      <c r="T518" s="3">
        <f>INDEX(Locations!$E$6:$E$455,MATCH(B518,Locations!$A$6:$A$455,0))</f>
        <v>-73.666082728406195</v>
      </c>
      <c r="U518" s="3">
        <f>INDEX(Locations!$D$6:$D$455,MATCH(C518,Locations!$A$6:$A$455,0))</f>
        <v>42.7324951002145</v>
      </c>
      <c r="V518" s="3">
        <f>INDEX(Locations!$E$6:$E$455,MATCH(C518,Locations!$A$6:$A$455,0))</f>
        <v>-73.666245075353203</v>
      </c>
    </row>
    <row r="519" spans="1:22" ht="23.1" customHeight="1">
      <c r="A519" s="1" t="s">
        <v>1127</v>
      </c>
      <c r="B519" s="1" t="s">
        <v>546</v>
      </c>
      <c r="C519" s="1" t="s">
        <v>547</v>
      </c>
      <c r="D519" s="1" t="s">
        <v>612</v>
      </c>
      <c r="E519" s="13">
        <f t="shared" si="8"/>
        <v>9.9621401378401693</v>
      </c>
      <c r="F519" s="11" t="s">
        <v>70</v>
      </c>
      <c r="G519" s="11" t="s">
        <v>69</v>
      </c>
      <c r="H519" s="11" t="s">
        <v>69</v>
      </c>
      <c r="I519" s="11" t="s">
        <v>69</v>
      </c>
      <c r="J519" s="11" t="s">
        <v>69</v>
      </c>
      <c r="K519" s="14"/>
      <c r="L519" s="14"/>
      <c r="M519" s="11"/>
      <c r="N519" s="12"/>
      <c r="O519" s="11"/>
      <c r="P519" s="11"/>
      <c r="Q519" s="1">
        <v>515</v>
      </c>
      <c r="R519" s="1"/>
      <c r="S519" s="3">
        <f>INDEX(Locations!$D$6:$D$455,MATCH(B519,Locations!$A$6:$A$455,0))</f>
        <v>42.733049165540898</v>
      </c>
      <c r="T519" s="3">
        <f>INDEX(Locations!$E$6:$E$455,MATCH(B519,Locations!$A$6:$A$455,0))</f>
        <v>-73.665961764014298</v>
      </c>
      <c r="U519" s="3">
        <f>INDEX(Locations!$D$6:$D$455,MATCH(C519,Locations!$A$6:$A$455,0))</f>
        <v>42.733037670409601</v>
      </c>
      <c r="V519" s="3">
        <f>INDEX(Locations!$E$6:$E$455,MATCH(C519,Locations!$A$6:$A$455,0))</f>
        <v>-73.666082728406195</v>
      </c>
    </row>
    <row r="520" spans="1:22" ht="23.1" customHeight="1">
      <c r="A520" s="1" t="s">
        <v>1128</v>
      </c>
      <c r="B520" s="1" t="s">
        <v>545</v>
      </c>
      <c r="C520" s="1" t="s">
        <v>546</v>
      </c>
      <c r="D520" s="1" t="s">
        <v>612</v>
      </c>
      <c r="E520" s="13">
        <f t="shared" si="8"/>
        <v>22.730587149554598</v>
      </c>
      <c r="F520" s="11" t="s">
        <v>70</v>
      </c>
      <c r="G520" s="11" t="s">
        <v>69</v>
      </c>
      <c r="H520" s="11" t="s">
        <v>69</v>
      </c>
      <c r="I520" s="11" t="s">
        <v>69</v>
      </c>
      <c r="J520" s="11" t="s">
        <v>69</v>
      </c>
      <c r="K520" s="14"/>
      <c r="L520" s="14"/>
      <c r="M520" s="11"/>
      <c r="N520" s="12"/>
      <c r="O520" s="11"/>
      <c r="P520" s="11"/>
      <c r="Q520" s="1">
        <v>516</v>
      </c>
      <c r="R520" s="1"/>
      <c r="S520" s="3">
        <f>INDEX(Locations!$D$6:$D$455,MATCH(B520,Locations!$A$6:$A$455,0))</f>
        <v>42.733012381120901</v>
      </c>
      <c r="T520" s="3">
        <f>INDEX(Locations!$E$6:$E$455,MATCH(B520,Locations!$A$6:$A$455,0))</f>
        <v>-73.665688002495898</v>
      </c>
      <c r="U520" s="3">
        <f>INDEX(Locations!$D$6:$D$455,MATCH(C520,Locations!$A$6:$A$455,0))</f>
        <v>42.733049165540898</v>
      </c>
      <c r="V520" s="3">
        <f>INDEX(Locations!$E$6:$E$455,MATCH(C520,Locations!$A$6:$A$455,0))</f>
        <v>-73.665961764014298</v>
      </c>
    </row>
    <row r="521" spans="1:22" ht="23.1" customHeight="1">
      <c r="A521" s="1" t="s">
        <v>1129</v>
      </c>
      <c r="B521" s="1" t="s">
        <v>544</v>
      </c>
      <c r="C521" s="1" t="s">
        <v>545</v>
      </c>
      <c r="D521" s="1" t="s">
        <v>612</v>
      </c>
      <c r="E521" s="13">
        <f t="shared" si="8"/>
        <v>29.395367232283029</v>
      </c>
      <c r="F521" s="11" t="s">
        <v>70</v>
      </c>
      <c r="G521" s="11" t="s">
        <v>69</v>
      </c>
      <c r="H521" s="11" t="s">
        <v>69</v>
      </c>
      <c r="I521" s="11" t="s">
        <v>69</v>
      </c>
      <c r="J521" s="11" t="s">
        <v>69</v>
      </c>
      <c r="K521" s="14"/>
      <c r="L521" s="14"/>
      <c r="M521" s="11"/>
      <c r="N521" s="12"/>
      <c r="O521" s="11"/>
      <c r="P521" s="11"/>
      <c r="Q521" s="1">
        <v>517</v>
      </c>
      <c r="R521" s="1"/>
      <c r="S521" s="3">
        <f>INDEX(Locations!$D$6:$D$455,MATCH(B521,Locations!$A$6:$A$455,0))</f>
        <v>42.732920420070897</v>
      </c>
      <c r="T521" s="3">
        <f>INDEX(Locations!$E$6:$E$455,MATCH(B521,Locations!$A$6:$A$455,0))</f>
        <v>-73.665350575508</v>
      </c>
      <c r="U521" s="3">
        <f>INDEX(Locations!$D$6:$D$455,MATCH(C521,Locations!$A$6:$A$455,0))</f>
        <v>42.733012381120901</v>
      </c>
      <c r="V521" s="3">
        <f>INDEX(Locations!$E$6:$E$455,MATCH(C521,Locations!$A$6:$A$455,0))</f>
        <v>-73.665688002495898</v>
      </c>
    </row>
    <row r="522" spans="1:22" ht="23.1" customHeight="1">
      <c r="A522" s="1" t="s">
        <v>1130</v>
      </c>
      <c r="B522" s="1" t="s">
        <v>544</v>
      </c>
      <c r="C522" s="1" t="s">
        <v>543</v>
      </c>
      <c r="D522" s="1" t="s">
        <v>612</v>
      </c>
      <c r="E522" s="13">
        <f t="shared" si="8"/>
        <v>49.174095754876504</v>
      </c>
      <c r="F522" s="11" t="s">
        <v>70</v>
      </c>
      <c r="G522" s="11" t="s">
        <v>69</v>
      </c>
      <c r="H522" s="11" t="s">
        <v>69</v>
      </c>
      <c r="I522" s="11" t="s">
        <v>69</v>
      </c>
      <c r="J522" s="11" t="s">
        <v>69</v>
      </c>
      <c r="K522" s="14"/>
      <c r="L522" s="14"/>
      <c r="M522" s="11"/>
      <c r="N522" s="12"/>
      <c r="O522" s="11"/>
      <c r="P522" s="11"/>
      <c r="Q522" s="1">
        <v>518</v>
      </c>
      <c r="R522" s="1"/>
      <c r="S522" s="3">
        <f>INDEX(Locations!$D$6:$D$455,MATCH(B522,Locations!$A$6:$A$455,0))</f>
        <v>42.732920420070897</v>
      </c>
      <c r="T522" s="3">
        <f>INDEX(Locations!$E$6:$E$455,MATCH(B522,Locations!$A$6:$A$455,0))</f>
        <v>-73.665350575508</v>
      </c>
      <c r="U522" s="3">
        <f>INDEX(Locations!$D$6:$D$455,MATCH(C522,Locations!$A$6:$A$455,0))</f>
        <v>42.732828459020801</v>
      </c>
      <c r="V522" s="3">
        <f>INDEX(Locations!$E$6:$E$455,MATCH(C522,Locations!$A$6:$A$455,0))</f>
        <v>-73.664761669915904</v>
      </c>
    </row>
    <row r="523" spans="1:22" ht="23.1" customHeight="1">
      <c r="A523" s="1" t="s">
        <v>1131</v>
      </c>
      <c r="B523" s="1" t="s">
        <v>540</v>
      </c>
      <c r="C523" s="1" t="s">
        <v>549</v>
      </c>
      <c r="D523" s="1" t="s">
        <v>612</v>
      </c>
      <c r="E523" s="13">
        <f t="shared" si="8"/>
        <v>24.312312361452047</v>
      </c>
      <c r="F523" s="11" t="s">
        <v>70</v>
      </c>
      <c r="G523" s="11" t="s">
        <v>69</v>
      </c>
      <c r="H523" s="11" t="s">
        <v>69</v>
      </c>
      <c r="I523" s="11" t="s">
        <v>69</v>
      </c>
      <c r="J523" s="11" t="s">
        <v>69</v>
      </c>
      <c r="K523" s="14"/>
      <c r="L523" s="14"/>
      <c r="M523" s="11"/>
      <c r="N523" s="12"/>
      <c r="O523" s="11"/>
      <c r="P523" s="11"/>
      <c r="Q523" s="1">
        <v>519</v>
      </c>
      <c r="R523" s="1"/>
      <c r="S523" s="3">
        <f>INDEX(Locations!$D$6:$D$455,MATCH(B523,Locations!$A$6:$A$455,0))</f>
        <v>42.733603230867303</v>
      </c>
      <c r="T523" s="3">
        <f>INDEX(Locations!$E$6:$E$455,MATCH(B523,Locations!$A$6:$A$455,0))</f>
        <v>-73.6661575353328</v>
      </c>
      <c r="U523" s="3">
        <f>INDEX(Locations!$D$6:$D$455,MATCH(C523,Locations!$A$6:$A$455,0))</f>
        <v>42.7335997823279</v>
      </c>
      <c r="V523" s="3">
        <f>INDEX(Locations!$E$6:$E$455,MATCH(C523,Locations!$A$6:$A$455,0))</f>
        <v>-73.665859899263296</v>
      </c>
    </row>
    <row r="524" spans="1:22" ht="23.1" customHeight="1">
      <c r="A524" s="1" t="s">
        <v>1132</v>
      </c>
      <c r="B524" s="1" t="s">
        <v>546</v>
      </c>
      <c r="C524" s="1" t="s">
        <v>549</v>
      </c>
      <c r="D524" s="1" t="s">
        <v>612</v>
      </c>
      <c r="E524" s="13">
        <f t="shared" si="8"/>
        <v>61.78848373536546</v>
      </c>
      <c r="F524" s="11" t="s">
        <v>70</v>
      </c>
      <c r="G524" s="11" t="s">
        <v>69</v>
      </c>
      <c r="H524" s="11" t="s">
        <v>69</v>
      </c>
      <c r="I524" s="11" t="s">
        <v>69</v>
      </c>
      <c r="J524" s="11" t="s">
        <v>69</v>
      </c>
      <c r="K524" s="14"/>
      <c r="L524" s="14"/>
      <c r="M524" s="11"/>
      <c r="N524" s="12"/>
      <c r="O524" s="11"/>
      <c r="P524" s="11"/>
      <c r="Q524" s="1">
        <v>520</v>
      </c>
      <c r="R524" s="1"/>
      <c r="S524" s="3">
        <f>INDEX(Locations!$D$6:$D$455,MATCH(B524,Locations!$A$6:$A$455,0))</f>
        <v>42.733049165540898</v>
      </c>
      <c r="T524" s="3">
        <f>INDEX(Locations!$E$6:$E$455,MATCH(B524,Locations!$A$6:$A$455,0))</f>
        <v>-73.665961764014298</v>
      </c>
      <c r="U524" s="3">
        <f>INDEX(Locations!$D$6:$D$455,MATCH(C524,Locations!$A$6:$A$455,0))</f>
        <v>42.7335997823279</v>
      </c>
      <c r="V524" s="3">
        <f>INDEX(Locations!$E$6:$E$455,MATCH(C524,Locations!$A$6:$A$455,0))</f>
        <v>-73.665859899263296</v>
      </c>
    </row>
    <row r="525" spans="1:22" ht="23.1" customHeight="1">
      <c r="A525" s="1" t="s">
        <v>1133</v>
      </c>
      <c r="B525" s="1" t="s">
        <v>169</v>
      </c>
      <c r="C525" s="1" t="s">
        <v>550</v>
      </c>
      <c r="D525" s="1" t="s">
        <v>612</v>
      </c>
      <c r="E525" s="13">
        <f t="shared" si="8"/>
        <v>39.548980208044398</v>
      </c>
      <c r="F525" s="11" t="s">
        <v>70</v>
      </c>
      <c r="G525" s="11" t="s">
        <v>69</v>
      </c>
      <c r="H525" s="11" t="s">
        <v>69</v>
      </c>
      <c r="I525" s="11" t="s">
        <v>69</v>
      </c>
      <c r="J525" s="11" t="s">
        <v>69</v>
      </c>
      <c r="K525" s="14"/>
      <c r="L525" s="14"/>
      <c r="M525" s="11"/>
      <c r="N525" s="12"/>
      <c r="O525" s="11"/>
      <c r="P525" s="11"/>
      <c r="Q525" s="1">
        <v>521</v>
      </c>
      <c r="R525" s="1"/>
      <c r="S525" s="3">
        <f>INDEX(Locations!$D$6:$D$455,MATCH(B525,Locations!$A$6:$A$455,0))</f>
        <v>42.734249293852002</v>
      </c>
      <c r="T525" s="3">
        <f>INDEX(Locations!$E$6:$E$455,MATCH(B525,Locations!$A$6:$A$455,0))</f>
        <v>-73.6631980548119</v>
      </c>
      <c r="U525" s="3">
        <f>INDEX(Locations!$D$6:$D$455,MATCH(C525,Locations!$A$6:$A$455,0))</f>
        <v>42.733927393568599</v>
      </c>
      <c r="V525" s="3">
        <f>INDEX(Locations!$E$6:$E$455,MATCH(C525,Locations!$A$6:$A$455,0))</f>
        <v>-73.663404003780798</v>
      </c>
    </row>
    <row r="526" spans="1:22" ht="23.1" customHeight="1">
      <c r="A526" s="1" t="s">
        <v>1134</v>
      </c>
      <c r="B526" s="1" t="s">
        <v>543</v>
      </c>
      <c r="C526" s="1" t="s">
        <v>550</v>
      </c>
      <c r="D526" s="1" t="s">
        <v>612</v>
      </c>
      <c r="E526" s="13">
        <f t="shared" si="8"/>
        <v>165.00851478492956</v>
      </c>
      <c r="F526" s="11" t="s">
        <v>70</v>
      </c>
      <c r="G526" s="11" t="s">
        <v>69</v>
      </c>
      <c r="H526" s="11" t="s">
        <v>69</v>
      </c>
      <c r="I526" s="11" t="s">
        <v>69</v>
      </c>
      <c r="J526" s="11" t="s">
        <v>69</v>
      </c>
      <c r="K526" s="14"/>
      <c r="L526" s="14"/>
      <c r="M526" s="11"/>
      <c r="N526" s="12"/>
      <c r="O526" s="11"/>
      <c r="P526" s="11"/>
      <c r="Q526" s="1">
        <v>522</v>
      </c>
      <c r="R526" s="1"/>
      <c r="S526" s="3">
        <f>INDEX(Locations!$D$6:$D$455,MATCH(B526,Locations!$A$6:$A$455,0))</f>
        <v>42.732828459020801</v>
      </c>
      <c r="T526" s="3">
        <f>INDEX(Locations!$E$6:$E$455,MATCH(B526,Locations!$A$6:$A$455,0))</f>
        <v>-73.664761669915904</v>
      </c>
      <c r="U526" s="3">
        <f>INDEX(Locations!$D$6:$D$455,MATCH(C526,Locations!$A$6:$A$455,0))</f>
        <v>42.733927393568599</v>
      </c>
      <c r="V526" s="3">
        <f>INDEX(Locations!$E$6:$E$455,MATCH(C526,Locations!$A$6:$A$455,0))</f>
        <v>-73.663404003780798</v>
      </c>
    </row>
    <row r="527" spans="1:22" ht="23.1" customHeight="1">
      <c r="A527" s="1" t="s">
        <v>1135</v>
      </c>
      <c r="B527" s="1" t="s">
        <v>195</v>
      </c>
      <c r="C527" s="1" t="s">
        <v>551</v>
      </c>
      <c r="D527" s="1" t="s">
        <v>612</v>
      </c>
      <c r="E527" s="13">
        <f t="shared" si="8"/>
        <v>39.07951720651176</v>
      </c>
      <c r="F527" s="11" t="s">
        <v>70</v>
      </c>
      <c r="G527" s="11" t="s">
        <v>69</v>
      </c>
      <c r="H527" s="11" t="s">
        <v>69</v>
      </c>
      <c r="I527" s="11" t="s">
        <v>69</v>
      </c>
      <c r="J527" s="11" t="s">
        <v>69</v>
      </c>
      <c r="K527" s="14"/>
      <c r="L527" s="14"/>
      <c r="M527" s="11"/>
      <c r="N527" s="12"/>
      <c r="O527" s="11"/>
      <c r="P527" s="11"/>
      <c r="Q527" s="1">
        <v>523</v>
      </c>
      <c r="R527" s="1"/>
      <c r="S527" s="3">
        <f>INDEX(Locations!$D$6:$D$455,MATCH(B527,Locations!$A$6:$A$455,0))</f>
        <v>42.733731251557401</v>
      </c>
      <c r="T527" s="3">
        <f>INDEX(Locations!$E$6:$E$455,MATCH(B527,Locations!$A$6:$A$455,0))</f>
        <v>-73.664908273045498</v>
      </c>
      <c r="U527" s="3">
        <f>INDEX(Locations!$D$6:$D$455,MATCH(C527,Locations!$A$6:$A$455,0))</f>
        <v>42.7334032155835</v>
      </c>
      <c r="V527" s="3">
        <f>INDEX(Locations!$E$6:$E$455,MATCH(C527,Locations!$A$6:$A$455,0))</f>
        <v>-73.665079997263007</v>
      </c>
    </row>
    <row r="528" spans="1:22" ht="23.1" customHeight="1">
      <c r="A528" s="1" t="s">
        <v>1136</v>
      </c>
      <c r="B528" s="1" t="s">
        <v>545</v>
      </c>
      <c r="C528" s="1" t="s">
        <v>551</v>
      </c>
      <c r="D528" s="1" t="s">
        <v>612</v>
      </c>
      <c r="E528" s="13">
        <f t="shared" si="8"/>
        <v>65.9899280262578</v>
      </c>
      <c r="F528" s="11" t="s">
        <v>70</v>
      </c>
      <c r="G528" s="11" t="s">
        <v>69</v>
      </c>
      <c r="H528" s="11" t="s">
        <v>69</v>
      </c>
      <c r="I528" s="11" t="s">
        <v>69</v>
      </c>
      <c r="J528" s="11" t="s">
        <v>69</v>
      </c>
      <c r="K528" s="14"/>
      <c r="L528" s="14"/>
      <c r="M528" s="11"/>
      <c r="N528" s="12"/>
      <c r="O528" s="11"/>
      <c r="P528" s="11"/>
      <c r="Q528" s="1">
        <v>524</v>
      </c>
      <c r="R528" s="1"/>
      <c r="S528" s="3">
        <f>INDEX(Locations!$D$6:$D$455,MATCH(B528,Locations!$A$6:$A$455,0))</f>
        <v>42.733012381120901</v>
      </c>
      <c r="T528" s="3">
        <f>INDEX(Locations!$E$6:$E$455,MATCH(B528,Locations!$A$6:$A$455,0))</f>
        <v>-73.665688002495898</v>
      </c>
      <c r="U528" s="3">
        <f>INDEX(Locations!$D$6:$D$455,MATCH(C528,Locations!$A$6:$A$455,0))</f>
        <v>42.7334032155835</v>
      </c>
      <c r="V528" s="3">
        <f>INDEX(Locations!$E$6:$E$455,MATCH(C528,Locations!$A$6:$A$455,0))</f>
        <v>-73.665079997263007</v>
      </c>
    </row>
    <row r="529" spans="1:22" ht="23.1" customHeight="1">
      <c r="A529" s="1" t="s">
        <v>1137</v>
      </c>
      <c r="B529" s="1" t="s">
        <v>554</v>
      </c>
      <c r="C529" s="1" t="s">
        <v>553</v>
      </c>
      <c r="D529" s="1" t="s">
        <v>612</v>
      </c>
      <c r="E529" s="13">
        <f t="shared" si="8"/>
        <v>44.211962573367863</v>
      </c>
      <c r="F529" s="11" t="s">
        <v>70</v>
      </c>
      <c r="G529" s="11" t="s">
        <v>69</v>
      </c>
      <c r="H529" s="11" t="s">
        <v>69</v>
      </c>
      <c r="I529" s="11" t="s">
        <v>69</v>
      </c>
      <c r="J529" s="11" t="s">
        <v>69</v>
      </c>
      <c r="K529" s="14"/>
      <c r="L529" s="14"/>
      <c r="M529" s="11"/>
      <c r="N529" s="12"/>
      <c r="O529" s="11"/>
      <c r="P529" s="11"/>
      <c r="Q529" s="1">
        <v>525</v>
      </c>
      <c r="R529" s="1"/>
      <c r="S529" s="3">
        <f>INDEX(Locations!$D$6:$D$455,MATCH(B529,Locations!$A$6:$A$455,0))</f>
        <v>42.734652736350697</v>
      </c>
      <c r="T529" s="3">
        <f>INDEX(Locations!$E$6:$E$455,MATCH(B529,Locations!$A$6:$A$455,0))</f>
        <v>-73.664395593466807</v>
      </c>
      <c r="U529" s="3">
        <f>INDEX(Locations!$D$6:$D$455,MATCH(C529,Locations!$A$6:$A$455,0))</f>
        <v>42.734260752375</v>
      </c>
      <c r="V529" s="3">
        <f>INDEX(Locations!$E$6:$E$455,MATCH(C529,Locations!$A$6:$A$455,0))</f>
        <v>-73.664486316760701</v>
      </c>
    </row>
    <row r="530" spans="1:22" ht="23.1" customHeight="1">
      <c r="A530" s="1" t="s">
        <v>1138</v>
      </c>
      <c r="B530" s="1" t="s">
        <v>195</v>
      </c>
      <c r="C530" s="1" t="s">
        <v>552</v>
      </c>
      <c r="D530" s="1" t="s">
        <v>612</v>
      </c>
      <c r="E530" s="13">
        <f t="shared" si="8"/>
        <v>22.656978301176149</v>
      </c>
      <c r="F530" s="11" t="s">
        <v>70</v>
      </c>
      <c r="G530" s="11" t="s">
        <v>69</v>
      </c>
      <c r="H530" s="11" t="s">
        <v>69</v>
      </c>
      <c r="I530" s="11" t="s">
        <v>69</v>
      </c>
      <c r="J530" s="11" t="s">
        <v>69</v>
      </c>
      <c r="K530" s="14"/>
      <c r="L530" s="14"/>
      <c r="M530" s="11"/>
      <c r="N530" s="12"/>
      <c r="O530" s="11"/>
      <c r="P530" s="11"/>
      <c r="Q530" s="1">
        <v>526</v>
      </c>
      <c r="R530" s="1"/>
      <c r="S530" s="3">
        <f>INDEX(Locations!$D$6:$D$455,MATCH(B530,Locations!$A$6:$A$455,0))</f>
        <v>42.733731251557401</v>
      </c>
      <c r="T530" s="3">
        <f>INDEX(Locations!$E$6:$E$455,MATCH(B530,Locations!$A$6:$A$455,0))</f>
        <v>-73.664908273045498</v>
      </c>
      <c r="U530" s="3">
        <f>INDEX(Locations!$D$6:$D$455,MATCH(C530,Locations!$A$6:$A$455,0))</f>
        <v>42.733931991621098</v>
      </c>
      <c r="V530" s="3">
        <f>INDEX(Locations!$E$6:$E$455,MATCH(C530,Locations!$A$6:$A$455,0))</f>
        <v>-73.664955849597604</v>
      </c>
    </row>
    <row r="531" spans="1:22" ht="23.1" customHeight="1">
      <c r="A531" s="1" t="s">
        <v>1139</v>
      </c>
      <c r="B531" s="1" t="s">
        <v>553</v>
      </c>
      <c r="C531" s="1" t="s">
        <v>552</v>
      </c>
      <c r="D531" s="1" t="s">
        <v>612</v>
      </c>
      <c r="E531" s="13">
        <f t="shared" si="8"/>
        <v>52.981059196524477</v>
      </c>
      <c r="F531" s="11" t="s">
        <v>70</v>
      </c>
      <c r="G531" s="11" t="s">
        <v>69</v>
      </c>
      <c r="H531" s="11" t="s">
        <v>69</v>
      </c>
      <c r="I531" s="11" t="s">
        <v>69</v>
      </c>
      <c r="J531" s="11" t="s">
        <v>69</v>
      </c>
      <c r="K531" s="14"/>
      <c r="L531" s="14"/>
      <c r="M531" s="11"/>
      <c r="N531" s="12"/>
      <c r="O531" s="11"/>
      <c r="P531" s="11"/>
      <c r="Q531" s="1">
        <v>527</v>
      </c>
      <c r="R531" s="1"/>
      <c r="S531" s="3">
        <f>INDEX(Locations!$D$6:$D$455,MATCH(B531,Locations!$A$6:$A$455,0))</f>
        <v>42.734260752375</v>
      </c>
      <c r="T531" s="3">
        <f>INDEX(Locations!$E$6:$E$455,MATCH(B531,Locations!$A$6:$A$455,0))</f>
        <v>-73.664486316760701</v>
      </c>
      <c r="U531" s="3">
        <f>INDEX(Locations!$D$6:$D$455,MATCH(C531,Locations!$A$6:$A$455,0))</f>
        <v>42.733931991621098</v>
      </c>
      <c r="V531" s="3">
        <f>INDEX(Locations!$E$6:$E$455,MATCH(C531,Locations!$A$6:$A$455,0))</f>
        <v>-73.664955849597604</v>
      </c>
    </row>
    <row r="532" spans="1:22" ht="23.1" customHeight="1">
      <c r="A532" s="1" t="s">
        <v>1140</v>
      </c>
      <c r="B532" s="1" t="s">
        <v>555</v>
      </c>
      <c r="C532" s="1" t="s">
        <v>169</v>
      </c>
      <c r="D532" s="1" t="s">
        <v>612</v>
      </c>
      <c r="E532" s="13">
        <f t="shared" si="8"/>
        <v>25.82985189144047</v>
      </c>
      <c r="F532" s="11" t="s">
        <v>70</v>
      </c>
      <c r="G532" s="11" t="s">
        <v>69</v>
      </c>
      <c r="H532" s="11" t="s">
        <v>69</v>
      </c>
      <c r="I532" s="11" t="s">
        <v>69</v>
      </c>
      <c r="J532" s="11" t="s">
        <v>69</v>
      </c>
      <c r="K532" s="14"/>
      <c r="L532" s="14"/>
      <c r="M532" s="11"/>
      <c r="N532" s="12"/>
      <c r="O532" s="11"/>
      <c r="P532" s="11"/>
      <c r="Q532" s="1">
        <v>528</v>
      </c>
      <c r="R532" s="1"/>
      <c r="S532" s="3">
        <f>INDEX(Locations!$D$6:$D$455,MATCH(B532,Locations!$A$6:$A$455,0))</f>
        <v>42.734481458894997</v>
      </c>
      <c r="T532" s="3">
        <f>INDEX(Locations!$E$6:$E$455,MATCH(B532,Locations!$A$6:$A$455,0))</f>
        <v>-73.663187541184797</v>
      </c>
      <c r="U532" s="3">
        <f>INDEX(Locations!$D$6:$D$455,MATCH(C532,Locations!$A$6:$A$455,0))</f>
        <v>42.734249293852002</v>
      </c>
      <c r="V532" s="3">
        <f>INDEX(Locations!$E$6:$E$455,MATCH(C532,Locations!$A$6:$A$455,0))</f>
        <v>-73.6631980548119</v>
      </c>
    </row>
    <row r="533" spans="1:22" ht="23.1" customHeight="1">
      <c r="A533" s="1" t="s">
        <v>1141</v>
      </c>
      <c r="B533" s="1" t="s">
        <v>554</v>
      </c>
      <c r="C533" s="1" t="s">
        <v>555</v>
      </c>
      <c r="D533" s="1" t="s">
        <v>612</v>
      </c>
      <c r="E533" s="13">
        <f t="shared" si="8"/>
        <v>100.48688787823698</v>
      </c>
      <c r="F533" s="11" t="s">
        <v>70</v>
      </c>
      <c r="G533" s="11" t="s">
        <v>69</v>
      </c>
      <c r="H533" s="11" t="s">
        <v>69</v>
      </c>
      <c r="I533" s="11" t="s">
        <v>69</v>
      </c>
      <c r="J533" s="11" t="s">
        <v>69</v>
      </c>
      <c r="K533" s="14"/>
      <c r="L533" s="14"/>
      <c r="M533" s="11"/>
      <c r="N533" s="12"/>
      <c r="O533" s="11"/>
      <c r="P533" s="11"/>
      <c r="Q533" s="1">
        <v>529</v>
      </c>
      <c r="R533" s="1"/>
      <c r="S533" s="3">
        <f>INDEX(Locations!$D$6:$D$455,MATCH(B533,Locations!$A$6:$A$455,0))</f>
        <v>42.734652736350697</v>
      </c>
      <c r="T533" s="3">
        <f>INDEX(Locations!$E$6:$E$455,MATCH(B533,Locations!$A$6:$A$455,0))</f>
        <v>-73.664395593466807</v>
      </c>
      <c r="U533" s="3">
        <f>INDEX(Locations!$D$6:$D$455,MATCH(C533,Locations!$A$6:$A$455,0))</f>
        <v>42.734481458894997</v>
      </c>
      <c r="V533" s="3">
        <f>INDEX(Locations!$E$6:$E$455,MATCH(C533,Locations!$A$6:$A$455,0))</f>
        <v>-73.663187541184797</v>
      </c>
    </row>
    <row r="534" spans="1:22" ht="23.1" customHeight="1">
      <c r="A534" s="1" t="s">
        <v>1142</v>
      </c>
      <c r="B534" s="1" t="s">
        <v>556</v>
      </c>
      <c r="C534" s="1" t="s">
        <v>554</v>
      </c>
      <c r="D534" s="1" t="s">
        <v>612</v>
      </c>
      <c r="E534" s="13">
        <f t="shared" si="8"/>
        <v>104.31531923516538</v>
      </c>
      <c r="F534" s="11" t="s">
        <v>70</v>
      </c>
      <c r="G534" s="11" t="s">
        <v>69</v>
      </c>
      <c r="H534" s="11" t="s">
        <v>69</v>
      </c>
      <c r="I534" s="11" t="s">
        <v>69</v>
      </c>
      <c r="J534" s="11" t="s">
        <v>69</v>
      </c>
      <c r="K534" s="14"/>
      <c r="L534" s="14"/>
      <c r="M534" s="11"/>
      <c r="N534" s="12"/>
      <c r="O534" s="11"/>
      <c r="P534" s="11"/>
      <c r="Q534" s="1">
        <v>530</v>
      </c>
      <c r="R534" s="1"/>
      <c r="S534" s="3">
        <f>INDEX(Locations!$D$6:$D$455,MATCH(B534,Locations!$A$6:$A$455,0))</f>
        <v>42.7355872905216</v>
      </c>
      <c r="T534" s="3">
        <f>INDEX(Locations!$E$6:$E$455,MATCH(B534,Locations!$A$6:$A$455,0))</f>
        <v>-73.6642841788954</v>
      </c>
      <c r="U534" s="3">
        <f>INDEX(Locations!$D$6:$D$455,MATCH(C534,Locations!$A$6:$A$455,0))</f>
        <v>42.734652736350697</v>
      </c>
      <c r="V534" s="3">
        <f>INDEX(Locations!$E$6:$E$455,MATCH(C534,Locations!$A$6:$A$455,0))</f>
        <v>-73.664395593466807</v>
      </c>
    </row>
    <row r="535" spans="1:22" ht="23.1" customHeight="1">
      <c r="A535" s="1" t="s">
        <v>1143</v>
      </c>
      <c r="B535" s="1" t="s">
        <v>564</v>
      </c>
      <c r="C535" s="1" t="s">
        <v>95</v>
      </c>
      <c r="D535" s="1" t="s">
        <v>612</v>
      </c>
      <c r="E535" s="13">
        <f t="shared" si="8"/>
        <v>11.174723282763669</v>
      </c>
      <c r="F535" s="11" t="s">
        <v>70</v>
      </c>
      <c r="G535" s="11" t="s">
        <v>69</v>
      </c>
      <c r="H535" s="11" t="s">
        <v>69</v>
      </c>
      <c r="I535" s="11" t="s">
        <v>69</v>
      </c>
      <c r="J535" s="11" t="s">
        <v>69</v>
      </c>
      <c r="K535" s="14"/>
      <c r="L535" s="14"/>
      <c r="M535" s="11"/>
      <c r="N535" s="12"/>
      <c r="O535" s="11"/>
      <c r="P535" s="11"/>
      <c r="Q535" s="1">
        <v>531</v>
      </c>
      <c r="R535" s="1"/>
      <c r="S535" s="3">
        <f>INDEX(Locations!$D$6:$D$455,MATCH(B535,Locations!$A$6:$A$455,0))</f>
        <v>42.735101046469602</v>
      </c>
      <c r="T535" s="3">
        <f>INDEX(Locations!$E$6:$E$455,MATCH(B535,Locations!$A$6:$A$455,0))</f>
        <v>-73.663897411168705</v>
      </c>
      <c r="U535" s="3">
        <f>INDEX(Locations!$D$6:$D$455,MATCH(C535,Locations!$A$6:$A$455,0))</f>
        <v>42.735001060297499</v>
      </c>
      <c r="V535" s="3">
        <f>INDEX(Locations!$E$6:$E$455,MATCH(C535,Locations!$A$6:$A$455,0))</f>
        <v>-73.663911185077296</v>
      </c>
    </row>
    <row r="536" spans="1:22" ht="23.1" customHeight="1">
      <c r="A536" s="1" t="s">
        <v>1144</v>
      </c>
      <c r="B536" s="1" t="s">
        <v>555</v>
      </c>
      <c r="C536" s="1" t="s">
        <v>565</v>
      </c>
      <c r="D536" s="1" t="s">
        <v>612</v>
      </c>
      <c r="E536" s="13">
        <f t="shared" si="8"/>
        <v>104.73154511276759</v>
      </c>
      <c r="F536" s="11" t="s">
        <v>70</v>
      </c>
      <c r="G536" s="11" t="s">
        <v>69</v>
      </c>
      <c r="H536" s="11" t="s">
        <v>69</v>
      </c>
      <c r="I536" s="11" t="s">
        <v>69</v>
      </c>
      <c r="J536" s="11" t="s">
        <v>69</v>
      </c>
      <c r="K536" s="14"/>
      <c r="L536" s="14"/>
      <c r="M536" s="11"/>
      <c r="N536" s="12"/>
      <c r="O536" s="11"/>
      <c r="P536" s="11"/>
      <c r="Q536" s="1">
        <v>532</v>
      </c>
      <c r="R536" s="1"/>
      <c r="S536" s="3">
        <f>INDEX(Locations!$D$6:$D$455,MATCH(B536,Locations!$A$6:$A$455,0))</f>
        <v>42.734481458894997</v>
      </c>
      <c r="T536" s="3">
        <f>INDEX(Locations!$E$6:$E$455,MATCH(B536,Locations!$A$6:$A$455,0))</f>
        <v>-73.663187541184797</v>
      </c>
      <c r="U536" s="3">
        <f>INDEX(Locations!$D$6:$D$455,MATCH(C536,Locations!$A$6:$A$455,0))</f>
        <v>42.735403368421501</v>
      </c>
      <c r="V536" s="3">
        <f>INDEX(Locations!$E$6:$E$455,MATCH(C536,Locations!$A$6:$A$455,0))</f>
        <v>-73.662924921123405</v>
      </c>
    </row>
    <row r="537" spans="1:22" ht="23.1" customHeight="1">
      <c r="A537" s="1" t="s">
        <v>1145</v>
      </c>
      <c r="B537" s="1" t="s">
        <v>563</v>
      </c>
      <c r="C537" s="1" t="s">
        <v>561</v>
      </c>
      <c r="D537" s="1" t="s">
        <v>612</v>
      </c>
      <c r="E537" s="13">
        <f t="shared" si="8"/>
        <v>37.602557935754945</v>
      </c>
      <c r="F537" s="11" t="s">
        <v>70</v>
      </c>
      <c r="G537" s="11" t="s">
        <v>69</v>
      </c>
      <c r="H537" s="11" t="s">
        <v>69</v>
      </c>
      <c r="I537" s="11" t="s">
        <v>69</v>
      </c>
      <c r="J537" s="11" t="s">
        <v>69</v>
      </c>
      <c r="K537" s="14"/>
      <c r="L537" s="14"/>
      <c r="M537" s="11"/>
      <c r="N537" s="12"/>
      <c r="O537" s="11"/>
      <c r="P537" s="11"/>
      <c r="Q537" s="1">
        <v>533</v>
      </c>
      <c r="R537" s="1"/>
      <c r="S537" s="3">
        <f>INDEX(Locations!$D$6:$D$455,MATCH(B537,Locations!$A$6:$A$455,0))</f>
        <v>42.7349665534339</v>
      </c>
      <c r="T537" s="3">
        <f>INDEX(Locations!$E$6:$E$455,MATCH(B537,Locations!$A$6:$A$455,0))</f>
        <v>-73.663364212862405</v>
      </c>
      <c r="U537" s="3">
        <f>INDEX(Locations!$D$6:$D$455,MATCH(C537,Locations!$A$6:$A$455,0))</f>
        <v>42.735291865648399</v>
      </c>
      <c r="V537" s="3">
        <f>INDEX(Locations!$E$6:$E$455,MATCH(C537,Locations!$A$6:$A$455,0))</f>
        <v>-73.663238473560298</v>
      </c>
    </row>
    <row r="538" spans="1:22" ht="23.1" customHeight="1">
      <c r="A538" s="1" t="s">
        <v>1146</v>
      </c>
      <c r="B538" s="1" t="s">
        <v>564</v>
      </c>
      <c r="C538" s="1" t="s">
        <v>563</v>
      </c>
      <c r="D538" s="1" t="s">
        <v>612</v>
      </c>
      <c r="E538" s="13">
        <f t="shared" si="8"/>
        <v>46.044045846354614</v>
      </c>
      <c r="F538" s="11" t="s">
        <v>70</v>
      </c>
      <c r="G538" s="11" t="s">
        <v>69</v>
      </c>
      <c r="H538" s="11" t="s">
        <v>69</v>
      </c>
      <c r="I538" s="11" t="s">
        <v>69</v>
      </c>
      <c r="J538" s="11" t="s">
        <v>69</v>
      </c>
      <c r="K538" s="14"/>
      <c r="L538" s="14"/>
      <c r="M538" s="11"/>
      <c r="N538" s="12"/>
      <c r="O538" s="11"/>
      <c r="P538" s="11"/>
      <c r="Q538" s="1">
        <v>534</v>
      </c>
      <c r="R538" s="1"/>
      <c r="S538" s="3">
        <f>INDEX(Locations!$D$6:$D$455,MATCH(B538,Locations!$A$6:$A$455,0))</f>
        <v>42.735101046469602</v>
      </c>
      <c r="T538" s="3">
        <f>INDEX(Locations!$E$6:$E$455,MATCH(B538,Locations!$A$6:$A$455,0))</f>
        <v>-73.663897411168705</v>
      </c>
      <c r="U538" s="3">
        <f>INDEX(Locations!$D$6:$D$455,MATCH(C538,Locations!$A$6:$A$455,0))</f>
        <v>42.7349665534339</v>
      </c>
      <c r="V538" s="3">
        <f>INDEX(Locations!$E$6:$E$455,MATCH(C538,Locations!$A$6:$A$455,0))</f>
        <v>-73.663364212862405</v>
      </c>
    </row>
    <row r="539" spans="1:22" ht="23.1" customHeight="1">
      <c r="A539" s="1" t="s">
        <v>1147</v>
      </c>
      <c r="B539" s="1" t="s">
        <v>559</v>
      </c>
      <c r="C539" s="1" t="s">
        <v>564</v>
      </c>
      <c r="D539" s="1" t="s">
        <v>612</v>
      </c>
      <c r="E539" s="13">
        <f t="shared" si="8"/>
        <v>31.0039312276276</v>
      </c>
      <c r="F539" s="11" t="s">
        <v>70</v>
      </c>
      <c r="G539" s="11" t="s">
        <v>69</v>
      </c>
      <c r="H539" s="11" t="s">
        <v>69</v>
      </c>
      <c r="I539" s="11" t="s">
        <v>69</v>
      </c>
      <c r="J539" s="11" t="s">
        <v>69</v>
      </c>
      <c r="K539" s="14"/>
      <c r="L539" s="14"/>
      <c r="M539" s="11"/>
      <c r="N539" s="12"/>
      <c r="O539" s="11"/>
      <c r="P539" s="11"/>
      <c r="Q539" s="1">
        <v>535</v>
      </c>
      <c r="R539" s="1"/>
      <c r="S539" s="3">
        <f>INDEX(Locations!$D$6:$D$455,MATCH(B539,Locations!$A$6:$A$455,0))</f>
        <v>42.735378079132801</v>
      </c>
      <c r="T539" s="3">
        <f>INDEX(Locations!$E$6:$E$455,MATCH(B539,Locations!$A$6:$A$455,0))</f>
        <v>-73.663854436976806</v>
      </c>
      <c r="U539" s="3">
        <f>INDEX(Locations!$D$6:$D$455,MATCH(C539,Locations!$A$6:$A$455,0))</f>
        <v>42.735101046469602</v>
      </c>
      <c r="V539" s="3">
        <f>INDEX(Locations!$E$6:$E$455,MATCH(C539,Locations!$A$6:$A$455,0))</f>
        <v>-73.663897411168705</v>
      </c>
    </row>
    <row r="540" spans="1:22" ht="23.1" customHeight="1">
      <c r="A540" s="1" t="s">
        <v>1148</v>
      </c>
      <c r="B540" s="1" t="s">
        <v>562</v>
      </c>
      <c r="C540" s="1" t="s">
        <v>557</v>
      </c>
      <c r="D540" s="1" t="s">
        <v>612</v>
      </c>
      <c r="E540" s="13">
        <f t="shared" si="8"/>
        <v>19.846368731302704</v>
      </c>
      <c r="F540" s="11" t="s">
        <v>70</v>
      </c>
      <c r="G540" s="11" t="s">
        <v>69</v>
      </c>
      <c r="H540" s="11" t="s">
        <v>69</v>
      </c>
      <c r="I540" s="11" t="s">
        <v>69</v>
      </c>
      <c r="J540" s="11" t="s">
        <v>69</v>
      </c>
      <c r="K540" s="14"/>
      <c r="L540" s="14"/>
      <c r="M540" s="11"/>
      <c r="N540" s="12"/>
      <c r="O540" s="11"/>
      <c r="P540" s="11"/>
      <c r="Q540" s="1">
        <v>536</v>
      </c>
      <c r="R540" s="1"/>
      <c r="S540" s="3">
        <f>INDEX(Locations!$D$6:$D$455,MATCH(B540,Locations!$A$6:$A$455,0))</f>
        <v>42.735338995686497</v>
      </c>
      <c r="T540" s="3">
        <f>INDEX(Locations!$E$6:$E$455,MATCH(B540,Locations!$A$6:$A$455,0))</f>
        <v>-73.663561575817596</v>
      </c>
      <c r="U540" s="3">
        <f>INDEX(Locations!$D$6:$D$455,MATCH(C540,Locations!$A$6:$A$455,0))</f>
        <v>42.735514871194702</v>
      </c>
      <c r="V540" s="3">
        <f>INDEX(Locations!$E$6:$E$455,MATCH(C540,Locations!$A$6:$A$455,0))</f>
        <v>-73.6635201932624</v>
      </c>
    </row>
    <row r="541" spans="1:22" ht="23.1" customHeight="1">
      <c r="A541" s="1" t="s">
        <v>1149</v>
      </c>
      <c r="B541" s="1" t="s">
        <v>558</v>
      </c>
      <c r="C541" s="1" t="s">
        <v>559</v>
      </c>
      <c r="D541" s="1" t="s">
        <v>612</v>
      </c>
      <c r="E541" s="13">
        <f t="shared" si="8"/>
        <v>16.98454167097238</v>
      </c>
      <c r="F541" s="11" t="s">
        <v>70</v>
      </c>
      <c r="G541" s="11" t="s">
        <v>69</v>
      </c>
      <c r="H541" s="11" t="s">
        <v>69</v>
      </c>
      <c r="I541" s="11" t="s">
        <v>69</v>
      </c>
      <c r="J541" s="11" t="s">
        <v>69</v>
      </c>
      <c r="K541" s="14"/>
      <c r="L541" s="14"/>
      <c r="M541" s="11"/>
      <c r="N541" s="12"/>
      <c r="O541" s="11"/>
      <c r="P541" s="11"/>
      <c r="Q541" s="1">
        <v>537</v>
      </c>
      <c r="R541" s="1"/>
      <c r="S541" s="3">
        <f>INDEX(Locations!$D$6:$D$455,MATCH(B541,Locations!$A$6:$A$455,0))</f>
        <v>42.735529814865302</v>
      </c>
      <c r="T541" s="3">
        <f>INDEX(Locations!$E$6:$E$455,MATCH(B541,Locations!$A$6:$A$455,0))</f>
        <v>-73.663830562425801</v>
      </c>
      <c r="U541" s="3">
        <f>INDEX(Locations!$D$6:$D$455,MATCH(C541,Locations!$A$6:$A$455,0))</f>
        <v>42.735378079132801</v>
      </c>
      <c r="V541" s="3">
        <f>INDEX(Locations!$E$6:$E$455,MATCH(C541,Locations!$A$6:$A$455,0))</f>
        <v>-73.663854436976806</v>
      </c>
    </row>
    <row r="542" spans="1:22" ht="23.1" customHeight="1">
      <c r="A542" s="1" t="s">
        <v>1150</v>
      </c>
      <c r="B542" s="1" t="s">
        <v>558</v>
      </c>
      <c r="C542" s="1" t="s">
        <v>557</v>
      </c>
      <c r="D542" s="1" t="s">
        <v>612</v>
      </c>
      <c r="E542" s="13">
        <f t="shared" si="8"/>
        <v>25.402877328230609</v>
      </c>
      <c r="F542" s="11" t="s">
        <v>70</v>
      </c>
      <c r="G542" s="11" t="s">
        <v>69</v>
      </c>
      <c r="H542" s="11" t="s">
        <v>69</v>
      </c>
      <c r="I542" s="11" t="s">
        <v>69</v>
      </c>
      <c r="J542" s="11" t="s">
        <v>69</v>
      </c>
      <c r="K542" s="14"/>
      <c r="L542" s="14"/>
      <c r="M542" s="11"/>
      <c r="N542" s="12"/>
      <c r="O542" s="11"/>
      <c r="P542" s="11"/>
      <c r="Q542" s="1">
        <v>538</v>
      </c>
      <c r="R542" s="1"/>
      <c r="S542" s="3">
        <f>INDEX(Locations!$D$6:$D$455,MATCH(B542,Locations!$A$6:$A$455,0))</f>
        <v>42.735529814865302</v>
      </c>
      <c r="T542" s="3">
        <f>INDEX(Locations!$E$6:$E$455,MATCH(B542,Locations!$A$6:$A$455,0))</f>
        <v>-73.663830562425801</v>
      </c>
      <c r="U542" s="3">
        <f>INDEX(Locations!$D$6:$D$455,MATCH(C542,Locations!$A$6:$A$455,0))</f>
        <v>42.735514871194702</v>
      </c>
      <c r="V542" s="3">
        <f>INDEX(Locations!$E$6:$E$455,MATCH(C542,Locations!$A$6:$A$455,0))</f>
        <v>-73.6635201932624</v>
      </c>
    </row>
    <row r="543" spans="1:22" ht="23.1" customHeight="1">
      <c r="A543" s="1" t="s">
        <v>1151</v>
      </c>
      <c r="B543" s="1" t="s">
        <v>560</v>
      </c>
      <c r="C543" s="1" t="s">
        <v>561</v>
      </c>
      <c r="D543" s="1" t="s">
        <v>612</v>
      </c>
      <c r="E543" s="13">
        <f t="shared" si="8"/>
        <v>16.32086757920754</v>
      </c>
      <c r="F543" s="11" t="s">
        <v>70</v>
      </c>
      <c r="G543" s="11" t="s">
        <v>69</v>
      </c>
      <c r="H543" s="11" t="s">
        <v>69</v>
      </c>
      <c r="I543" s="11" t="s">
        <v>69</v>
      </c>
      <c r="J543" s="11" t="s">
        <v>69</v>
      </c>
      <c r="K543" s="14"/>
      <c r="L543" s="14"/>
      <c r="M543" s="11"/>
      <c r="N543" s="12"/>
      <c r="O543" s="11"/>
      <c r="P543" s="11"/>
      <c r="Q543" s="1">
        <v>539</v>
      </c>
      <c r="R543" s="1"/>
      <c r="S543" s="3">
        <f>INDEX(Locations!$D$6:$D$455,MATCH(B543,Locations!$A$6:$A$455,0))</f>
        <v>42.735437853815299</v>
      </c>
      <c r="T543" s="3">
        <f>INDEX(Locations!$E$6:$E$455,MATCH(B543,Locations!$A$6:$A$455,0))</f>
        <v>-73.6632177822827</v>
      </c>
      <c r="U543" s="3">
        <f>INDEX(Locations!$D$6:$D$455,MATCH(C543,Locations!$A$6:$A$455,0))</f>
        <v>42.735291865648399</v>
      </c>
      <c r="V543" s="3">
        <f>INDEX(Locations!$E$6:$E$455,MATCH(C543,Locations!$A$6:$A$455,0))</f>
        <v>-73.663238473560298</v>
      </c>
    </row>
    <row r="544" spans="1:22" ht="23.1" customHeight="1">
      <c r="A544" s="1" t="s">
        <v>1152</v>
      </c>
      <c r="B544" s="1" t="s">
        <v>565</v>
      </c>
      <c r="C544" s="1" t="s">
        <v>560</v>
      </c>
      <c r="D544" s="1" t="s">
        <v>612</v>
      </c>
      <c r="E544" s="13">
        <f t="shared" si="8"/>
        <v>24.224027166598272</v>
      </c>
      <c r="F544" s="11" t="s">
        <v>70</v>
      </c>
      <c r="G544" s="11" t="s">
        <v>69</v>
      </c>
      <c r="H544" s="11" t="s">
        <v>69</v>
      </c>
      <c r="I544" s="11" t="s">
        <v>69</v>
      </c>
      <c r="J544" s="11" t="s">
        <v>69</v>
      </c>
      <c r="K544" s="14"/>
      <c r="L544" s="14"/>
      <c r="M544" s="11"/>
      <c r="N544" s="12"/>
      <c r="O544" s="11"/>
      <c r="P544" s="11"/>
      <c r="Q544" s="1">
        <v>540</v>
      </c>
      <c r="R544" s="1"/>
      <c r="S544" s="3">
        <f>INDEX(Locations!$D$6:$D$455,MATCH(B544,Locations!$A$6:$A$455,0))</f>
        <v>42.735403368421501</v>
      </c>
      <c r="T544" s="3">
        <f>INDEX(Locations!$E$6:$E$455,MATCH(B544,Locations!$A$6:$A$455,0))</f>
        <v>-73.662924921123405</v>
      </c>
      <c r="U544" s="3">
        <f>INDEX(Locations!$D$6:$D$455,MATCH(C544,Locations!$A$6:$A$455,0))</f>
        <v>42.735437853815299</v>
      </c>
      <c r="V544" s="3">
        <f>INDEX(Locations!$E$6:$E$455,MATCH(C544,Locations!$A$6:$A$455,0))</f>
        <v>-73.6632177822827</v>
      </c>
    </row>
    <row r="545" spans="1:22" ht="23.1" customHeight="1">
      <c r="A545" s="1" t="s">
        <v>1153</v>
      </c>
      <c r="B545" s="1" t="s">
        <v>557</v>
      </c>
      <c r="C545" s="1" t="s">
        <v>560</v>
      </c>
      <c r="D545" s="1" t="s">
        <v>612</v>
      </c>
      <c r="E545" s="13">
        <f t="shared" si="8"/>
        <v>26.141126339150158</v>
      </c>
      <c r="F545" s="11" t="s">
        <v>70</v>
      </c>
      <c r="G545" s="11" t="s">
        <v>69</v>
      </c>
      <c r="H545" s="11" t="s">
        <v>69</v>
      </c>
      <c r="I545" s="11" t="s">
        <v>69</v>
      </c>
      <c r="J545" s="11" t="s">
        <v>69</v>
      </c>
      <c r="K545" s="14"/>
      <c r="L545" s="14"/>
      <c r="M545" s="11"/>
      <c r="N545" s="12"/>
      <c r="O545" s="11"/>
      <c r="P545" s="11"/>
      <c r="Q545" s="1">
        <v>541</v>
      </c>
      <c r="R545" s="1"/>
      <c r="S545" s="3">
        <f>INDEX(Locations!$D$6:$D$455,MATCH(B545,Locations!$A$6:$A$455,0))</f>
        <v>42.735514871194702</v>
      </c>
      <c r="T545" s="3">
        <f>INDEX(Locations!$E$6:$E$455,MATCH(B545,Locations!$A$6:$A$455,0))</f>
        <v>-73.6635201932624</v>
      </c>
      <c r="U545" s="3">
        <f>INDEX(Locations!$D$6:$D$455,MATCH(C545,Locations!$A$6:$A$455,0))</f>
        <v>42.735437853815299</v>
      </c>
      <c r="V545" s="3">
        <f>INDEX(Locations!$E$6:$E$455,MATCH(C545,Locations!$A$6:$A$455,0))</f>
        <v>-73.6632177822827</v>
      </c>
    </row>
    <row r="546" spans="1:22" ht="23.1" customHeight="1">
      <c r="A546" s="1" t="s">
        <v>1154</v>
      </c>
      <c r="B546" s="1" t="s">
        <v>558</v>
      </c>
      <c r="C546" s="1" t="s">
        <v>556</v>
      </c>
      <c r="D546" s="1" t="s">
        <v>612</v>
      </c>
      <c r="E546" s="13">
        <f t="shared" si="8"/>
        <v>37.594951520079775</v>
      </c>
      <c r="F546" s="11" t="s">
        <v>70</v>
      </c>
      <c r="G546" s="11" t="s">
        <v>69</v>
      </c>
      <c r="H546" s="11" t="s">
        <v>69</v>
      </c>
      <c r="I546" s="11" t="s">
        <v>69</v>
      </c>
      <c r="J546" s="11" t="s">
        <v>69</v>
      </c>
      <c r="K546" s="14"/>
      <c r="L546" s="14"/>
      <c r="M546" s="11"/>
      <c r="N546" s="12"/>
      <c r="O546" s="11"/>
      <c r="P546" s="11"/>
      <c r="Q546" s="1">
        <v>542</v>
      </c>
      <c r="R546" s="1"/>
      <c r="S546" s="3">
        <f>INDEX(Locations!$D$6:$D$455,MATCH(B546,Locations!$A$6:$A$455,0))</f>
        <v>42.735529814865302</v>
      </c>
      <c r="T546" s="3">
        <f>INDEX(Locations!$E$6:$E$455,MATCH(B546,Locations!$A$6:$A$455,0))</f>
        <v>-73.663830562425801</v>
      </c>
      <c r="U546" s="3">
        <f>INDEX(Locations!$D$6:$D$455,MATCH(C546,Locations!$A$6:$A$455,0))</f>
        <v>42.7355872905216</v>
      </c>
      <c r="V546" s="3">
        <f>INDEX(Locations!$E$6:$E$455,MATCH(C546,Locations!$A$6:$A$455,0))</f>
        <v>-73.6642841788954</v>
      </c>
    </row>
    <row r="547" spans="1:22" ht="23.1" customHeight="1">
      <c r="A547" s="1" t="s">
        <v>1155</v>
      </c>
      <c r="B547" s="1" t="s">
        <v>135</v>
      </c>
      <c r="C547" s="1" t="s">
        <v>566</v>
      </c>
      <c r="D547" s="1" t="s">
        <v>612</v>
      </c>
      <c r="E547" s="13">
        <f t="shared" si="8"/>
        <v>66.154569613959524</v>
      </c>
      <c r="F547" s="11" t="s">
        <v>70</v>
      </c>
      <c r="G547" s="11" t="s">
        <v>69</v>
      </c>
      <c r="H547" s="11" t="s">
        <v>69</v>
      </c>
      <c r="I547" s="11" t="s">
        <v>69</v>
      </c>
      <c r="J547" s="11" t="s">
        <v>69</v>
      </c>
      <c r="K547" s="14"/>
      <c r="L547" s="14"/>
      <c r="M547" s="11"/>
      <c r="N547" s="12"/>
      <c r="O547" s="11"/>
      <c r="P547" s="11"/>
      <c r="Q547" s="1">
        <v>543</v>
      </c>
      <c r="R547" s="1"/>
      <c r="S547" s="3">
        <f>INDEX(Locations!$D$6:$D$455,MATCH(B547,Locations!$A$6:$A$455,0))</f>
        <v>42.733155523838398</v>
      </c>
      <c r="T547" s="3">
        <f>INDEX(Locations!$E$6:$E$455,MATCH(B547,Locations!$A$6:$A$455,0))</f>
        <v>-73.668911091054397</v>
      </c>
      <c r="U547" s="3">
        <f>INDEX(Locations!$D$6:$D$455,MATCH(C547,Locations!$A$6:$A$455,0))</f>
        <v>42.732743395049603</v>
      </c>
      <c r="V547" s="3">
        <f>INDEX(Locations!$E$6:$E$455,MATCH(C547,Locations!$A$6:$A$455,0))</f>
        <v>-73.668326936202902</v>
      </c>
    </row>
    <row r="548" spans="1:22" ht="23.1" customHeight="1">
      <c r="A548" s="1" t="s">
        <v>1156</v>
      </c>
      <c r="B548" s="1" t="s">
        <v>522</v>
      </c>
      <c r="C548" s="1" t="s">
        <v>566</v>
      </c>
      <c r="D548" s="1" t="s">
        <v>612</v>
      </c>
      <c r="E548" s="13">
        <f t="shared" si="8"/>
        <v>38.46907764826971</v>
      </c>
      <c r="F548" s="11" t="s">
        <v>70</v>
      </c>
      <c r="G548" s="11" t="s">
        <v>69</v>
      </c>
      <c r="H548" s="11" t="s">
        <v>69</v>
      </c>
      <c r="I548" s="11" t="s">
        <v>69</v>
      </c>
      <c r="J548" s="11" t="s">
        <v>69</v>
      </c>
      <c r="K548" s="14"/>
      <c r="L548" s="14"/>
      <c r="M548" s="11"/>
      <c r="N548" s="12"/>
      <c r="O548" s="11"/>
      <c r="P548" s="11"/>
      <c r="Q548" s="1">
        <v>544</v>
      </c>
      <c r="R548" s="1"/>
      <c r="S548" s="3">
        <f>INDEX(Locations!$D$6:$D$455,MATCH(B548,Locations!$A$6:$A$455,0))</f>
        <v>42.732426129426997</v>
      </c>
      <c r="T548" s="3">
        <f>INDEX(Locations!$E$6:$E$455,MATCH(B548,Locations!$A$6:$A$455,0))</f>
        <v>-73.668514749337703</v>
      </c>
      <c r="U548" s="3">
        <f>INDEX(Locations!$D$6:$D$455,MATCH(C548,Locations!$A$6:$A$455,0))</f>
        <v>42.732743395049603</v>
      </c>
      <c r="V548" s="3">
        <f>INDEX(Locations!$E$6:$E$455,MATCH(C548,Locations!$A$6:$A$455,0))</f>
        <v>-73.668326936202902</v>
      </c>
    </row>
    <row r="549" spans="1:22" ht="23.1" customHeight="1">
      <c r="A549" s="1" t="s">
        <v>1157</v>
      </c>
      <c r="B549" s="1" t="s">
        <v>567</v>
      </c>
      <c r="C549" s="1" t="s">
        <v>549</v>
      </c>
      <c r="D549" s="1" t="s">
        <v>612</v>
      </c>
      <c r="E549" s="13">
        <f t="shared" si="8"/>
        <v>38.375979531386548</v>
      </c>
      <c r="F549" s="11" t="s">
        <v>70</v>
      </c>
      <c r="G549" s="11" t="s">
        <v>69</v>
      </c>
      <c r="H549" s="11" t="s">
        <v>69</v>
      </c>
      <c r="I549" s="11" t="s">
        <v>69</v>
      </c>
      <c r="J549" s="11" t="s">
        <v>69</v>
      </c>
      <c r="K549" s="14"/>
      <c r="L549" s="14"/>
      <c r="M549" s="11"/>
      <c r="N549" s="12"/>
      <c r="O549" s="11"/>
      <c r="P549" s="11"/>
      <c r="Q549" s="1">
        <v>545</v>
      </c>
      <c r="R549" s="1"/>
      <c r="S549" s="3">
        <f>INDEX(Locations!$D$6:$D$455,MATCH(B549,Locations!$A$6:$A$455,0))</f>
        <v>42.733931991621098</v>
      </c>
      <c r="T549" s="3">
        <f>INDEX(Locations!$E$6:$E$455,MATCH(B549,Locations!$A$6:$A$455,0))</f>
        <v>-73.665732568324501</v>
      </c>
      <c r="U549" s="3">
        <f>INDEX(Locations!$D$6:$D$455,MATCH(C549,Locations!$A$6:$A$455,0))</f>
        <v>42.7335997823279</v>
      </c>
      <c r="V549" s="3">
        <f>INDEX(Locations!$E$6:$E$455,MATCH(C549,Locations!$A$6:$A$455,0))</f>
        <v>-73.665859899263296</v>
      </c>
    </row>
    <row r="550" spans="1:22" ht="23.1" customHeight="1">
      <c r="A550" s="1" t="s">
        <v>1158</v>
      </c>
      <c r="B550" s="1" t="s">
        <v>568</v>
      </c>
      <c r="C550" s="1" t="s">
        <v>567</v>
      </c>
      <c r="D550" s="1" t="s">
        <v>612</v>
      </c>
      <c r="E550" s="13">
        <f t="shared" si="8"/>
        <v>36.636659228560468</v>
      </c>
      <c r="F550" s="11" t="s">
        <v>70</v>
      </c>
      <c r="G550" s="11" t="s">
        <v>69</v>
      </c>
      <c r="H550" s="11" t="s">
        <v>69</v>
      </c>
      <c r="I550" s="11" t="s">
        <v>69</v>
      </c>
      <c r="J550" s="11" t="s">
        <v>69</v>
      </c>
      <c r="K550" s="14"/>
      <c r="L550" s="14"/>
      <c r="M550" s="11"/>
      <c r="N550" s="12"/>
      <c r="O550" s="11"/>
      <c r="P550" s="11"/>
      <c r="Q550" s="1">
        <v>546</v>
      </c>
      <c r="R550" s="1"/>
      <c r="S550" s="3">
        <f>INDEX(Locations!$D$6:$D$455,MATCH(B550,Locations!$A$6:$A$455,0))</f>
        <v>42.733998663382401</v>
      </c>
      <c r="T550" s="3">
        <f>INDEX(Locations!$E$6:$E$455,MATCH(B550,Locations!$A$6:$A$455,0))</f>
        <v>-73.6661718600634</v>
      </c>
      <c r="U550" s="3">
        <f>INDEX(Locations!$D$6:$D$455,MATCH(C550,Locations!$A$6:$A$455,0))</f>
        <v>42.733931991621098</v>
      </c>
      <c r="V550" s="3">
        <f>INDEX(Locations!$E$6:$E$455,MATCH(C550,Locations!$A$6:$A$455,0))</f>
        <v>-73.665732568324501</v>
      </c>
    </row>
    <row r="551" spans="1:22" ht="23.1" customHeight="1">
      <c r="A551" s="1" t="s">
        <v>1159</v>
      </c>
      <c r="B551" s="1" t="s">
        <v>569</v>
      </c>
      <c r="C551" s="1" t="s">
        <v>568</v>
      </c>
      <c r="D551" s="1" t="s">
        <v>612</v>
      </c>
      <c r="E551" s="13">
        <f t="shared" si="8"/>
        <v>100.24828204388147</v>
      </c>
      <c r="F551" s="11" t="s">
        <v>70</v>
      </c>
      <c r="G551" s="11" t="s">
        <v>69</v>
      </c>
      <c r="H551" s="11" t="s">
        <v>69</v>
      </c>
      <c r="I551" s="11" t="s">
        <v>69</v>
      </c>
      <c r="J551" s="11" t="s">
        <v>69</v>
      </c>
      <c r="K551" s="14"/>
      <c r="L551" s="14"/>
      <c r="M551" s="11"/>
      <c r="N551" s="12"/>
      <c r="O551" s="11"/>
      <c r="P551" s="11"/>
      <c r="Q551" s="1">
        <v>547</v>
      </c>
      <c r="R551" s="1"/>
      <c r="S551" s="3">
        <f>INDEX(Locations!$D$6:$D$455,MATCH(B551,Locations!$A$6:$A$455,0))</f>
        <v>42.7348860875151</v>
      </c>
      <c r="T551" s="3">
        <f>INDEX(Locations!$E$6:$E$455,MATCH(B551,Locations!$A$6:$A$455,0))</f>
        <v>-73.6659553974674</v>
      </c>
      <c r="U551" s="3">
        <f>INDEX(Locations!$D$6:$D$455,MATCH(C551,Locations!$A$6:$A$455,0))</f>
        <v>42.733998663382401</v>
      </c>
      <c r="V551" s="3">
        <f>INDEX(Locations!$E$6:$E$455,MATCH(C551,Locations!$A$6:$A$455,0))</f>
        <v>-73.6661718600634</v>
      </c>
    </row>
    <row r="552" spans="1:22" ht="23.1" customHeight="1">
      <c r="A552" s="1" t="s">
        <v>1160</v>
      </c>
      <c r="B552" s="1" t="s">
        <v>572</v>
      </c>
      <c r="C552" s="1" t="s">
        <v>569</v>
      </c>
      <c r="D552" s="1" t="s">
        <v>612</v>
      </c>
      <c r="E552" s="13">
        <f t="shared" si="8"/>
        <v>104.17559848804244</v>
      </c>
      <c r="F552" s="11" t="s">
        <v>70</v>
      </c>
      <c r="G552" s="11" t="s">
        <v>69</v>
      </c>
      <c r="H552" s="11" t="s">
        <v>69</v>
      </c>
      <c r="I552" s="11" t="s">
        <v>69</v>
      </c>
      <c r="J552" s="11" t="s">
        <v>69</v>
      </c>
      <c r="K552" s="14"/>
      <c r="L552" s="14"/>
      <c r="M552" s="11"/>
      <c r="N552" s="12"/>
      <c r="O552" s="11"/>
      <c r="P552" s="11"/>
      <c r="Q552" s="1">
        <v>548</v>
      </c>
      <c r="R552" s="1"/>
      <c r="S552" s="3">
        <f>INDEX(Locations!$D$6:$D$455,MATCH(B552,Locations!$A$6:$A$455,0))</f>
        <v>42.735074607667698</v>
      </c>
      <c r="T552" s="3">
        <f>INDEX(Locations!$E$6:$E$455,MATCH(B552,Locations!$A$6:$A$455,0))</f>
        <v>-73.667204832304606</v>
      </c>
      <c r="U552" s="3">
        <f>INDEX(Locations!$D$6:$D$455,MATCH(C552,Locations!$A$6:$A$455,0))</f>
        <v>42.7348860875151</v>
      </c>
      <c r="V552" s="3">
        <f>INDEX(Locations!$E$6:$E$455,MATCH(C552,Locations!$A$6:$A$455,0))</f>
        <v>-73.6659553974674</v>
      </c>
    </row>
    <row r="553" spans="1:22" ht="23.1" customHeight="1">
      <c r="A553" s="1" t="s">
        <v>1161</v>
      </c>
      <c r="B553" s="1" t="s">
        <v>570</v>
      </c>
      <c r="C553" s="1" t="s">
        <v>569</v>
      </c>
      <c r="D553" s="1" t="s">
        <v>612</v>
      </c>
      <c r="E553" s="13">
        <f t="shared" si="8"/>
        <v>102.47170107095654</v>
      </c>
      <c r="F553" s="11" t="s">
        <v>70</v>
      </c>
      <c r="G553" s="11" t="s">
        <v>69</v>
      </c>
      <c r="H553" s="11" t="s">
        <v>69</v>
      </c>
      <c r="I553" s="11" t="s">
        <v>69</v>
      </c>
      <c r="J553" s="11" t="s">
        <v>69</v>
      </c>
      <c r="K553" s="14"/>
      <c r="L553" s="14"/>
      <c r="M553" s="11"/>
      <c r="N553" s="12"/>
      <c r="O553" s="11"/>
      <c r="P553" s="11"/>
      <c r="Q553" s="1">
        <v>549</v>
      </c>
      <c r="R553" s="1"/>
      <c r="S553" s="3">
        <f>INDEX(Locations!$D$6:$D$455,MATCH(B553,Locations!$A$6:$A$455,0))</f>
        <v>42.735788455318499</v>
      </c>
      <c r="T553" s="3">
        <f>INDEX(Locations!$E$6:$E$455,MATCH(B553,Locations!$A$6:$A$455,0))</f>
        <v>-73.665700735589795</v>
      </c>
      <c r="U553" s="3">
        <f>INDEX(Locations!$D$6:$D$455,MATCH(C553,Locations!$A$6:$A$455,0))</f>
        <v>42.7348860875151</v>
      </c>
      <c r="V553" s="3">
        <f>INDEX(Locations!$E$6:$E$455,MATCH(C553,Locations!$A$6:$A$455,0))</f>
        <v>-73.6659553974674</v>
      </c>
    </row>
    <row r="554" spans="1:22" ht="23.1" customHeight="1">
      <c r="A554" s="1" t="s">
        <v>1162</v>
      </c>
      <c r="B554" s="1" t="s">
        <v>571</v>
      </c>
      <c r="C554" s="1" t="s">
        <v>572</v>
      </c>
      <c r="D554" s="1" t="s">
        <v>612</v>
      </c>
      <c r="E554" s="13">
        <f t="shared" si="8"/>
        <v>100.60655638783895</v>
      </c>
      <c r="F554" s="11" t="s">
        <v>70</v>
      </c>
      <c r="G554" s="11" t="s">
        <v>69</v>
      </c>
      <c r="H554" s="11" t="s">
        <v>69</v>
      </c>
      <c r="I554" s="11" t="s">
        <v>69</v>
      </c>
      <c r="J554" s="11" t="s">
        <v>69</v>
      </c>
      <c r="K554" s="14"/>
      <c r="L554" s="14"/>
      <c r="M554" s="11"/>
      <c r="N554" s="12"/>
      <c r="O554" s="11"/>
      <c r="P554" s="11"/>
      <c r="Q554" s="1">
        <v>550</v>
      </c>
      <c r="R554" s="1"/>
      <c r="S554" s="3">
        <f>INDEX(Locations!$D$6:$D$455,MATCH(B554,Locations!$A$6:$A$455,0))</f>
        <v>42.735958583261002</v>
      </c>
      <c r="T554" s="3">
        <f>INDEX(Locations!$E$6:$E$455,MATCH(B554,Locations!$A$6:$A$455,0))</f>
        <v>-73.666942212243299</v>
      </c>
      <c r="U554" s="3">
        <f>INDEX(Locations!$D$6:$D$455,MATCH(C554,Locations!$A$6:$A$455,0))</f>
        <v>42.735074607667698</v>
      </c>
      <c r="V554" s="3">
        <f>INDEX(Locations!$E$6:$E$455,MATCH(C554,Locations!$A$6:$A$455,0))</f>
        <v>-73.667204832304606</v>
      </c>
    </row>
    <row r="555" spans="1:22" ht="23.1" customHeight="1">
      <c r="A555" s="1" t="s">
        <v>1163</v>
      </c>
      <c r="B555" s="1" t="s">
        <v>571</v>
      </c>
      <c r="C555" s="1" t="s">
        <v>570</v>
      </c>
      <c r="D555" s="1" t="s">
        <v>612</v>
      </c>
      <c r="E555" s="13">
        <f t="shared" si="8"/>
        <v>103.14296489635716</v>
      </c>
      <c r="F555" s="11" t="s">
        <v>70</v>
      </c>
      <c r="G555" s="11" t="s">
        <v>69</v>
      </c>
      <c r="H555" s="11" t="s">
        <v>69</v>
      </c>
      <c r="I555" s="11" t="s">
        <v>69</v>
      </c>
      <c r="J555" s="11" t="s">
        <v>69</v>
      </c>
      <c r="K555" s="14"/>
      <c r="L555" s="14"/>
      <c r="M555" s="11"/>
      <c r="N555" s="12"/>
      <c r="O555" s="11"/>
      <c r="P555" s="11"/>
      <c r="Q555" s="1">
        <v>551</v>
      </c>
      <c r="R555" s="1"/>
      <c r="S555" s="3">
        <f>INDEX(Locations!$D$6:$D$455,MATCH(B555,Locations!$A$6:$A$455,0))</f>
        <v>42.735958583261002</v>
      </c>
      <c r="T555" s="3">
        <f>INDEX(Locations!$E$6:$E$455,MATCH(B555,Locations!$A$6:$A$455,0))</f>
        <v>-73.666942212243299</v>
      </c>
      <c r="U555" s="3">
        <f>INDEX(Locations!$D$6:$D$455,MATCH(C555,Locations!$A$6:$A$455,0))</f>
        <v>42.735788455318499</v>
      </c>
      <c r="V555" s="3">
        <f>INDEX(Locations!$E$6:$E$455,MATCH(C555,Locations!$A$6:$A$455,0))</f>
        <v>-73.665700735589795</v>
      </c>
    </row>
    <row r="556" spans="1:22" ht="23.1" customHeight="1">
      <c r="A556" s="1" t="s">
        <v>1164</v>
      </c>
      <c r="B556" s="1" t="s">
        <v>569</v>
      </c>
      <c r="C556" s="1" t="s">
        <v>573</v>
      </c>
      <c r="D556" s="1" t="s">
        <v>612</v>
      </c>
      <c r="E556" s="13">
        <f t="shared" si="8"/>
        <v>39.234941684364443</v>
      </c>
      <c r="F556" s="11" t="s">
        <v>70</v>
      </c>
      <c r="G556" s="11" t="s">
        <v>69</v>
      </c>
      <c r="H556" s="11" t="s">
        <v>69</v>
      </c>
      <c r="I556" s="11" t="s">
        <v>69</v>
      </c>
      <c r="J556" s="11" t="s">
        <v>69</v>
      </c>
      <c r="K556" s="14"/>
      <c r="L556" s="14"/>
      <c r="M556" s="11"/>
      <c r="N556" s="12"/>
      <c r="O556" s="11"/>
      <c r="P556" s="11"/>
      <c r="Q556" s="1">
        <v>552</v>
      </c>
      <c r="R556" s="1"/>
      <c r="S556" s="3">
        <f>INDEX(Locations!$D$6:$D$455,MATCH(B556,Locations!$A$6:$A$455,0))</f>
        <v>42.7348860875151</v>
      </c>
      <c r="T556" s="3">
        <f>INDEX(Locations!$E$6:$E$455,MATCH(B556,Locations!$A$6:$A$455,0))</f>
        <v>-73.6659553974674</v>
      </c>
      <c r="U556" s="3">
        <f>INDEX(Locations!$D$6:$D$455,MATCH(C556,Locations!$A$6:$A$455,0))</f>
        <v>42.734817116727598</v>
      </c>
      <c r="V556" s="3">
        <f>INDEX(Locations!$E$6:$E$455,MATCH(C556,Locations!$A$6:$A$455,0))</f>
        <v>-73.665484272993794</v>
      </c>
    </row>
    <row r="557" spans="1:22" ht="23.1" customHeight="1">
      <c r="A557" s="1" t="s">
        <v>1165</v>
      </c>
      <c r="B557" s="1" t="s">
        <v>173</v>
      </c>
      <c r="C557" s="1" t="s">
        <v>573</v>
      </c>
      <c r="D557" s="1" t="s">
        <v>612</v>
      </c>
      <c r="E557" s="13">
        <f t="shared" si="8"/>
        <v>19.086958707130414</v>
      </c>
      <c r="F557" s="11" t="s">
        <v>70</v>
      </c>
      <c r="G557" s="11" t="s">
        <v>69</v>
      </c>
      <c r="H557" s="11" t="s">
        <v>69</v>
      </c>
      <c r="I557" s="11" t="s">
        <v>69</v>
      </c>
      <c r="J557" s="11" t="s">
        <v>69</v>
      </c>
      <c r="K557" s="14"/>
      <c r="L557" s="14"/>
      <c r="M557" s="11"/>
      <c r="N557" s="12"/>
      <c r="O557" s="11"/>
      <c r="P557" s="11"/>
      <c r="Q557" s="1">
        <v>553</v>
      </c>
      <c r="R557" s="1"/>
      <c r="S557" s="3">
        <f>INDEX(Locations!$D$6:$D$455,MATCH(B557,Locations!$A$6:$A$455,0))</f>
        <v>42.734977135196097</v>
      </c>
      <c r="T557" s="3">
        <f>INDEX(Locations!$E$6:$E$455,MATCH(B557,Locations!$A$6:$A$455,0))</f>
        <v>-73.6653996986484</v>
      </c>
      <c r="U557" s="3">
        <f>INDEX(Locations!$D$6:$D$455,MATCH(C557,Locations!$A$6:$A$455,0))</f>
        <v>42.734817116727598</v>
      </c>
      <c r="V557" s="3">
        <f>INDEX(Locations!$E$6:$E$455,MATCH(C557,Locations!$A$6:$A$455,0))</f>
        <v>-73.665484272993794</v>
      </c>
    </row>
    <row r="558" spans="1:22" ht="23.1" customHeight="1">
      <c r="A558" s="1" t="s">
        <v>1166</v>
      </c>
      <c r="B558" s="1" t="s">
        <v>576</v>
      </c>
      <c r="C558" s="1" t="s">
        <v>575</v>
      </c>
      <c r="D558" s="1" t="s">
        <v>612</v>
      </c>
      <c r="E558" s="13">
        <f t="shared" si="8"/>
        <v>116.32087395262236</v>
      </c>
      <c r="F558" s="11" t="s">
        <v>70</v>
      </c>
      <c r="G558" s="11" t="s">
        <v>69</v>
      </c>
      <c r="H558" s="11" t="s">
        <v>69</v>
      </c>
      <c r="I558" s="11" t="s">
        <v>69</v>
      </c>
      <c r="J558" s="11" t="s">
        <v>69</v>
      </c>
      <c r="K558" s="14"/>
      <c r="L558" s="14"/>
      <c r="M558" s="11"/>
      <c r="N558" s="12"/>
      <c r="O558" s="11"/>
      <c r="P558" s="11"/>
      <c r="Q558" s="1">
        <v>554</v>
      </c>
      <c r="R558" s="1"/>
      <c r="S558" s="3">
        <f>INDEX(Locations!$D$6:$D$455,MATCH(B558,Locations!$A$6:$A$455,0))</f>
        <v>42.735662008874698</v>
      </c>
      <c r="T558" s="3">
        <f>INDEX(Locations!$E$6:$E$455,MATCH(B558,Locations!$A$6:$A$455,0))</f>
        <v>-73.664936749956794</v>
      </c>
      <c r="U558" s="3">
        <f>INDEX(Locations!$D$6:$D$455,MATCH(C558,Locations!$A$6:$A$455,0))</f>
        <v>42.734615951930699</v>
      </c>
      <c r="V558" s="3">
        <f>INDEX(Locations!$E$6:$E$455,MATCH(C558,Locations!$A$6:$A$455,0))</f>
        <v>-73.664949483050705</v>
      </c>
    </row>
    <row r="559" spans="1:22" ht="23.1" customHeight="1">
      <c r="A559" s="1" t="s">
        <v>1167</v>
      </c>
      <c r="B559" s="1" t="s">
        <v>574</v>
      </c>
      <c r="C559" s="1" t="s">
        <v>575</v>
      </c>
      <c r="D559" s="1" t="s">
        <v>612</v>
      </c>
      <c r="E559" s="13">
        <f t="shared" si="8"/>
        <v>85.390681732907254</v>
      </c>
      <c r="F559" s="11" t="s">
        <v>70</v>
      </c>
      <c r="G559" s="11" t="s">
        <v>69</v>
      </c>
      <c r="H559" s="11" t="s">
        <v>69</v>
      </c>
      <c r="I559" s="11" t="s">
        <v>69</v>
      </c>
      <c r="J559" s="11" t="s">
        <v>69</v>
      </c>
      <c r="K559" s="14"/>
      <c r="L559" s="14"/>
      <c r="M559" s="11"/>
      <c r="N559" s="12"/>
      <c r="O559" s="11"/>
      <c r="P559" s="11"/>
      <c r="Q559" s="1">
        <v>555</v>
      </c>
      <c r="R559" s="1"/>
      <c r="S559" s="3">
        <f>INDEX(Locations!$D$6:$D$455,MATCH(B559,Locations!$A$6:$A$455,0))</f>
        <v>42.7338975062274</v>
      </c>
      <c r="T559" s="3">
        <f>INDEX(Locations!$E$6:$E$455,MATCH(B559,Locations!$A$6:$A$455,0))</f>
        <v>-73.665318742773295</v>
      </c>
      <c r="U559" s="3">
        <f>INDEX(Locations!$D$6:$D$455,MATCH(C559,Locations!$A$6:$A$455,0))</f>
        <v>42.734615951930699</v>
      </c>
      <c r="V559" s="3">
        <f>INDEX(Locations!$E$6:$E$455,MATCH(C559,Locations!$A$6:$A$455,0))</f>
        <v>-73.664949483050705</v>
      </c>
    </row>
    <row r="560" spans="1:22" ht="23.1" customHeight="1">
      <c r="A560" s="1" t="s">
        <v>1168</v>
      </c>
      <c r="B560" s="1" t="s">
        <v>567</v>
      </c>
      <c r="C560" s="1" t="s">
        <v>574</v>
      </c>
      <c r="D560" s="1" t="s">
        <v>612</v>
      </c>
      <c r="E560" s="13">
        <f t="shared" si="8"/>
        <v>34.015668729165426</v>
      </c>
      <c r="F560" s="11" t="s">
        <v>70</v>
      </c>
      <c r="G560" s="11" t="s">
        <v>69</v>
      </c>
      <c r="H560" s="11" t="s">
        <v>69</v>
      </c>
      <c r="I560" s="11" t="s">
        <v>69</v>
      </c>
      <c r="J560" s="11" t="s">
        <v>69</v>
      </c>
      <c r="K560" s="14"/>
      <c r="L560" s="14"/>
      <c r="M560" s="11"/>
      <c r="N560" s="12"/>
      <c r="O560" s="11"/>
      <c r="P560" s="11"/>
      <c r="Q560" s="1">
        <v>556</v>
      </c>
      <c r="R560" s="1"/>
      <c r="S560" s="3">
        <f>INDEX(Locations!$D$6:$D$455,MATCH(B560,Locations!$A$6:$A$455,0))</f>
        <v>42.733931991621098</v>
      </c>
      <c r="T560" s="3">
        <f>INDEX(Locations!$E$6:$E$455,MATCH(B560,Locations!$A$6:$A$455,0))</f>
        <v>-73.665732568324501</v>
      </c>
      <c r="U560" s="3">
        <f>INDEX(Locations!$D$6:$D$455,MATCH(C560,Locations!$A$6:$A$455,0))</f>
        <v>42.7338975062274</v>
      </c>
      <c r="V560" s="3">
        <f>INDEX(Locations!$E$6:$E$455,MATCH(C560,Locations!$A$6:$A$455,0))</f>
        <v>-73.665318742773295</v>
      </c>
    </row>
    <row r="561" spans="1:22" ht="23.1" customHeight="1">
      <c r="A561" s="1" t="s">
        <v>1169</v>
      </c>
      <c r="B561" s="1" t="s">
        <v>570</v>
      </c>
      <c r="C561" s="1" t="s">
        <v>576</v>
      </c>
      <c r="D561" s="1" t="s">
        <v>612</v>
      </c>
      <c r="E561" s="13">
        <f t="shared" si="8"/>
        <v>63.960570829168979</v>
      </c>
      <c r="F561" s="11" t="s">
        <v>70</v>
      </c>
      <c r="G561" s="11" t="s">
        <v>69</v>
      </c>
      <c r="H561" s="11" t="s">
        <v>69</v>
      </c>
      <c r="I561" s="11" t="s">
        <v>69</v>
      </c>
      <c r="J561" s="11" t="s">
        <v>69</v>
      </c>
      <c r="K561" s="14"/>
      <c r="L561" s="14"/>
      <c r="M561" s="11"/>
      <c r="N561" s="12"/>
      <c r="O561" s="11"/>
      <c r="P561" s="11"/>
      <c r="Q561" s="1">
        <v>557</v>
      </c>
      <c r="R561" s="1"/>
      <c r="S561" s="3">
        <f>INDEX(Locations!$D$6:$D$455,MATCH(B561,Locations!$A$6:$A$455,0))</f>
        <v>42.735788455318499</v>
      </c>
      <c r="T561" s="3">
        <f>INDEX(Locations!$E$6:$E$455,MATCH(B561,Locations!$A$6:$A$455,0))</f>
        <v>-73.665700735589795</v>
      </c>
      <c r="U561" s="3">
        <f>INDEX(Locations!$D$6:$D$455,MATCH(C561,Locations!$A$6:$A$455,0))</f>
        <v>42.735662008874698</v>
      </c>
      <c r="V561" s="3">
        <f>INDEX(Locations!$E$6:$E$455,MATCH(C561,Locations!$A$6:$A$455,0))</f>
        <v>-73.664936749956794</v>
      </c>
    </row>
    <row r="562" spans="1:22" ht="23.1" customHeight="1">
      <c r="A562" s="1" t="s">
        <v>1170</v>
      </c>
      <c r="B562" s="1" t="s">
        <v>556</v>
      </c>
      <c r="C562" s="1" t="s">
        <v>576</v>
      </c>
      <c r="D562" s="1" t="s">
        <v>612</v>
      </c>
      <c r="E562" s="13">
        <f t="shared" si="8"/>
        <v>53.94039457272244</v>
      </c>
      <c r="F562" s="11" t="s">
        <v>70</v>
      </c>
      <c r="G562" s="11" t="s">
        <v>69</v>
      </c>
      <c r="H562" s="11" t="s">
        <v>69</v>
      </c>
      <c r="I562" s="11" t="s">
        <v>69</v>
      </c>
      <c r="J562" s="11" t="s">
        <v>69</v>
      </c>
      <c r="K562" s="14"/>
      <c r="L562" s="14"/>
      <c r="M562" s="11"/>
      <c r="N562" s="12"/>
      <c r="O562" s="11"/>
      <c r="P562" s="11"/>
      <c r="Q562" s="1">
        <v>558</v>
      </c>
      <c r="R562" s="1"/>
      <c r="S562" s="3">
        <f>INDEX(Locations!$D$6:$D$455,MATCH(B562,Locations!$A$6:$A$455,0))</f>
        <v>42.7355872905216</v>
      </c>
      <c r="T562" s="3">
        <f>INDEX(Locations!$E$6:$E$455,MATCH(B562,Locations!$A$6:$A$455,0))</f>
        <v>-73.6642841788954</v>
      </c>
      <c r="U562" s="3">
        <f>INDEX(Locations!$D$6:$D$455,MATCH(C562,Locations!$A$6:$A$455,0))</f>
        <v>42.735662008874698</v>
      </c>
      <c r="V562" s="3">
        <f>INDEX(Locations!$E$6:$E$455,MATCH(C562,Locations!$A$6:$A$455,0))</f>
        <v>-73.664936749956794</v>
      </c>
    </row>
    <row r="563" spans="1:22" ht="23.1" customHeight="1">
      <c r="A563" s="1" t="s">
        <v>1171</v>
      </c>
      <c r="B563" s="1" t="s">
        <v>554</v>
      </c>
      <c r="C563" s="1" t="s">
        <v>574</v>
      </c>
      <c r="D563" s="1" t="s">
        <v>612</v>
      </c>
      <c r="E563" s="13">
        <f t="shared" si="8"/>
        <v>112.85817397356767</v>
      </c>
      <c r="F563" s="11" t="s">
        <v>70</v>
      </c>
      <c r="G563" s="11" t="s">
        <v>69</v>
      </c>
      <c r="H563" s="11" t="s">
        <v>69</v>
      </c>
      <c r="I563" s="11" t="s">
        <v>69</v>
      </c>
      <c r="J563" s="11" t="s">
        <v>69</v>
      </c>
      <c r="K563" s="14"/>
      <c r="L563" s="14"/>
      <c r="M563" s="11"/>
      <c r="N563" s="12"/>
      <c r="O563" s="11"/>
      <c r="P563" s="11"/>
      <c r="Q563" s="1">
        <v>559</v>
      </c>
      <c r="R563" s="1"/>
      <c r="S563" s="3">
        <f>INDEX(Locations!$D$6:$D$455,MATCH(B563,Locations!$A$6:$A$455,0))</f>
        <v>42.734652736350697</v>
      </c>
      <c r="T563" s="3">
        <f>INDEX(Locations!$E$6:$E$455,MATCH(B563,Locations!$A$6:$A$455,0))</f>
        <v>-73.664395593466807</v>
      </c>
      <c r="U563" s="3">
        <f>INDEX(Locations!$D$6:$D$455,MATCH(C563,Locations!$A$6:$A$455,0))</f>
        <v>42.7338975062274</v>
      </c>
      <c r="V563" s="3">
        <f>INDEX(Locations!$E$6:$E$455,MATCH(C563,Locations!$A$6:$A$455,0))</f>
        <v>-73.665318742773295</v>
      </c>
    </row>
    <row r="564" spans="1:22" ht="23.1" customHeight="1">
      <c r="A564" s="1" t="s">
        <v>1172</v>
      </c>
      <c r="B564" s="1" t="s">
        <v>572</v>
      </c>
      <c r="C564" s="1" t="s">
        <v>536</v>
      </c>
      <c r="D564" s="1" t="s">
        <v>612</v>
      </c>
      <c r="E564" s="13">
        <f t="shared" si="8"/>
        <v>143.43207740128085</v>
      </c>
      <c r="F564" s="11" t="s">
        <v>70</v>
      </c>
      <c r="G564" s="11" t="s">
        <v>69</v>
      </c>
      <c r="H564" s="11" t="s">
        <v>69</v>
      </c>
      <c r="I564" s="11" t="s">
        <v>69</v>
      </c>
      <c r="J564" s="11" t="s">
        <v>69</v>
      </c>
      <c r="K564" s="14"/>
      <c r="L564" s="14"/>
      <c r="M564" s="11"/>
      <c r="N564" s="12"/>
      <c r="O564" s="11"/>
      <c r="P564" s="11"/>
      <c r="Q564" s="1">
        <v>560</v>
      </c>
      <c r="R564" s="1"/>
      <c r="S564" s="3">
        <f>INDEX(Locations!$D$6:$D$455,MATCH(B564,Locations!$A$6:$A$455,0))</f>
        <v>42.735074607667698</v>
      </c>
      <c r="T564" s="3">
        <f>INDEX(Locations!$E$6:$E$455,MATCH(B564,Locations!$A$6:$A$455,0))</f>
        <v>-73.667204832304606</v>
      </c>
      <c r="U564" s="3">
        <f>INDEX(Locations!$D$6:$D$455,MATCH(C564,Locations!$A$6:$A$455,0))</f>
        <v>42.7338342830055</v>
      </c>
      <c r="V564" s="3">
        <f>INDEX(Locations!$E$6:$E$455,MATCH(C564,Locations!$A$6:$A$455,0))</f>
        <v>-73.667687098235405</v>
      </c>
    </row>
    <row r="565" spans="1:22" ht="23.1" customHeight="1">
      <c r="A565" s="1" t="s">
        <v>1173</v>
      </c>
      <c r="B565" s="1" t="s">
        <v>578</v>
      </c>
      <c r="C565" s="1" t="s">
        <v>577</v>
      </c>
      <c r="D565" s="1" t="s">
        <v>612</v>
      </c>
      <c r="E565" s="13">
        <f t="shared" si="8"/>
        <v>60.17403714609339</v>
      </c>
      <c r="F565" s="11" t="s">
        <v>70</v>
      </c>
      <c r="G565" s="11" t="s">
        <v>69</v>
      </c>
      <c r="H565" s="11" t="s">
        <v>69</v>
      </c>
      <c r="I565" s="11" t="s">
        <v>69</v>
      </c>
      <c r="J565" s="11" t="s">
        <v>69</v>
      </c>
      <c r="K565" s="14"/>
      <c r="L565" s="14"/>
      <c r="M565" s="11"/>
      <c r="N565" s="12"/>
      <c r="O565" s="11"/>
      <c r="P565" s="11"/>
      <c r="Q565" s="1">
        <v>561</v>
      </c>
      <c r="R565" s="1"/>
      <c r="S565" s="3">
        <f>INDEX(Locations!$D$6:$D$455,MATCH(B565,Locations!$A$6:$A$455,0))</f>
        <v>42.736667832859403</v>
      </c>
      <c r="T565" s="3">
        <f>INDEX(Locations!$E$6:$E$455,MATCH(B565,Locations!$A$6:$A$455,0))</f>
        <v>-73.663392862323605</v>
      </c>
      <c r="U565" s="3">
        <f>INDEX(Locations!$D$6:$D$455,MATCH(C565,Locations!$A$6:$A$455,0))</f>
        <v>42.736224120792997</v>
      </c>
      <c r="V565" s="3">
        <f>INDEX(Locations!$E$6:$E$455,MATCH(C565,Locations!$A$6:$A$455,0))</f>
        <v>-73.663814646058498</v>
      </c>
    </row>
    <row r="566" spans="1:22" ht="23.1" customHeight="1">
      <c r="A566" s="1" t="s">
        <v>1174</v>
      </c>
      <c r="B566" s="1" t="s">
        <v>576</v>
      </c>
      <c r="C566" s="1" t="s">
        <v>577</v>
      </c>
      <c r="D566" s="1" t="s">
        <v>612</v>
      </c>
      <c r="E566" s="13">
        <f t="shared" si="8"/>
        <v>110.92946201864702</v>
      </c>
      <c r="F566" s="11" t="s">
        <v>70</v>
      </c>
      <c r="G566" s="11" t="s">
        <v>69</v>
      </c>
      <c r="H566" s="11" t="s">
        <v>69</v>
      </c>
      <c r="I566" s="11" t="s">
        <v>69</v>
      </c>
      <c r="J566" s="11" t="s">
        <v>69</v>
      </c>
      <c r="K566" s="14"/>
      <c r="L566" s="14"/>
      <c r="M566" s="11"/>
      <c r="N566" s="12"/>
      <c r="O566" s="11"/>
      <c r="P566" s="11"/>
      <c r="Q566" s="1">
        <v>562</v>
      </c>
      <c r="R566" s="1"/>
      <c r="S566" s="3">
        <f>INDEX(Locations!$D$6:$D$455,MATCH(B566,Locations!$A$6:$A$455,0))</f>
        <v>42.735662008874698</v>
      </c>
      <c r="T566" s="3">
        <f>INDEX(Locations!$E$6:$E$455,MATCH(B566,Locations!$A$6:$A$455,0))</f>
        <v>-73.664936749956794</v>
      </c>
      <c r="U566" s="3">
        <f>INDEX(Locations!$D$6:$D$455,MATCH(C566,Locations!$A$6:$A$455,0))</f>
        <v>42.736224120792997</v>
      </c>
      <c r="V566" s="3">
        <f>INDEX(Locations!$E$6:$E$455,MATCH(C566,Locations!$A$6:$A$455,0))</f>
        <v>-73.663814646058498</v>
      </c>
    </row>
    <row r="567" spans="1:22" ht="23.1" customHeight="1">
      <c r="A567" s="1" t="s">
        <v>1175</v>
      </c>
      <c r="B567" s="1" t="s">
        <v>580</v>
      </c>
      <c r="C567" s="1" t="s">
        <v>581</v>
      </c>
      <c r="D567" s="1" t="s">
        <v>612</v>
      </c>
      <c r="E567" s="13">
        <f t="shared" si="8"/>
        <v>161.29194399765916</v>
      </c>
      <c r="F567" s="11" t="s">
        <v>70</v>
      </c>
      <c r="G567" s="11" t="s">
        <v>69</v>
      </c>
      <c r="H567" s="11" t="s">
        <v>69</v>
      </c>
      <c r="I567" s="11" t="s">
        <v>69</v>
      </c>
      <c r="J567" s="11" t="s">
        <v>69</v>
      </c>
      <c r="K567" s="14"/>
      <c r="L567" s="14"/>
      <c r="M567" s="11"/>
      <c r="N567" s="12"/>
      <c r="O567" s="11"/>
      <c r="P567" s="11"/>
      <c r="Q567" s="1">
        <v>563</v>
      </c>
      <c r="R567" s="1"/>
      <c r="S567" s="3">
        <f>INDEX(Locations!$D$6:$D$455,MATCH(B567,Locations!$A$6:$A$455,0))</f>
        <v>42.738231170709803</v>
      </c>
      <c r="T567" s="3">
        <f>INDEX(Locations!$E$6:$E$455,MATCH(B567,Locations!$A$6:$A$455,0))</f>
        <v>-73.670029987509693</v>
      </c>
      <c r="U567" s="3">
        <f>INDEX(Locations!$D$6:$D$455,MATCH(C567,Locations!$A$6:$A$455,0))</f>
        <v>42.736805774434401</v>
      </c>
      <c r="V567" s="3">
        <f>INDEX(Locations!$E$6:$E$455,MATCH(C567,Locations!$A$6:$A$455,0))</f>
        <v>-73.670396063958805</v>
      </c>
    </row>
    <row r="568" spans="1:22" ht="23.1" customHeight="1">
      <c r="A568" s="1" t="s">
        <v>1176</v>
      </c>
      <c r="B568" s="1" t="s">
        <v>571</v>
      </c>
      <c r="C568" s="1" t="s">
        <v>582</v>
      </c>
      <c r="D568" s="1" t="s">
        <v>612</v>
      </c>
      <c r="E568" s="13">
        <f t="shared" si="8"/>
        <v>298.9634238240177</v>
      </c>
      <c r="F568" s="11" t="s">
        <v>70</v>
      </c>
      <c r="G568" s="11" t="s">
        <v>69</v>
      </c>
      <c r="H568" s="11" t="s">
        <v>69</v>
      </c>
      <c r="I568" s="11" t="s">
        <v>69</v>
      </c>
      <c r="J568" s="11" t="s">
        <v>69</v>
      </c>
      <c r="K568" s="14"/>
      <c r="L568" s="14"/>
      <c r="M568" s="11"/>
      <c r="N568" s="12"/>
      <c r="O568" s="11"/>
      <c r="P568" s="11"/>
      <c r="Q568" s="1">
        <v>564</v>
      </c>
      <c r="R568" s="1"/>
      <c r="S568" s="3">
        <f>INDEX(Locations!$D$6:$D$455,MATCH(B568,Locations!$A$6:$A$455,0))</f>
        <v>42.735958583261002</v>
      </c>
      <c r="T568" s="3">
        <f>INDEX(Locations!$E$6:$E$455,MATCH(B568,Locations!$A$6:$A$455,0))</f>
        <v>-73.666942212243299</v>
      </c>
      <c r="U568" s="3">
        <f>INDEX(Locations!$D$6:$D$455,MATCH(C568,Locations!$A$6:$A$455,0))</f>
        <v>42.736418388511197</v>
      </c>
      <c r="V568" s="3">
        <f>INDEX(Locations!$E$6:$E$455,MATCH(C568,Locations!$A$6:$A$455,0))</f>
        <v>-73.670548861085393</v>
      </c>
    </row>
    <row r="569" spans="1:22" ht="23.1" customHeight="1">
      <c r="A569" s="1" t="s">
        <v>1177</v>
      </c>
      <c r="B569" s="1" t="s">
        <v>581</v>
      </c>
      <c r="C569" s="1" t="s">
        <v>582</v>
      </c>
      <c r="D569" s="1" t="s">
        <v>612</v>
      </c>
      <c r="E569" s="13">
        <f t="shared" si="8"/>
        <v>44.846536953583637</v>
      </c>
      <c r="F569" s="11" t="s">
        <v>70</v>
      </c>
      <c r="G569" s="11" t="s">
        <v>69</v>
      </c>
      <c r="H569" s="11" t="s">
        <v>69</v>
      </c>
      <c r="I569" s="11" t="s">
        <v>69</v>
      </c>
      <c r="J569" s="11" t="s">
        <v>69</v>
      </c>
      <c r="K569" s="14"/>
      <c r="L569" s="14"/>
      <c r="M569" s="11"/>
      <c r="N569" s="12"/>
      <c r="O569" s="11"/>
      <c r="P569" s="11"/>
      <c r="Q569" s="1">
        <v>565</v>
      </c>
      <c r="R569" s="1"/>
      <c r="S569" s="3">
        <f>INDEX(Locations!$D$6:$D$455,MATCH(B569,Locations!$A$6:$A$455,0))</f>
        <v>42.736805774434401</v>
      </c>
      <c r="T569" s="3">
        <f>INDEX(Locations!$E$6:$E$455,MATCH(B569,Locations!$A$6:$A$455,0))</f>
        <v>-73.670396063958805</v>
      </c>
      <c r="U569" s="3">
        <f>INDEX(Locations!$D$6:$D$455,MATCH(C569,Locations!$A$6:$A$455,0))</f>
        <v>42.736418388511197</v>
      </c>
      <c r="V569" s="3">
        <f>INDEX(Locations!$E$6:$E$455,MATCH(C569,Locations!$A$6:$A$455,0))</f>
        <v>-73.670548861085393</v>
      </c>
    </row>
    <row r="570" spans="1:22" ht="23.1" customHeight="1">
      <c r="A570" s="1" t="s">
        <v>1178</v>
      </c>
      <c r="B570" s="1" t="s">
        <v>580</v>
      </c>
      <c r="C570" s="1" t="s">
        <v>579</v>
      </c>
      <c r="D570" s="1" t="s">
        <v>612</v>
      </c>
      <c r="E570" s="13">
        <f t="shared" si="8"/>
        <v>296.95165528494766</v>
      </c>
      <c r="F570" s="11" t="s">
        <v>70</v>
      </c>
      <c r="G570" s="11" t="s">
        <v>69</v>
      </c>
      <c r="H570" s="11" t="s">
        <v>69</v>
      </c>
      <c r="I570" s="11" t="s">
        <v>69</v>
      </c>
      <c r="J570" s="11" t="s">
        <v>69</v>
      </c>
      <c r="K570" s="14"/>
      <c r="L570" s="14"/>
      <c r="M570" s="11"/>
      <c r="N570" s="12"/>
      <c r="O570" s="11"/>
      <c r="P570" s="11"/>
      <c r="Q570" s="1">
        <v>566</v>
      </c>
      <c r="R570" s="1"/>
      <c r="S570" s="3">
        <f>INDEX(Locations!$D$6:$D$455,MATCH(B570,Locations!$A$6:$A$455,0))</f>
        <v>42.738231170709803</v>
      </c>
      <c r="T570" s="3">
        <f>INDEX(Locations!$E$6:$E$455,MATCH(B570,Locations!$A$6:$A$455,0))</f>
        <v>-73.670029987509693</v>
      </c>
      <c r="U570" s="3">
        <f>INDEX(Locations!$D$6:$D$455,MATCH(C570,Locations!$A$6:$A$455,0))</f>
        <v>42.737736880065903</v>
      </c>
      <c r="V570" s="3">
        <f>INDEX(Locations!$E$6:$E$455,MATCH(C570,Locations!$A$6:$A$455,0))</f>
        <v>-73.666456763038994</v>
      </c>
    </row>
    <row r="571" spans="1:22" ht="23.1" customHeight="1">
      <c r="A571" s="1" t="s">
        <v>1179</v>
      </c>
      <c r="B571" s="1" t="s">
        <v>571</v>
      </c>
      <c r="C571" s="1" t="s">
        <v>579</v>
      </c>
      <c r="D571" s="1" t="s">
        <v>612</v>
      </c>
      <c r="E571" s="13">
        <f t="shared" si="8"/>
        <v>201.67304604493296</v>
      </c>
      <c r="F571" s="11" t="s">
        <v>70</v>
      </c>
      <c r="G571" s="11" t="s">
        <v>69</v>
      </c>
      <c r="H571" s="11" t="s">
        <v>69</v>
      </c>
      <c r="I571" s="11" t="s">
        <v>69</v>
      </c>
      <c r="J571" s="11" t="s">
        <v>69</v>
      </c>
      <c r="K571" s="14"/>
      <c r="L571" s="14"/>
      <c r="M571" s="11"/>
      <c r="N571" s="12"/>
      <c r="O571" s="11"/>
      <c r="P571" s="11"/>
      <c r="Q571" s="1">
        <v>567</v>
      </c>
      <c r="R571" s="1"/>
      <c r="S571" s="3">
        <f>INDEX(Locations!$D$6:$D$455,MATCH(B571,Locations!$A$6:$A$455,0))</f>
        <v>42.735958583261002</v>
      </c>
      <c r="T571" s="3">
        <f>INDEX(Locations!$E$6:$E$455,MATCH(B571,Locations!$A$6:$A$455,0))</f>
        <v>-73.666942212243299</v>
      </c>
      <c r="U571" s="3">
        <f>INDEX(Locations!$D$6:$D$455,MATCH(C571,Locations!$A$6:$A$455,0))</f>
        <v>42.737736880065903</v>
      </c>
      <c r="V571" s="3">
        <f>INDEX(Locations!$E$6:$E$455,MATCH(C571,Locations!$A$6:$A$455,0))</f>
        <v>-73.666456763038994</v>
      </c>
    </row>
    <row r="572" spans="1:22" ht="23.1" customHeight="1">
      <c r="A572" s="1" t="s">
        <v>1180</v>
      </c>
      <c r="B572" s="1" t="s">
        <v>582</v>
      </c>
      <c r="C572" s="1" t="s">
        <v>583</v>
      </c>
      <c r="D572" s="1" t="s">
        <v>612</v>
      </c>
      <c r="E572" s="13">
        <f t="shared" si="8"/>
        <v>208.82064865413088</v>
      </c>
      <c r="F572" s="11" t="s">
        <v>70</v>
      </c>
      <c r="G572" s="11" t="s">
        <v>69</v>
      </c>
      <c r="H572" s="11" t="s">
        <v>69</v>
      </c>
      <c r="I572" s="11" t="s">
        <v>69</v>
      </c>
      <c r="J572" s="11" t="s">
        <v>69</v>
      </c>
      <c r="K572" s="14"/>
      <c r="L572" s="14"/>
      <c r="M572" s="11"/>
      <c r="N572" s="12"/>
      <c r="O572" s="11"/>
      <c r="P572" s="11"/>
      <c r="Q572" s="1">
        <v>568</v>
      </c>
      <c r="R572" s="1"/>
      <c r="S572" s="3">
        <f>INDEX(Locations!$D$6:$D$455,MATCH(B572,Locations!$A$6:$A$455,0))</f>
        <v>42.736418388511197</v>
      </c>
      <c r="T572" s="3">
        <f>INDEX(Locations!$E$6:$E$455,MATCH(B572,Locations!$A$6:$A$455,0))</f>
        <v>-73.670548861085393</v>
      </c>
      <c r="U572" s="3">
        <f>INDEX(Locations!$D$6:$D$455,MATCH(C572,Locations!$A$6:$A$455,0))</f>
        <v>42.7345757189713</v>
      </c>
      <c r="V572" s="3">
        <f>INDEX(Locations!$E$6:$E$455,MATCH(C572,Locations!$A$6:$A$455,0))</f>
        <v>-73.6710422684733</v>
      </c>
    </row>
    <row r="573" spans="1:22" ht="23.1" customHeight="1">
      <c r="A573" s="1" t="s">
        <v>1181</v>
      </c>
      <c r="B573" s="1" t="s">
        <v>216</v>
      </c>
      <c r="C573" s="1" t="s">
        <v>583</v>
      </c>
      <c r="D573" s="1" t="s">
        <v>612</v>
      </c>
      <c r="E573" s="13">
        <f t="shared" si="8"/>
        <v>243.41309270742212</v>
      </c>
      <c r="F573" s="11" t="s">
        <v>70</v>
      </c>
      <c r="G573" s="11" t="s">
        <v>69</v>
      </c>
      <c r="H573" s="11" t="s">
        <v>69</v>
      </c>
      <c r="I573" s="11" t="s">
        <v>69</v>
      </c>
      <c r="J573" s="11" t="s">
        <v>69</v>
      </c>
      <c r="K573" s="14"/>
      <c r="L573" s="14"/>
      <c r="M573" s="11"/>
      <c r="N573" s="12"/>
      <c r="O573" s="11"/>
      <c r="P573" s="11"/>
      <c r="Q573" s="1">
        <v>569</v>
      </c>
      <c r="R573" s="1"/>
      <c r="S573" s="3">
        <f>INDEX(Locations!$D$6:$D$455,MATCH(B573,Locations!$A$6:$A$455,0))</f>
        <v>42.732426129426997</v>
      </c>
      <c r="T573" s="3">
        <f>INDEX(Locations!$E$6:$E$455,MATCH(B573,Locations!$A$6:$A$455,0))</f>
        <v>-73.671605707877603</v>
      </c>
      <c r="U573" s="3">
        <f>INDEX(Locations!$D$6:$D$455,MATCH(C573,Locations!$A$6:$A$455,0))</f>
        <v>42.7345757189713</v>
      </c>
      <c r="V573" s="3">
        <f>INDEX(Locations!$E$6:$E$455,MATCH(C573,Locations!$A$6:$A$455,0))</f>
        <v>-73.6710422684733</v>
      </c>
    </row>
    <row r="574" spans="1:22" ht="23.1" customHeight="1">
      <c r="A574" s="1" t="s">
        <v>1182</v>
      </c>
      <c r="B574" s="1" t="s">
        <v>586</v>
      </c>
      <c r="C574" s="1" t="s">
        <v>584</v>
      </c>
      <c r="D574" s="1" t="s">
        <v>612</v>
      </c>
      <c r="E574" s="13">
        <f t="shared" si="8"/>
        <v>250.18358871139833</v>
      </c>
      <c r="F574" s="11" t="s">
        <v>70</v>
      </c>
      <c r="G574" s="11" t="s">
        <v>69</v>
      </c>
      <c r="H574" s="11" t="s">
        <v>69</v>
      </c>
      <c r="I574" s="11" t="s">
        <v>69</v>
      </c>
      <c r="J574" s="11" t="s">
        <v>69</v>
      </c>
      <c r="K574" s="14"/>
      <c r="L574" s="14"/>
      <c r="M574" s="11"/>
      <c r="N574" s="12"/>
      <c r="O574" s="11"/>
      <c r="P574" s="11"/>
      <c r="Q574" s="1">
        <v>570</v>
      </c>
      <c r="R574" s="1"/>
      <c r="S574" s="3">
        <f>INDEX(Locations!$D$6:$D$455,MATCH(B574,Locations!$A$6:$A$455,0))</f>
        <v>42.737219599159502</v>
      </c>
      <c r="T574" s="3">
        <f>INDEX(Locations!$E$6:$E$455,MATCH(B574,Locations!$A$6:$A$455,0))</f>
        <v>-73.6733978908415</v>
      </c>
      <c r="U574" s="3">
        <f>INDEX(Locations!$D$6:$D$455,MATCH(C574,Locations!$A$6:$A$455,0))</f>
        <v>42.735012533958901</v>
      </c>
      <c r="V574" s="3">
        <f>INDEX(Locations!$E$6:$E$455,MATCH(C574,Locations!$A$6:$A$455,0))</f>
        <v>-73.673993162980494</v>
      </c>
    </row>
    <row r="575" spans="1:22" ht="23.1" customHeight="1">
      <c r="A575" s="1" t="s">
        <v>1183</v>
      </c>
      <c r="B575" s="1" t="s">
        <v>585</v>
      </c>
      <c r="C575" s="1" t="s">
        <v>584</v>
      </c>
      <c r="D575" s="1" t="s">
        <v>612</v>
      </c>
      <c r="E575" s="13">
        <f t="shared" si="8"/>
        <v>89.371544059758833</v>
      </c>
      <c r="F575" s="11" t="s">
        <v>70</v>
      </c>
      <c r="G575" s="11" t="s">
        <v>69</v>
      </c>
      <c r="H575" s="11" t="s">
        <v>69</v>
      </c>
      <c r="I575" s="11" t="s">
        <v>69</v>
      </c>
      <c r="J575" s="11" t="s">
        <v>69</v>
      </c>
      <c r="K575" s="14"/>
      <c r="L575" s="14"/>
      <c r="M575" s="11"/>
      <c r="N575" s="12"/>
      <c r="O575" s="11"/>
      <c r="P575" s="11"/>
      <c r="Q575" s="1">
        <v>571</v>
      </c>
      <c r="R575" s="1"/>
      <c r="S575" s="3">
        <f>INDEX(Locations!$D$6:$D$455,MATCH(B575,Locations!$A$6:$A$455,0))</f>
        <v>42.734230865033702</v>
      </c>
      <c r="T575" s="3">
        <f>INDEX(Locations!$E$6:$E$455,MATCH(B575,Locations!$A$6:$A$455,0))</f>
        <v>-73.674247824858099</v>
      </c>
      <c r="U575" s="3">
        <f>INDEX(Locations!$D$6:$D$455,MATCH(C575,Locations!$A$6:$A$455,0))</f>
        <v>42.735012533958901</v>
      </c>
      <c r="V575" s="3">
        <f>INDEX(Locations!$E$6:$E$455,MATCH(C575,Locations!$A$6:$A$455,0))</f>
        <v>-73.673993162980494</v>
      </c>
    </row>
    <row r="576" spans="1:22" ht="23.1" customHeight="1">
      <c r="A576" s="1" t="s">
        <v>1184</v>
      </c>
      <c r="B576" s="1" t="s">
        <v>583</v>
      </c>
      <c r="C576" s="1" t="s">
        <v>584</v>
      </c>
      <c r="D576" s="1" t="s">
        <v>612</v>
      </c>
      <c r="E576" s="13">
        <f t="shared" si="8"/>
        <v>245.85403333935972</v>
      </c>
      <c r="F576" s="11" t="s">
        <v>70</v>
      </c>
      <c r="G576" s="11" t="s">
        <v>69</v>
      </c>
      <c r="H576" s="11" t="s">
        <v>69</v>
      </c>
      <c r="I576" s="11" t="s">
        <v>69</v>
      </c>
      <c r="J576" s="11" t="s">
        <v>69</v>
      </c>
      <c r="K576" s="14"/>
      <c r="L576" s="14"/>
      <c r="M576" s="11"/>
      <c r="N576" s="12"/>
      <c r="O576" s="11"/>
      <c r="P576" s="11"/>
      <c r="Q576" s="1">
        <v>572</v>
      </c>
      <c r="R576" s="1"/>
      <c r="S576" s="3">
        <f>INDEX(Locations!$D$6:$D$455,MATCH(B576,Locations!$A$6:$A$455,0))</f>
        <v>42.7345757189713</v>
      </c>
      <c r="T576" s="3">
        <f>INDEX(Locations!$E$6:$E$455,MATCH(B576,Locations!$A$6:$A$455,0))</f>
        <v>-73.6710422684733</v>
      </c>
      <c r="U576" s="3">
        <f>INDEX(Locations!$D$6:$D$455,MATCH(C576,Locations!$A$6:$A$455,0))</f>
        <v>42.735012533958901</v>
      </c>
      <c r="V576" s="3">
        <f>INDEX(Locations!$E$6:$E$455,MATCH(C576,Locations!$A$6:$A$455,0))</f>
        <v>-73.673993162980494</v>
      </c>
    </row>
    <row r="577" spans="1:22" ht="23.1" customHeight="1">
      <c r="A577" s="1" t="s">
        <v>1185</v>
      </c>
      <c r="B577" s="1" t="s">
        <v>587</v>
      </c>
      <c r="C577" s="1" t="s">
        <v>584</v>
      </c>
      <c r="D577" s="1" t="s">
        <v>612</v>
      </c>
      <c r="E577" s="13">
        <f t="shared" si="8"/>
        <v>162.41217315910603</v>
      </c>
      <c r="F577" s="11" t="s">
        <v>70</v>
      </c>
      <c r="G577" s="11" t="s">
        <v>69</v>
      </c>
      <c r="H577" s="11" t="s">
        <v>69</v>
      </c>
      <c r="I577" s="11" t="s">
        <v>69</v>
      </c>
      <c r="J577" s="11" t="s">
        <v>69</v>
      </c>
      <c r="K577" s="14"/>
      <c r="L577" s="14"/>
      <c r="M577" s="11"/>
      <c r="N577" s="12"/>
      <c r="O577" s="11"/>
      <c r="P577" s="11"/>
      <c r="Q577" s="1">
        <v>573</v>
      </c>
      <c r="R577" s="1"/>
      <c r="S577" s="3">
        <f>INDEX(Locations!$D$6:$D$455,MATCH(B577,Locations!$A$6:$A$455,0))</f>
        <v>42.735268875385898</v>
      </c>
      <c r="T577" s="3">
        <f>INDEX(Locations!$E$6:$E$455,MATCH(B577,Locations!$A$6:$A$455,0))</f>
        <v>-73.675950876164805</v>
      </c>
      <c r="U577" s="3">
        <f>INDEX(Locations!$D$6:$D$455,MATCH(C577,Locations!$A$6:$A$455,0))</f>
        <v>42.735012533958901</v>
      </c>
      <c r="V577" s="3">
        <f>INDEX(Locations!$E$6:$E$455,MATCH(C577,Locations!$A$6:$A$455,0))</f>
        <v>-73.673993162980494</v>
      </c>
    </row>
    <row r="578" spans="1:22" ht="23.1" customHeight="1">
      <c r="A578" s="1" t="s">
        <v>1186</v>
      </c>
      <c r="B578" s="1" t="s">
        <v>580</v>
      </c>
      <c r="C578" s="1" t="s">
        <v>588</v>
      </c>
      <c r="D578" s="1" t="s">
        <v>612</v>
      </c>
      <c r="E578" s="13">
        <f t="shared" si="8"/>
        <v>407.6355221855477</v>
      </c>
      <c r="F578" s="11" t="s">
        <v>70</v>
      </c>
      <c r="G578" s="11" t="s">
        <v>69</v>
      </c>
      <c r="H578" s="11" t="s">
        <v>69</v>
      </c>
      <c r="I578" s="11" t="s">
        <v>69</v>
      </c>
      <c r="J578" s="11" t="s">
        <v>69</v>
      </c>
      <c r="K578" s="14"/>
      <c r="L578" s="14"/>
      <c r="M578" s="11"/>
      <c r="N578" s="12"/>
      <c r="O578" s="11"/>
      <c r="P578" s="11"/>
      <c r="Q578" s="1">
        <v>574</v>
      </c>
      <c r="R578" s="1"/>
      <c r="S578" s="3">
        <f>INDEX(Locations!$D$6:$D$455,MATCH(B578,Locations!$A$6:$A$455,0))</f>
        <v>42.738231170709803</v>
      </c>
      <c r="T578" s="3">
        <f>INDEX(Locations!$E$6:$E$455,MATCH(B578,Locations!$A$6:$A$455,0))</f>
        <v>-73.670029987509693</v>
      </c>
      <c r="U578" s="3">
        <f>INDEX(Locations!$D$6:$D$455,MATCH(C578,Locations!$A$6:$A$455,0))</f>
        <v>42.738920878584999</v>
      </c>
      <c r="V578" s="3">
        <f>INDEX(Locations!$E$6:$E$455,MATCH(C578,Locations!$A$6:$A$455,0))</f>
        <v>-73.674932228654299</v>
      </c>
    </row>
    <row r="579" spans="1:22" ht="23.1" customHeight="1">
      <c r="A579" s="1" t="s">
        <v>1187</v>
      </c>
      <c r="B579" s="1" t="s">
        <v>587</v>
      </c>
      <c r="C579" s="1" t="s">
        <v>588</v>
      </c>
      <c r="D579" s="1" t="s">
        <v>612</v>
      </c>
      <c r="E579" s="13">
        <f t="shared" si="8"/>
        <v>414.51834084760043</v>
      </c>
      <c r="F579" s="11" t="s">
        <v>70</v>
      </c>
      <c r="G579" s="11" t="s">
        <v>69</v>
      </c>
      <c r="H579" s="11" t="s">
        <v>69</v>
      </c>
      <c r="I579" s="11" t="s">
        <v>69</v>
      </c>
      <c r="J579" s="11" t="s">
        <v>69</v>
      </c>
      <c r="K579" s="14"/>
      <c r="L579" s="14"/>
      <c r="M579" s="11"/>
      <c r="N579" s="12"/>
      <c r="O579" s="11"/>
      <c r="P579" s="11"/>
      <c r="Q579" s="1">
        <v>575</v>
      </c>
      <c r="R579" s="1"/>
      <c r="S579" s="3">
        <f>INDEX(Locations!$D$6:$D$455,MATCH(B579,Locations!$A$6:$A$455,0))</f>
        <v>42.735268875385898</v>
      </c>
      <c r="T579" s="3">
        <f>INDEX(Locations!$E$6:$E$455,MATCH(B579,Locations!$A$6:$A$455,0))</f>
        <v>-73.675950876164805</v>
      </c>
      <c r="U579" s="3">
        <f>INDEX(Locations!$D$6:$D$455,MATCH(C579,Locations!$A$6:$A$455,0))</f>
        <v>42.738920878584999</v>
      </c>
      <c r="V579" s="3">
        <f>INDEX(Locations!$E$6:$E$455,MATCH(C579,Locations!$A$6:$A$455,0))</f>
        <v>-73.674932228654299</v>
      </c>
    </row>
    <row r="580" spans="1:22" ht="23.1" customHeight="1">
      <c r="A580" s="1" t="s">
        <v>1188</v>
      </c>
      <c r="B580" s="1" t="s">
        <v>217</v>
      </c>
      <c r="C580" s="1" t="s">
        <v>587</v>
      </c>
      <c r="D580" s="1" t="s">
        <v>612</v>
      </c>
      <c r="E580" s="13">
        <f t="shared" si="8"/>
        <v>250.45967077892331</v>
      </c>
      <c r="F580" s="11" t="s">
        <v>70</v>
      </c>
      <c r="G580" s="11" t="s">
        <v>69</v>
      </c>
      <c r="H580" s="11" t="s">
        <v>69</v>
      </c>
      <c r="I580" s="11" t="s">
        <v>69</v>
      </c>
      <c r="J580" s="11" t="s">
        <v>69</v>
      </c>
      <c r="K580" s="14"/>
      <c r="L580" s="14"/>
      <c r="M580" s="11"/>
      <c r="N580" s="12"/>
      <c r="O580" s="11"/>
      <c r="P580" s="11"/>
      <c r="Q580" s="1">
        <v>576</v>
      </c>
      <c r="R580" s="1"/>
      <c r="S580" s="3">
        <f>INDEX(Locations!$D$6:$D$455,MATCH(B580,Locations!$A$6:$A$455,0))</f>
        <v>42.733058361645902</v>
      </c>
      <c r="T580" s="3">
        <f>INDEX(Locations!$E$6:$E$455,MATCH(B580,Locations!$A$6:$A$455,0))</f>
        <v>-73.676539781756901</v>
      </c>
      <c r="U580" s="3">
        <f>INDEX(Locations!$D$6:$D$455,MATCH(C580,Locations!$A$6:$A$455,0))</f>
        <v>42.735268875385898</v>
      </c>
      <c r="V580" s="3">
        <f>INDEX(Locations!$E$6:$E$455,MATCH(C580,Locations!$A$6:$A$455,0))</f>
        <v>-73.675950876164805</v>
      </c>
    </row>
    <row r="581" spans="1:22" ht="23.1" customHeight="1">
      <c r="A581" s="1" t="s">
        <v>1189</v>
      </c>
      <c r="B581" s="1" t="s">
        <v>581</v>
      </c>
      <c r="C581" s="1" t="s">
        <v>589</v>
      </c>
      <c r="D581" s="1" t="s">
        <v>612</v>
      </c>
      <c r="E581" s="13">
        <f t="shared" si="8"/>
        <v>35.950265790939604</v>
      </c>
      <c r="F581" s="11" t="s">
        <v>70</v>
      </c>
      <c r="G581" s="11" t="s">
        <v>69</v>
      </c>
      <c r="H581" s="11" t="s">
        <v>69</v>
      </c>
      <c r="I581" s="11" t="s">
        <v>69</v>
      </c>
      <c r="J581" s="11" t="s">
        <v>69</v>
      </c>
      <c r="K581" s="14"/>
      <c r="L581" s="14"/>
      <c r="M581" s="11"/>
      <c r="N581" s="12"/>
      <c r="O581" s="11"/>
      <c r="P581" s="11"/>
      <c r="Q581" s="1">
        <v>577</v>
      </c>
      <c r="R581" s="1"/>
      <c r="S581" s="3">
        <f>INDEX(Locations!$D$6:$D$455,MATCH(B581,Locations!$A$6:$A$455,0))</f>
        <v>42.736805774434401</v>
      </c>
      <c r="T581" s="3">
        <f>INDEX(Locations!$E$6:$E$455,MATCH(B581,Locations!$A$6:$A$455,0))</f>
        <v>-73.670396063958805</v>
      </c>
      <c r="U581" s="3">
        <f>INDEX(Locations!$D$6:$D$455,MATCH(C581,Locations!$A$6:$A$455,0))</f>
        <v>42.736754046343798</v>
      </c>
      <c r="V581" s="3">
        <f>INDEX(Locations!$E$6:$E$455,MATCH(C581,Locations!$A$6:$A$455,0))</f>
        <v>-73.669961547130001</v>
      </c>
    </row>
    <row r="582" spans="1:22" ht="23.1" customHeight="1">
      <c r="A582" s="1" t="s">
        <v>1190</v>
      </c>
      <c r="B582" s="1" t="s">
        <v>109</v>
      </c>
      <c r="C582" s="1" t="s">
        <v>589</v>
      </c>
      <c r="D582" s="1" t="s">
        <v>612</v>
      </c>
      <c r="E582" s="13">
        <f t="shared" ref="E582:E589" si="9">2*6371000*ASIN(SQRT(MIN(1,SIN(RADIANS(U582-S582)/2)^2+COS(RADIANS(S582))*COS(RADIANS(U582))*SIN(RADIANS(V582-T582)/2)^2)))</f>
        <v>34.836909847853761</v>
      </c>
      <c r="F582" s="11" t="s">
        <v>70</v>
      </c>
      <c r="G582" s="11" t="s">
        <v>69</v>
      </c>
      <c r="H582" s="11" t="s">
        <v>69</v>
      </c>
      <c r="I582" s="11" t="s">
        <v>69</v>
      </c>
      <c r="J582" s="11" t="s">
        <v>69</v>
      </c>
      <c r="K582" s="14"/>
      <c r="L582" s="14"/>
      <c r="M582" s="11"/>
      <c r="N582" s="12"/>
      <c r="O582" s="11"/>
      <c r="P582" s="11"/>
      <c r="Q582" s="1">
        <v>578</v>
      </c>
      <c r="R582" s="1"/>
      <c r="S582" s="3">
        <f>INDEX(Locations!$D$6:$D$455,MATCH(B582,Locations!$A$6:$A$455,0))</f>
        <v>42.737063131193402</v>
      </c>
      <c r="T582" s="3">
        <f>INDEX(Locations!$E$6:$E$455,MATCH(B582,Locations!$A$6:$A$455,0))</f>
        <v>-73.669891845566596</v>
      </c>
      <c r="U582" s="3">
        <f>INDEX(Locations!$D$6:$D$455,MATCH(C582,Locations!$A$6:$A$455,0))</f>
        <v>42.736754046343798</v>
      </c>
      <c r="V582" s="3">
        <f>INDEX(Locations!$E$6:$E$455,MATCH(C582,Locations!$A$6:$A$455,0))</f>
        <v>-73.669961547130001</v>
      </c>
    </row>
    <row r="583" spans="1:22" ht="23.1" customHeight="1">
      <c r="A583" s="1" t="s">
        <v>1191</v>
      </c>
      <c r="B583" s="1" t="s">
        <v>590</v>
      </c>
      <c r="C583" s="1" t="s">
        <v>289</v>
      </c>
      <c r="D583" s="1" t="s">
        <v>612</v>
      </c>
      <c r="E583" s="13">
        <f t="shared" si="9"/>
        <v>39.890034715828321</v>
      </c>
      <c r="F583" s="11" t="s">
        <v>70</v>
      </c>
      <c r="G583" s="11" t="s">
        <v>69</v>
      </c>
      <c r="H583" s="11" t="s">
        <v>69</v>
      </c>
      <c r="I583" s="11" t="s">
        <v>69</v>
      </c>
      <c r="J583" s="11" t="s">
        <v>69</v>
      </c>
      <c r="K583" s="14"/>
      <c r="L583" s="14"/>
      <c r="M583" s="11"/>
      <c r="N583" s="12"/>
      <c r="O583" s="11"/>
      <c r="P583" s="11"/>
      <c r="Q583" s="1">
        <v>579</v>
      </c>
      <c r="R583" s="1"/>
      <c r="S583" s="3">
        <f>INDEX(Locations!$D$6:$D$455,MATCH(B583,Locations!$A$6:$A$455,0))</f>
        <v>42.729561542718699</v>
      </c>
      <c r="T583" s="3">
        <f>INDEX(Locations!$E$6:$E$455,MATCH(B583,Locations!$A$6:$A$455,0))</f>
        <v>-73.679627557023295</v>
      </c>
      <c r="U583" s="3">
        <f>INDEX(Locations!$D$6:$D$455,MATCH(C583,Locations!$A$6:$A$455,0))</f>
        <v>42.729916742274398</v>
      </c>
      <c r="V583" s="3">
        <f>INDEX(Locations!$E$6:$E$455,MATCH(C583,Locations!$A$6:$A$455,0))</f>
        <v>-73.679695997402902</v>
      </c>
    </row>
    <row r="584" spans="1:22" ht="23.1" customHeight="1">
      <c r="A584" s="1" t="s">
        <v>1192</v>
      </c>
      <c r="B584" s="1" t="s">
        <v>288</v>
      </c>
      <c r="C584" s="1" t="s">
        <v>590</v>
      </c>
      <c r="D584" s="1" t="s">
        <v>667</v>
      </c>
      <c r="E584" s="13">
        <f t="shared" si="9"/>
        <v>9.5632869763061983</v>
      </c>
      <c r="F584" s="11" t="s">
        <v>70</v>
      </c>
      <c r="G584" s="11" t="s">
        <v>69</v>
      </c>
      <c r="H584" s="11" t="s">
        <v>69</v>
      </c>
      <c r="I584" s="11" t="s">
        <v>69</v>
      </c>
      <c r="J584" s="11" t="s">
        <v>69</v>
      </c>
      <c r="K584" s="14"/>
      <c r="L584" s="14"/>
      <c r="M584" s="11"/>
      <c r="N584" s="12"/>
      <c r="O584" s="11"/>
      <c r="P584" s="11"/>
      <c r="Q584" s="1">
        <v>580</v>
      </c>
      <c r="R584" s="1"/>
      <c r="S584" s="3">
        <f>INDEX(Locations!$D$6:$D$455,MATCH(B584,Locations!$A$6:$A$455,0))</f>
        <v>42.729644307663797</v>
      </c>
      <c r="T584" s="3">
        <f>INDEX(Locations!$E$6:$E$455,MATCH(B584,Locations!$A$6:$A$455,0))</f>
        <v>-73.679659389758001</v>
      </c>
      <c r="U584" s="3">
        <f>INDEX(Locations!$D$6:$D$455,MATCH(C584,Locations!$A$6:$A$455,0))</f>
        <v>42.729561542718699</v>
      </c>
      <c r="V584" s="3">
        <f>INDEX(Locations!$E$6:$E$455,MATCH(C584,Locations!$A$6:$A$455,0))</f>
        <v>-73.679627557023295</v>
      </c>
    </row>
    <row r="585" spans="1:22" ht="23.1" customHeight="1">
      <c r="A585" s="1" t="s">
        <v>1193</v>
      </c>
      <c r="B585" s="1" t="s">
        <v>327</v>
      </c>
      <c r="C585" s="1" t="s">
        <v>590</v>
      </c>
      <c r="D585" s="1" t="s">
        <v>612</v>
      </c>
      <c r="E585" s="13">
        <f t="shared" si="9"/>
        <v>46.021423868423838</v>
      </c>
      <c r="F585" s="11" t="s">
        <v>70</v>
      </c>
      <c r="G585" s="11" t="s">
        <v>69</v>
      </c>
      <c r="H585" s="11" t="s">
        <v>69</v>
      </c>
      <c r="I585" s="11" t="s">
        <v>69</v>
      </c>
      <c r="J585" s="11" t="s">
        <v>69</v>
      </c>
      <c r="K585" s="14"/>
      <c r="L585" s="14"/>
      <c r="M585" s="11"/>
      <c r="N585" s="12"/>
      <c r="O585" s="11"/>
      <c r="P585" s="11"/>
      <c r="Q585" s="1">
        <v>581</v>
      </c>
      <c r="R585" s="1"/>
      <c r="S585" s="3">
        <f>INDEX(Locations!$D$6:$D$455,MATCH(B585,Locations!$A$6:$A$455,0))</f>
        <v>42.729184502413602</v>
      </c>
      <c r="T585" s="3">
        <f>INDEX(Locations!$E$6:$E$455,MATCH(B585,Locations!$A$6:$A$455,0))</f>
        <v>-73.679859935986599</v>
      </c>
      <c r="U585" s="3">
        <f>INDEX(Locations!$D$6:$D$455,MATCH(C585,Locations!$A$6:$A$455,0))</f>
        <v>42.729561542718699</v>
      </c>
      <c r="V585" s="3">
        <f>INDEX(Locations!$E$6:$E$455,MATCH(C585,Locations!$A$6:$A$455,0))</f>
        <v>-73.679627557023295</v>
      </c>
    </row>
    <row r="586" spans="1:22" ht="23.1" customHeight="1">
      <c r="A586" s="1" t="s">
        <v>1194</v>
      </c>
      <c r="B586" s="1" t="s">
        <v>430</v>
      </c>
      <c r="C586" s="1" t="s">
        <v>359</v>
      </c>
      <c r="D586" s="1" t="s">
        <v>667</v>
      </c>
      <c r="E586" s="13">
        <f t="shared" si="9"/>
        <v>54.976279390732834</v>
      </c>
      <c r="F586" s="11" t="s">
        <v>70</v>
      </c>
      <c r="G586" s="11" t="s">
        <v>69</v>
      </c>
      <c r="H586" s="11" t="s">
        <v>69</v>
      </c>
      <c r="I586" s="11" t="s">
        <v>69</v>
      </c>
      <c r="J586" s="11" t="s">
        <v>69</v>
      </c>
      <c r="K586" s="14"/>
      <c r="L586" s="14"/>
      <c r="M586" s="11"/>
      <c r="N586" s="12"/>
      <c r="O586" s="11"/>
      <c r="P586" s="11"/>
      <c r="Q586" s="1">
        <v>582</v>
      </c>
      <c r="R586" s="1"/>
      <c r="S586" s="3">
        <f>INDEX(Locations!$D$6:$D$455,MATCH(B586,Locations!$A$6:$A$455,0))</f>
        <v>42.7309616497053</v>
      </c>
      <c r="T586" s="3">
        <f>INDEX(Locations!$E$6:$E$455,MATCH(B586,Locations!$A$6:$A$455,0))</f>
        <v>-73.683358353530707</v>
      </c>
      <c r="U586" s="3">
        <f>INDEX(Locations!$D$6:$D$455,MATCH(C586,Locations!$A$6:$A$455,0))</f>
        <v>42.730575413295199</v>
      </c>
      <c r="V586" s="3">
        <f>INDEX(Locations!$E$6:$E$455,MATCH(C586,Locations!$A$6:$A$455,0))</f>
        <v>-73.682938161432602</v>
      </c>
    </row>
    <row r="587" spans="1:22" ht="23.1" customHeight="1">
      <c r="A587" s="1" t="s">
        <v>1195</v>
      </c>
      <c r="B587" s="1" t="s">
        <v>312</v>
      </c>
      <c r="C587" s="1" t="s">
        <v>359</v>
      </c>
      <c r="D587" s="1" t="s">
        <v>612</v>
      </c>
      <c r="E587" s="13">
        <f t="shared" si="9"/>
        <v>25.86566759942589</v>
      </c>
      <c r="F587" s="11" t="s">
        <v>70</v>
      </c>
      <c r="G587" s="11" t="s">
        <v>69</v>
      </c>
      <c r="H587" s="11" t="s">
        <v>69</v>
      </c>
      <c r="I587" s="11" t="s">
        <v>69</v>
      </c>
      <c r="J587" s="11" t="s">
        <v>69</v>
      </c>
      <c r="K587" s="14"/>
      <c r="L587" s="14"/>
      <c r="M587" s="11"/>
      <c r="N587" s="12"/>
      <c r="O587" s="11"/>
      <c r="P587" s="11"/>
      <c r="Q587" s="1">
        <v>583</v>
      </c>
      <c r="R587" s="1"/>
      <c r="S587" s="3">
        <f>INDEX(Locations!$D$6:$D$455,MATCH(B587,Locations!$A$6:$A$455,0))</f>
        <v>42.730448966851498</v>
      </c>
      <c r="T587" s="3">
        <f>INDEX(Locations!$E$6:$E$455,MATCH(B587,Locations!$A$6:$A$455,0))</f>
        <v>-73.682672358097903</v>
      </c>
      <c r="U587" s="3">
        <f>INDEX(Locations!$D$6:$D$455,MATCH(C587,Locations!$A$6:$A$455,0))</f>
        <v>42.730575413295199</v>
      </c>
      <c r="V587" s="3">
        <f>INDEX(Locations!$E$6:$E$455,MATCH(C587,Locations!$A$6:$A$455,0))</f>
        <v>-73.682938161432602</v>
      </c>
    </row>
    <row r="588" spans="1:22" ht="23.1" customHeight="1">
      <c r="A588" s="1" t="s">
        <v>1196</v>
      </c>
      <c r="B588" s="1" t="s">
        <v>167</v>
      </c>
      <c r="C588" s="1" t="s">
        <v>591</v>
      </c>
      <c r="D588" s="1" t="s">
        <v>612</v>
      </c>
      <c r="E588" s="13">
        <f t="shared" si="9"/>
        <v>39.708758612188362</v>
      </c>
      <c r="F588" s="11" t="s">
        <v>70</v>
      </c>
      <c r="G588" s="11" t="s">
        <v>69</v>
      </c>
      <c r="H588" s="11" t="s">
        <v>69</v>
      </c>
      <c r="I588" s="11" t="s">
        <v>69</v>
      </c>
      <c r="J588" s="11" t="s">
        <v>69</v>
      </c>
      <c r="K588" s="14"/>
      <c r="L588" s="14"/>
      <c r="M588" s="11"/>
      <c r="N588" s="12"/>
      <c r="O588" s="11"/>
      <c r="P588" s="11"/>
      <c r="Q588" s="1">
        <v>584</v>
      </c>
      <c r="R588" s="1"/>
      <c r="S588" s="3">
        <f>INDEX(Locations!$D$6:$D$455,MATCH(B588,Locations!$A$6:$A$455,0))</f>
        <v>42.730132108819497</v>
      </c>
      <c r="T588" s="3">
        <f>INDEX(Locations!$E$6:$E$455,MATCH(B588,Locations!$A$6:$A$455,0))</f>
        <v>-73.677722535303204</v>
      </c>
      <c r="U588" s="3">
        <f>INDEX(Locations!$D$6:$D$455,MATCH(C588,Locations!$A$6:$A$455,0))</f>
        <v>42.730489199810798</v>
      </c>
      <c r="V588" s="3">
        <f>INDEX(Locations!$E$6:$E$455,MATCH(C588,Locations!$A$6:$A$455,0))</f>
        <v>-73.677717592940994</v>
      </c>
    </row>
    <row r="589" spans="1:22" ht="23.1" customHeight="1">
      <c r="A589" s="1" t="s">
        <v>1197</v>
      </c>
      <c r="B589" s="1" t="s">
        <v>272</v>
      </c>
      <c r="C589" s="1" t="s">
        <v>591</v>
      </c>
      <c r="D589" s="1" t="s">
        <v>612</v>
      </c>
      <c r="E589" s="13">
        <f t="shared" si="9"/>
        <v>26.196167034634662</v>
      </c>
      <c r="F589" s="11" t="s">
        <v>70</v>
      </c>
      <c r="G589" s="11" t="s">
        <v>69</v>
      </c>
      <c r="H589" s="11" t="s">
        <v>69</v>
      </c>
      <c r="I589" s="11" t="s">
        <v>69</v>
      </c>
      <c r="J589" s="11" t="s">
        <v>69</v>
      </c>
      <c r="K589" s="14"/>
      <c r="L589" s="14"/>
      <c r="M589" s="11"/>
      <c r="N589" s="12"/>
      <c r="O589" s="11"/>
      <c r="P589" s="11"/>
      <c r="Q589" s="1">
        <v>585</v>
      </c>
      <c r="R589" s="1"/>
      <c r="S589" s="3">
        <f>INDEX(Locations!$D$6:$D$455,MATCH(B589,Locations!$A$6:$A$455,0))</f>
        <v>42.730517937639</v>
      </c>
      <c r="T589" s="3">
        <f>INDEX(Locations!$E$6:$E$455,MATCH(B589,Locations!$A$6:$A$455,0))</f>
        <v>-73.678035920287996</v>
      </c>
      <c r="U589" s="3">
        <f>INDEX(Locations!$D$6:$D$455,MATCH(C589,Locations!$A$6:$A$455,0))</f>
        <v>42.730489199810798</v>
      </c>
      <c r="V589" s="3">
        <f>INDEX(Locations!$E$6:$E$455,MATCH(C589,Locations!$A$6:$A$455,0))</f>
        <v>-73.677717592940994</v>
      </c>
    </row>
  </sheetData>
  <conditionalFormatting sqref="D6:D589">
    <cfRule type="containsText" dxfId="1" priority="1" operator="containsText" text="FALSE"/>
  </conditionalFormatting>
  <conditionalFormatting sqref="G6:G589">
    <cfRule type="cellIs" dxfId="0" priority="2" operator="equal">
      <formula>"no"</formula>
    </cfRule>
  </conditionalFormatting>
  <dataValidations count="4">
    <dataValidation type="list" sqref="F6:F589" xr:uid="{00000000-0002-0000-0200-000000000000}">
      <formula1>"unverified,needs_review,checked"</formula1>
    </dataValidation>
    <dataValidation type="list" sqref="G6:I589" xr:uid="{00000000-0002-0000-0200-000001000000}">
      <formula1>"unknown,yes,no"</formula1>
    </dataValidation>
    <dataValidation type="list" sqref="J6:J589" xr:uid="{00000000-0002-0000-0200-000002000000}">
      <formula1>"unknown,concrete,asphalt,brick,pavers,gravel,dirt,mixed,other"</formula1>
    </dataValidation>
    <dataValidation type="decimal" operator="greaterThanOrEqual" sqref="K6:L589" xr:uid="{00000000-0002-0000-0200-000003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6" sqref="B6"/>
    </sheetView>
  </sheetViews>
  <sheetFormatPr defaultRowHeight="14.25"/>
  <cols>
    <col min="1" max="1" width="13" customWidth="1"/>
    <col min="2" max="2" width="15" customWidth="1"/>
    <col min="3" max="3" width="30" customWidth="1"/>
    <col min="4" max="4" width="63" customWidth="1"/>
    <col min="5" max="5" width="67" customWidth="1"/>
    <col min="6" max="6" width="48" customWidth="1"/>
  </cols>
  <sheetData>
    <row r="1" spans="1:6" ht="23.1" customHeight="1">
      <c r="A1" s="1"/>
      <c r="B1" s="1"/>
      <c r="C1" s="1"/>
      <c r="D1" s="1"/>
      <c r="E1" s="1"/>
      <c r="F1" s="1"/>
    </row>
    <row r="2" spans="1:6" ht="23.1" customHeight="1">
      <c r="A2" s="7" t="s">
        <v>1198</v>
      </c>
      <c r="B2" s="1"/>
      <c r="C2" s="1"/>
      <c r="D2" s="1"/>
      <c r="E2" s="1"/>
      <c r="F2" s="1"/>
    </row>
    <row r="3" spans="1:6" ht="23.1" customHeight="1">
      <c r="A3" s="8"/>
      <c r="B3" s="8"/>
      <c r="C3" s="8"/>
      <c r="D3" s="8"/>
      <c r="E3" s="8"/>
      <c r="F3" s="8"/>
    </row>
    <row r="4" spans="1:6" ht="23.1" customHeight="1">
      <c r="A4" s="9" t="s">
        <v>1199</v>
      </c>
      <c r="B4" s="1"/>
      <c r="C4" s="1"/>
      <c r="D4" s="1"/>
      <c r="E4" s="1"/>
      <c r="F4" s="1"/>
    </row>
    <row r="5" spans="1:6" ht="36" customHeight="1">
      <c r="A5" s="2" t="s">
        <v>1200</v>
      </c>
      <c r="B5" s="2" t="s">
        <v>1201</v>
      </c>
      <c r="C5" s="2" t="s">
        <v>1202</v>
      </c>
      <c r="D5" s="2" t="s">
        <v>1203</v>
      </c>
      <c r="E5" s="2" t="s">
        <v>23</v>
      </c>
      <c r="F5" s="2" t="s">
        <v>1204</v>
      </c>
    </row>
    <row r="6" spans="1:6" ht="57.95" customHeight="1">
      <c r="A6" s="4" t="s">
        <v>1205</v>
      </c>
      <c r="B6" s="4" t="s">
        <v>1206</v>
      </c>
      <c r="C6" s="4" t="s">
        <v>1207</v>
      </c>
      <c r="D6" s="4" t="s">
        <v>1208</v>
      </c>
      <c r="E6" s="4" t="s">
        <v>1209</v>
      </c>
      <c r="F6" s="4" t="s">
        <v>1210</v>
      </c>
    </row>
    <row r="7" spans="1:6" ht="57.95" customHeight="1">
      <c r="A7" s="4" t="s">
        <v>1211</v>
      </c>
      <c r="B7" s="4" t="s">
        <v>1212</v>
      </c>
      <c r="C7" s="4" t="s">
        <v>1213</v>
      </c>
      <c r="D7" s="4" t="s">
        <v>1214</v>
      </c>
      <c r="E7" s="4" t="s">
        <v>1215</v>
      </c>
      <c r="F7" s="4" t="s">
        <v>1216</v>
      </c>
    </row>
    <row r="8" spans="1:6" ht="57.95" customHeight="1">
      <c r="A8" s="4" t="s">
        <v>1217</v>
      </c>
      <c r="B8" s="4" t="s">
        <v>1218</v>
      </c>
      <c r="C8" s="4" t="s">
        <v>1219</v>
      </c>
      <c r="D8" s="4" t="s">
        <v>1220</v>
      </c>
      <c r="E8" s="4" t="s">
        <v>1221</v>
      </c>
      <c r="F8" s="4" t="s">
        <v>1222</v>
      </c>
    </row>
    <row r="9" spans="1:6" ht="57.95" customHeight="1">
      <c r="A9" s="4" t="s">
        <v>1223</v>
      </c>
      <c r="B9" s="4" t="s">
        <v>1218</v>
      </c>
      <c r="C9" s="4" t="s">
        <v>1224</v>
      </c>
      <c r="D9" s="4" t="s">
        <v>1225</v>
      </c>
      <c r="E9" s="4" t="s">
        <v>1226</v>
      </c>
      <c r="F9" s="4" t="s">
        <v>1227</v>
      </c>
    </row>
    <row r="10" spans="1:6" ht="57.95" customHeight="1">
      <c r="A10" s="4" t="s">
        <v>1228</v>
      </c>
      <c r="B10" s="4" t="s">
        <v>1218</v>
      </c>
      <c r="C10" s="4" t="s">
        <v>1229</v>
      </c>
      <c r="D10" s="4" t="s">
        <v>1230</v>
      </c>
      <c r="E10" s="4" t="s">
        <v>1231</v>
      </c>
      <c r="F10" s="4" t="s">
        <v>1232</v>
      </c>
    </row>
    <row r="11" spans="1:6" ht="57.95" customHeight="1">
      <c r="A11" s="4" t="s">
        <v>1233</v>
      </c>
      <c r="B11" s="4" t="s">
        <v>1234</v>
      </c>
      <c r="C11" s="4" t="s">
        <v>1235</v>
      </c>
      <c r="D11" s="4" t="s">
        <v>1236</v>
      </c>
      <c r="E11" s="4" t="s">
        <v>1237</v>
      </c>
      <c r="F11" s="4" t="s">
        <v>1238</v>
      </c>
    </row>
    <row r="12" spans="1:6" ht="57.95" customHeight="1">
      <c r="A12" s="4" t="s">
        <v>1239</v>
      </c>
      <c r="B12" s="4" t="s">
        <v>1240</v>
      </c>
      <c r="C12" s="4" t="s">
        <v>1241</v>
      </c>
      <c r="D12" s="4" t="s">
        <v>1242</v>
      </c>
      <c r="E12" s="4" t="s">
        <v>1243</v>
      </c>
      <c r="F12" s="4" t="s">
        <v>1244</v>
      </c>
    </row>
    <row r="13" spans="1:6" ht="57.95" customHeight="1">
      <c r="A13" s="4" t="s">
        <v>1245</v>
      </c>
      <c r="B13" s="4" t="s">
        <v>1246</v>
      </c>
      <c r="C13" s="4" t="s">
        <v>1247</v>
      </c>
      <c r="D13" s="4" t="s">
        <v>1248</v>
      </c>
      <c r="E13" s="4" t="s">
        <v>1249</v>
      </c>
      <c r="F13" s="4" t="s">
        <v>1250</v>
      </c>
    </row>
    <row r="14" spans="1:6" ht="57.95" customHeight="1">
      <c r="A14" s="4" t="s">
        <v>1251</v>
      </c>
      <c r="B14" s="4" t="s">
        <v>1246</v>
      </c>
      <c r="C14" s="4" t="s">
        <v>1252</v>
      </c>
      <c r="D14" s="4" t="s">
        <v>1253</v>
      </c>
      <c r="E14" s="4" t="s">
        <v>1254</v>
      </c>
      <c r="F14" s="4" t="s">
        <v>1255</v>
      </c>
    </row>
    <row r="15" spans="1:6" ht="57.95" customHeight="1">
      <c r="A15" s="4" t="s">
        <v>1256</v>
      </c>
      <c r="B15" s="4" t="s">
        <v>1218</v>
      </c>
      <c r="C15" s="4" t="s">
        <v>1257</v>
      </c>
      <c r="D15" s="4" t="s">
        <v>1258</v>
      </c>
      <c r="E15" s="4" t="s">
        <v>1259</v>
      </c>
      <c r="F15" s="4" t="s">
        <v>1260</v>
      </c>
    </row>
    <row r="16" spans="1:6" ht="57.95" customHeight="1">
      <c r="A16" s="4" t="s">
        <v>1261</v>
      </c>
      <c r="B16" s="4" t="s">
        <v>1262</v>
      </c>
      <c r="C16" s="4" t="s">
        <v>1263</v>
      </c>
      <c r="D16" s="4" t="s">
        <v>1264</v>
      </c>
      <c r="E16" s="4" t="s">
        <v>1265</v>
      </c>
      <c r="F16" s="4" t="s">
        <v>1266</v>
      </c>
    </row>
    <row r="17" spans="1:6" ht="57.95" customHeight="1">
      <c r="A17" s="4" t="s">
        <v>1267</v>
      </c>
      <c r="B17" s="4" t="s">
        <v>1268</v>
      </c>
      <c r="C17" s="4" t="s">
        <v>1269</v>
      </c>
      <c r="D17" s="4" t="s">
        <v>1270</v>
      </c>
      <c r="E17" s="4" t="s">
        <v>1271</v>
      </c>
      <c r="F17" s="4" t="s">
        <v>1272</v>
      </c>
    </row>
    <row r="18" spans="1:6" ht="23.1" customHeight="1">
      <c r="A18" s="1"/>
      <c r="B18" s="1"/>
      <c r="C18" s="1"/>
      <c r="D18" s="1"/>
      <c r="E18" s="1"/>
      <c r="F18" s="1"/>
    </row>
    <row r="19" spans="1:6" ht="23.1" customHeight="1">
      <c r="A19" s="5" t="s">
        <v>1273</v>
      </c>
      <c r="B19" s="1"/>
      <c r="C19" s="1"/>
      <c r="D19" s="1"/>
      <c r="E19" s="1"/>
      <c r="F19" s="1"/>
    </row>
    <row r="20" spans="1:6" ht="23.1" customHeight="1">
      <c r="A20" s="1"/>
      <c r="B20" s="1"/>
      <c r="C20" s="1"/>
      <c r="D20" s="1"/>
      <c r="E20" s="1"/>
      <c r="F20" s="1"/>
    </row>
    <row r="21" spans="1:6" ht="36" customHeight="1">
      <c r="A21" s="2" t="s">
        <v>1274</v>
      </c>
      <c r="B21" s="2" t="s">
        <v>1275</v>
      </c>
      <c r="C21" s="2" t="s">
        <v>1276</v>
      </c>
      <c r="D21" s="2" t="s">
        <v>1277</v>
      </c>
      <c r="E21" s="2" t="s">
        <v>1278</v>
      </c>
      <c r="F21" s="2" t="s">
        <v>1279</v>
      </c>
    </row>
    <row r="22" spans="1:6" ht="23.1" customHeight="1">
      <c r="A22" s="4" t="s">
        <v>1187</v>
      </c>
      <c r="B22" s="4">
        <v>575</v>
      </c>
      <c r="C22" s="4" t="s">
        <v>587</v>
      </c>
      <c r="D22" s="4" t="s">
        <v>588</v>
      </c>
      <c r="E22" s="16">
        <v>414.51834084732997</v>
      </c>
      <c r="F22" s="4" t="s">
        <v>1280</v>
      </c>
    </row>
    <row r="23" spans="1:6" ht="23.1" customHeight="1">
      <c r="A23" s="4" t="s">
        <v>1186</v>
      </c>
      <c r="B23" s="4">
        <v>574</v>
      </c>
      <c r="C23" s="4" t="s">
        <v>580</v>
      </c>
      <c r="D23" s="4" t="s">
        <v>588</v>
      </c>
      <c r="E23" s="16">
        <v>407.63552218492021</v>
      </c>
      <c r="F23" s="4" t="s">
        <v>1280</v>
      </c>
    </row>
    <row r="24" spans="1:6" ht="23.1" customHeight="1">
      <c r="A24" s="4" t="s">
        <v>1176</v>
      </c>
      <c r="B24" s="4">
        <v>564</v>
      </c>
      <c r="C24" s="4" t="s">
        <v>571</v>
      </c>
      <c r="D24" s="4" t="s">
        <v>582</v>
      </c>
      <c r="E24" s="16">
        <v>298.96342382400763</v>
      </c>
      <c r="F24" s="4" t="s">
        <v>1280</v>
      </c>
    </row>
    <row r="25" spans="1:6" ht="23.1" customHeight="1">
      <c r="A25" s="4" t="s">
        <v>1178</v>
      </c>
      <c r="B25" s="4">
        <v>566</v>
      </c>
      <c r="C25" s="4" t="s">
        <v>580</v>
      </c>
      <c r="D25" s="4" t="s">
        <v>579</v>
      </c>
      <c r="E25" s="16">
        <v>296.9516552855481</v>
      </c>
      <c r="F25" s="4" t="s">
        <v>1280</v>
      </c>
    </row>
    <row r="26" spans="1:6" ht="23.1" customHeight="1">
      <c r="A26" s="4" t="s">
        <v>915</v>
      </c>
      <c r="B26" s="4">
        <v>303</v>
      </c>
      <c r="C26" s="4" t="s">
        <v>369</v>
      </c>
      <c r="D26" s="4" t="s">
        <v>406</v>
      </c>
      <c r="E26" s="16">
        <v>262.88041221388681</v>
      </c>
      <c r="F26" s="4" t="s">
        <v>1280</v>
      </c>
    </row>
    <row r="27" spans="1:6" ht="23.1" customHeight="1">
      <c r="A27" s="4" t="s">
        <v>614</v>
      </c>
      <c r="B27" s="4">
        <v>4</v>
      </c>
      <c r="C27" s="4" t="s">
        <v>218</v>
      </c>
      <c r="D27" s="4" t="s">
        <v>217</v>
      </c>
      <c r="E27" s="16">
        <v>260.4318534116627</v>
      </c>
      <c r="F27" s="4" t="s">
        <v>1280</v>
      </c>
    </row>
    <row r="28" spans="1:6" ht="23.1" customHeight="1">
      <c r="A28" s="4" t="s">
        <v>1188</v>
      </c>
      <c r="B28" s="4">
        <v>576</v>
      </c>
      <c r="C28" s="4" t="s">
        <v>217</v>
      </c>
      <c r="D28" s="4" t="s">
        <v>587</v>
      </c>
      <c r="E28" s="16">
        <v>250.45967077909069</v>
      </c>
      <c r="F28" s="4" t="s">
        <v>1280</v>
      </c>
    </row>
    <row r="29" spans="1:6" ht="23.1" customHeight="1">
      <c r="A29" s="4" t="s">
        <v>989</v>
      </c>
      <c r="B29" s="4">
        <v>377</v>
      </c>
      <c r="C29" s="4" t="s">
        <v>454</v>
      </c>
      <c r="D29" s="4" t="s">
        <v>455</v>
      </c>
      <c r="E29" s="16">
        <v>250.33488459875838</v>
      </c>
      <c r="F29" s="4" t="s">
        <v>1280</v>
      </c>
    </row>
    <row r="30" spans="1:6" ht="23.1" customHeight="1">
      <c r="A30" s="4" t="s">
        <v>1182</v>
      </c>
      <c r="B30" s="4">
        <v>570</v>
      </c>
      <c r="C30" s="4" t="s">
        <v>586</v>
      </c>
      <c r="D30" s="4" t="s">
        <v>584</v>
      </c>
      <c r="E30" s="16">
        <v>250.18358871135823</v>
      </c>
      <c r="F30" s="4" t="s">
        <v>1280</v>
      </c>
    </row>
    <row r="31" spans="1:6" ht="23.1" customHeight="1">
      <c r="A31" s="4" t="s">
        <v>1184</v>
      </c>
      <c r="B31" s="4">
        <v>572</v>
      </c>
      <c r="C31" s="4" t="s">
        <v>583</v>
      </c>
      <c r="D31" s="4" t="s">
        <v>584</v>
      </c>
      <c r="E31" s="16">
        <v>245.85403333978724</v>
      </c>
      <c r="F31" s="4" t="s">
        <v>1280</v>
      </c>
    </row>
    <row r="32" spans="1:6" ht="23.1" customHeight="1">
      <c r="A32" s="4" t="s">
        <v>1181</v>
      </c>
      <c r="B32" s="4">
        <v>569</v>
      </c>
      <c r="C32" s="4" t="s">
        <v>216</v>
      </c>
      <c r="D32" s="4" t="s">
        <v>583</v>
      </c>
      <c r="E32" s="16">
        <v>243.41309270719273</v>
      </c>
      <c r="F32" s="4" t="s">
        <v>1280</v>
      </c>
    </row>
    <row r="33" spans="1:6" ht="23.1" customHeight="1">
      <c r="A33" s="4" t="s">
        <v>1007</v>
      </c>
      <c r="B33" s="4">
        <v>395</v>
      </c>
      <c r="C33" s="4" t="s">
        <v>460</v>
      </c>
      <c r="D33" s="4" t="s">
        <v>467</v>
      </c>
      <c r="E33" s="16">
        <v>233.32241548185775</v>
      </c>
      <c r="F33" s="4" t="s">
        <v>1280</v>
      </c>
    </row>
    <row r="34" spans="1:6" ht="23.1" customHeight="1">
      <c r="A34" s="4" t="s">
        <v>1003</v>
      </c>
      <c r="B34" s="4">
        <v>391</v>
      </c>
      <c r="C34" s="4" t="s">
        <v>463</v>
      </c>
      <c r="D34" s="4" t="s">
        <v>460</v>
      </c>
      <c r="E34" s="16">
        <v>227.04887070420037</v>
      </c>
      <c r="F34" s="4" t="s">
        <v>1280</v>
      </c>
    </row>
    <row r="35" spans="1:6" ht="23.1" customHeight="1">
      <c r="A35" s="4" t="s">
        <v>918</v>
      </c>
      <c r="B35" s="4">
        <v>306</v>
      </c>
      <c r="C35" s="4" t="s">
        <v>407</v>
      </c>
      <c r="D35" s="4" t="s">
        <v>409</v>
      </c>
      <c r="E35" s="16">
        <v>219.66288568718926</v>
      </c>
      <c r="F35" s="4" t="s">
        <v>1280</v>
      </c>
    </row>
    <row r="36" spans="1:6" ht="23.1" customHeight="1">
      <c r="A36" s="4" t="s">
        <v>970</v>
      </c>
      <c r="B36" s="4">
        <v>358</v>
      </c>
      <c r="C36" s="4" t="s">
        <v>394</v>
      </c>
      <c r="D36" s="4" t="s">
        <v>443</v>
      </c>
      <c r="E36" s="16">
        <v>210.93116402483207</v>
      </c>
      <c r="F36" s="4" t="s">
        <v>1280</v>
      </c>
    </row>
    <row r="37" spans="1:6" ht="23.1" customHeight="1">
      <c r="A37" s="4" t="s">
        <v>909</v>
      </c>
      <c r="B37" s="4">
        <v>297</v>
      </c>
      <c r="C37" s="4" t="s">
        <v>403</v>
      </c>
      <c r="D37" s="4" t="s">
        <v>182</v>
      </c>
      <c r="E37" s="16">
        <v>210.74745389506859</v>
      </c>
      <c r="F37" s="4" t="s">
        <v>1280</v>
      </c>
    </row>
    <row r="38" spans="1:6" ht="23.1" customHeight="1">
      <c r="A38" s="4" t="s">
        <v>1180</v>
      </c>
      <c r="B38" s="4">
        <v>568</v>
      </c>
      <c r="C38" s="4" t="s">
        <v>582</v>
      </c>
      <c r="D38" s="4" t="s">
        <v>583</v>
      </c>
      <c r="E38" s="16">
        <v>208.82064865382725</v>
      </c>
      <c r="F38" s="4" t="s">
        <v>1280</v>
      </c>
    </row>
    <row r="39" spans="1:6" ht="23.1" customHeight="1">
      <c r="A39" s="4" t="s">
        <v>1179</v>
      </c>
      <c r="B39" s="4">
        <v>567</v>
      </c>
      <c r="C39" s="4" t="s">
        <v>571</v>
      </c>
      <c r="D39" s="4" t="s">
        <v>579</v>
      </c>
      <c r="E39" s="16">
        <v>201.67304604486452</v>
      </c>
      <c r="F39" s="4" t="s">
        <v>1280</v>
      </c>
    </row>
    <row r="40" spans="1:6" ht="23.1" customHeight="1">
      <c r="A40" s="1"/>
      <c r="B40" s="1"/>
      <c r="C40" s="1"/>
      <c r="D40" s="1"/>
      <c r="E40" s="1"/>
      <c r="F40" s="1"/>
    </row>
    <row r="41" spans="1:6" ht="23.1" customHeight="1">
      <c r="A41" s="1"/>
      <c r="B41" s="1"/>
      <c r="C41" s="1"/>
      <c r="D41" s="1"/>
      <c r="E41" s="1"/>
      <c r="F41" s="1"/>
    </row>
    <row r="42" spans="1:6" ht="23.1" customHeight="1">
      <c r="A42" s="5" t="s">
        <v>1281</v>
      </c>
      <c r="B42" s="1"/>
      <c r="C42" s="1"/>
      <c r="D42" s="1"/>
      <c r="E42" s="1"/>
      <c r="F42" s="1"/>
    </row>
    <row r="43" spans="1:6" ht="23.1" customHeight="1">
      <c r="A43" s="1"/>
      <c r="B43" s="1"/>
      <c r="C43" s="1"/>
      <c r="D43" s="1"/>
      <c r="E43" s="1"/>
      <c r="F43" s="1"/>
    </row>
    <row r="44" spans="1:6" ht="23.1" customHeight="1">
      <c r="A44" s="1" t="s">
        <v>1282</v>
      </c>
      <c r="B44" s="1"/>
      <c r="C44" s="1" t="s">
        <v>1283</v>
      </c>
      <c r="D44" s="1"/>
      <c r="E44" s="1"/>
      <c r="F44" s="1"/>
    </row>
    <row r="45" spans="1:6" ht="23.1" customHeight="1">
      <c r="A45" s="1"/>
      <c r="B45" s="1"/>
      <c r="C45" s="1"/>
      <c r="D45" s="1"/>
      <c r="E45" s="1"/>
      <c r="F45" s="1"/>
    </row>
    <row r="46" spans="1:6" ht="23.1" customHeight="1">
      <c r="A46" s="1" t="s">
        <v>1284</v>
      </c>
      <c r="B46" s="1"/>
      <c r="C46" s="1" t="s">
        <v>1285</v>
      </c>
      <c r="D46" s="1"/>
      <c r="E46" s="1"/>
      <c r="F46" s="1"/>
    </row>
    <row r="47" spans="1:6" ht="23.1" customHeight="1">
      <c r="A47" s="1"/>
      <c r="B47" s="1"/>
      <c r="C47" s="1"/>
      <c r="D47" s="1"/>
      <c r="E47" s="1"/>
      <c r="F47" s="1"/>
    </row>
    <row r="48" spans="1:6" ht="23.1" customHeight="1">
      <c r="A48" s="1" t="s">
        <v>1286</v>
      </c>
      <c r="B48" s="1"/>
      <c r="C48" s="1" t="s">
        <v>1287</v>
      </c>
      <c r="D48" s="1"/>
      <c r="E48" s="1"/>
      <c r="F48" s="1"/>
    </row>
    <row r="49" spans="1:6" ht="23.1" customHeight="1">
      <c r="A49" s="1"/>
      <c r="B49" s="1"/>
      <c r="C49" s="1"/>
      <c r="D49" s="1"/>
      <c r="E49" s="1"/>
      <c r="F49" s="1"/>
    </row>
    <row r="50" spans="1:6" ht="23.1" customHeight="1">
      <c r="A50" s="1" t="s">
        <v>1288</v>
      </c>
      <c r="B50" s="1"/>
      <c r="C50" s="1" t="s">
        <v>1289</v>
      </c>
      <c r="D50" s="1"/>
      <c r="E50" s="1"/>
      <c r="F50" s="1"/>
    </row>
    <row r="51" spans="1:6" ht="23.1" customHeight="1">
      <c r="A51" s="1"/>
      <c r="B51" s="1"/>
      <c r="C51" s="1"/>
      <c r="D51" s="1"/>
      <c r="E51" s="1"/>
      <c r="F51" s="1"/>
    </row>
    <row r="52" spans="1:6" ht="23.1" customHeight="1">
      <c r="A52" s="1" t="s">
        <v>1290</v>
      </c>
      <c r="B52" s="1"/>
      <c r="C52" s="1" t="s">
        <v>1291</v>
      </c>
      <c r="D52" s="1"/>
      <c r="E52" s="1"/>
      <c r="F52" s="1"/>
    </row>
    <row r="53" spans="1:6" ht="23.1" customHeight="1">
      <c r="A53" s="1"/>
      <c r="B53" s="1"/>
      <c r="C53" s="1"/>
      <c r="D53" s="1"/>
      <c r="E53" s="1"/>
      <c r="F53" s="1"/>
    </row>
    <row r="54" spans="1:6" ht="23.1" customHeight="1">
      <c r="A54" s="1"/>
      <c r="B54" s="1"/>
      <c r="C54" s="1"/>
      <c r="D54" s="1"/>
      <c r="E54" s="1"/>
      <c r="F54" s="1"/>
    </row>
    <row r="55" spans="1:6" ht="23.1" customHeight="1">
      <c r="A55" s="1" t="s">
        <v>1292</v>
      </c>
      <c r="B55" s="1"/>
      <c r="C55" s="1"/>
      <c r="D55" s="1"/>
      <c r="E55" s="1"/>
      <c r="F55" s="1"/>
    </row>
    <row r="56" spans="1:6" ht="23.1" customHeight="1">
      <c r="A56" s="1"/>
      <c r="B56" s="1"/>
      <c r="C56" s="1"/>
      <c r="D56" s="1"/>
      <c r="E56" s="1"/>
      <c r="F56" s="1"/>
    </row>
    <row r="57" spans="1:6" ht="23.1" customHeight="1">
      <c r="A57" s="1" t="s">
        <v>1293</v>
      </c>
      <c r="B57" s="1"/>
      <c r="C57" s="1"/>
      <c r="D57" s="1"/>
      <c r="E57" s="1"/>
      <c r="F57" s="1"/>
    </row>
    <row r="58" spans="1:6" ht="23.1" customHeight="1">
      <c r="A58" s="1"/>
      <c r="B58" s="1"/>
      <c r="C58" s="1"/>
      <c r="D58" s="1"/>
      <c r="E58" s="1"/>
      <c r="F58" s="1"/>
    </row>
    <row r="59" spans="1:6" ht="23.1" customHeight="1">
      <c r="A59" s="1"/>
      <c r="B59" s="1"/>
      <c r="C59" s="1"/>
      <c r="D59" s="1"/>
      <c r="E59" s="1"/>
      <c r="F59" s="1"/>
    </row>
    <row r="60" spans="1:6" ht="23.1" customHeight="1">
      <c r="A60" s="1"/>
      <c r="B60" s="1"/>
      <c r="C60" s="1"/>
      <c r="D60" s="1"/>
      <c r="E60" s="1"/>
      <c r="F60" s="1"/>
    </row>
    <row r="61" spans="1:6" ht="23.1" customHeight="1">
      <c r="A61" s="1"/>
      <c r="B61" s="1"/>
      <c r="C61" s="1"/>
      <c r="D61" s="1"/>
      <c r="E61" s="1"/>
      <c r="F61" s="1"/>
    </row>
    <row r="62" spans="1:6" ht="23.1" customHeight="1">
      <c r="A62" s="1"/>
      <c r="B62" s="1"/>
      <c r="C62" s="1"/>
      <c r="D62" s="1"/>
      <c r="E62" s="1"/>
      <c r="F62" s="1"/>
    </row>
    <row r="63" spans="1:6" ht="23.1" customHeight="1">
      <c r="A63" s="1"/>
      <c r="B63" s="1"/>
      <c r="C63" s="1"/>
      <c r="D63" s="1"/>
      <c r="E63" s="1"/>
      <c r="F63" s="1"/>
    </row>
    <row r="64" spans="1:6" ht="23.1" customHeight="1">
      <c r="A64" s="1"/>
      <c r="B64" s="1"/>
      <c r="C64" s="1"/>
      <c r="D64" s="1"/>
      <c r="E64" s="1"/>
      <c r="F64" s="1"/>
    </row>
    <row r="65" spans="1:6" ht="23.1" customHeight="1">
      <c r="A65" s="1"/>
      <c r="B65" s="1"/>
      <c r="C65" s="1"/>
      <c r="D65" s="1"/>
      <c r="E65" s="1"/>
      <c r="F65" s="1"/>
    </row>
    <row r="66" spans="1:6" ht="23.1" customHeight="1">
      <c r="A66" s="1"/>
      <c r="B66" s="1"/>
      <c r="C66" s="1"/>
      <c r="D66" s="1"/>
      <c r="E66" s="1"/>
      <c r="F66" s="1"/>
    </row>
    <row r="67" spans="1:6" ht="23.1" customHeight="1">
      <c r="A67" s="1"/>
      <c r="B67" s="1"/>
      <c r="C67" s="1"/>
      <c r="D67" s="1"/>
      <c r="E67" s="1"/>
      <c r="F67" s="1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2"/>
  <sheetViews>
    <sheetView showGridLines="0" workbookViewId="0">
      <pane ySplit="1" topLeftCell="A2" activePane="bottomLeft" state="frozen"/>
      <selection pane="bottomLeft" activeCell="A2" sqref="A2:XFD2"/>
    </sheetView>
  </sheetViews>
  <sheetFormatPr defaultRowHeight="14.25"/>
  <cols>
    <col min="1" max="1" width="64" customWidth="1"/>
    <col min="2" max="3" width="23" customWidth="1"/>
    <col min="5" max="5" width="87" customWidth="1"/>
  </cols>
  <sheetData>
    <row r="1" spans="1:5" ht="36" customHeight="1">
      <c r="A1" s="2" t="s">
        <v>1294</v>
      </c>
      <c r="B1" s="2" t="s">
        <v>1295</v>
      </c>
      <c r="C1" s="2" t="s">
        <v>1296</v>
      </c>
      <c r="D1" s="1"/>
      <c r="E1" s="5" t="s">
        <v>1297</v>
      </c>
    </row>
    <row r="2" spans="1:5" ht="23.1" customHeight="1">
      <c r="A2" s="1" t="s">
        <v>186</v>
      </c>
      <c r="B2" s="3">
        <v>42.729784166103201</v>
      </c>
      <c r="C2" s="3">
        <v>-73.678207915225997</v>
      </c>
      <c r="D2" s="1"/>
      <c r="E2" s="1" t="s">
        <v>1298</v>
      </c>
    </row>
    <row r="3" spans="1:5" ht="23.1" customHeight="1">
      <c r="A3" s="1" t="s">
        <v>176</v>
      </c>
      <c r="B3" s="3">
        <v>42.729899720271298</v>
      </c>
      <c r="C3" s="3">
        <v>-73.676669675731205</v>
      </c>
      <c r="D3" s="1"/>
      <c r="E3" s="1"/>
    </row>
    <row r="4" spans="1:5" ht="23.1" customHeight="1">
      <c r="A4" s="1" t="s">
        <v>164</v>
      </c>
      <c r="B4" s="3">
        <v>42.731169590615501</v>
      </c>
      <c r="C4" s="3">
        <v>-73.683309792691503</v>
      </c>
      <c r="D4" s="1"/>
      <c r="E4" s="1" t="s">
        <v>1299</v>
      </c>
    </row>
    <row r="5" spans="1:5" ht="23.1" customHeight="1">
      <c r="A5" s="1" t="s">
        <v>208</v>
      </c>
      <c r="B5" s="3">
        <v>42.731704135048197</v>
      </c>
      <c r="C5" s="3">
        <v>-73.6831166044322</v>
      </c>
      <c r="D5" s="1"/>
      <c r="E5" s="1"/>
    </row>
    <row r="6" spans="1:5" ht="23.1" customHeight="1">
      <c r="A6" s="1" t="s">
        <v>100</v>
      </c>
      <c r="B6" s="3">
        <v>42.730468504352203</v>
      </c>
      <c r="C6" s="3">
        <v>-73.6832074982253</v>
      </c>
      <c r="D6" s="1"/>
      <c r="E6" s="5" t="s">
        <v>1300</v>
      </c>
    </row>
    <row r="7" spans="1:5" ht="23.1" customHeight="1">
      <c r="A7" s="1" t="s">
        <v>204</v>
      </c>
      <c r="B7" s="3">
        <v>42.7308675073972</v>
      </c>
      <c r="C7" s="3">
        <v>-73.682523624176298</v>
      </c>
      <c r="D7" s="1"/>
      <c r="E7" s="1" t="s">
        <v>1301</v>
      </c>
    </row>
    <row r="8" spans="1:5" ht="23.1" customHeight="1">
      <c r="A8" s="1" t="s">
        <v>90</v>
      </c>
      <c r="B8" s="3">
        <v>42.731225310599697</v>
      </c>
      <c r="C8" s="3">
        <v>-73.681762301392794</v>
      </c>
      <c r="D8" s="1"/>
      <c r="E8" s="1"/>
    </row>
    <row r="9" spans="1:5" ht="23.1" customHeight="1">
      <c r="A9" s="1" t="s">
        <v>188</v>
      </c>
      <c r="B9" s="3">
        <v>42.730864020020697</v>
      </c>
      <c r="C9" s="3">
        <v>-73.681602281399904</v>
      </c>
      <c r="D9" s="1"/>
      <c r="E9" s="5" t="s">
        <v>1302</v>
      </c>
    </row>
    <row r="10" spans="1:5" ht="48" customHeight="1">
      <c r="A10" s="1" t="s">
        <v>200</v>
      </c>
      <c r="B10" s="3">
        <v>42.731083488414399</v>
      </c>
      <c r="C10" s="3">
        <v>-73.680523000728698</v>
      </c>
      <c r="D10" s="1"/>
      <c r="E10" s="4" t="s">
        <v>1303</v>
      </c>
    </row>
    <row r="11" spans="1:5" ht="23.1" customHeight="1">
      <c r="A11" s="1" t="s">
        <v>158</v>
      </c>
      <c r="B11" s="3">
        <v>42.731361090371102</v>
      </c>
      <c r="C11" s="3">
        <v>-73.679827889248401</v>
      </c>
      <c r="D11" s="1"/>
      <c r="E11" s="1"/>
    </row>
    <row r="12" spans="1:5" ht="23.1" customHeight="1">
      <c r="A12" s="1" t="s">
        <v>120</v>
      </c>
      <c r="B12" s="3">
        <v>42.731376948003302</v>
      </c>
      <c r="C12" s="3">
        <v>-73.6791896873967</v>
      </c>
      <c r="D12" s="1"/>
      <c r="E12" s="1" t="s">
        <v>1304</v>
      </c>
    </row>
    <row r="13" spans="1:5" ht="23.1" customHeight="1">
      <c r="A13" s="1" t="s">
        <v>178</v>
      </c>
      <c r="B13" s="3">
        <v>42.730901726716802</v>
      </c>
      <c r="C13" s="3">
        <v>-73.679750957939603</v>
      </c>
      <c r="D13" s="1"/>
      <c r="E13" s="1"/>
    </row>
    <row r="14" spans="1:5" ht="23.1" customHeight="1">
      <c r="A14" s="1" t="s">
        <v>72</v>
      </c>
      <c r="B14" s="3">
        <v>42.730784773659501</v>
      </c>
      <c r="C14" s="3">
        <v>-73.678864289088295</v>
      </c>
      <c r="D14" s="1"/>
      <c r="E14" s="1" t="s">
        <v>1305</v>
      </c>
    </row>
    <row r="15" spans="1:5" ht="23.1" customHeight="1">
      <c r="A15" s="1" t="s">
        <v>168</v>
      </c>
      <c r="B15" s="3">
        <v>42.730132108819497</v>
      </c>
      <c r="C15" s="3">
        <v>-73.677722535303204</v>
      </c>
      <c r="D15" s="1"/>
      <c r="E15" s="1"/>
    </row>
    <row r="16" spans="1:5" ht="23.1" customHeight="1">
      <c r="A16" s="1" t="s">
        <v>150</v>
      </c>
      <c r="B16" s="3">
        <v>42.729402545225099</v>
      </c>
      <c r="C16" s="3">
        <v>-73.678687021337595</v>
      </c>
      <c r="D16" s="1"/>
      <c r="E16" s="1" t="s">
        <v>1306</v>
      </c>
    </row>
    <row r="17" spans="1:5" ht="23.1" customHeight="1">
      <c r="A17" s="1" t="s">
        <v>184</v>
      </c>
      <c r="B17" s="3">
        <v>42.7292099242771</v>
      </c>
      <c r="C17" s="3">
        <v>-73.678159833279494</v>
      </c>
      <c r="D17" s="1"/>
      <c r="E17" s="1"/>
    </row>
    <row r="18" spans="1:5" ht="23.1" customHeight="1">
      <c r="A18" s="1" t="s">
        <v>116</v>
      </c>
      <c r="B18" s="3">
        <v>42.729471008566897</v>
      </c>
      <c r="C18" s="3">
        <v>-73.679255392823407</v>
      </c>
      <c r="D18" s="1"/>
      <c r="E18" s="1"/>
    </row>
    <row r="19" spans="1:5" ht="23.1" customHeight="1">
      <c r="A19" s="1" t="s">
        <v>144</v>
      </c>
      <c r="B19" s="3">
        <v>42.729602379214398</v>
      </c>
      <c r="C19" s="3">
        <v>-73.680187611479596</v>
      </c>
      <c r="D19" s="1"/>
      <c r="E19" s="1"/>
    </row>
    <row r="20" spans="1:5" ht="23.1" customHeight="1">
      <c r="A20" s="1" t="s">
        <v>146</v>
      </c>
      <c r="B20" s="3">
        <v>42.728819697693901</v>
      </c>
      <c r="C20" s="3">
        <v>-73.680378478024394</v>
      </c>
      <c r="D20" s="1"/>
      <c r="E20" s="1"/>
    </row>
    <row r="21" spans="1:5" ht="23.1" customHeight="1">
      <c r="A21" s="1" t="s">
        <v>108</v>
      </c>
      <c r="B21" s="3">
        <v>42.728181991284501</v>
      </c>
      <c r="C21" s="3">
        <v>-73.681251050652406</v>
      </c>
      <c r="D21" s="1"/>
      <c r="E21" s="1"/>
    </row>
    <row r="22" spans="1:5" ht="23.1" customHeight="1">
      <c r="A22" s="1" t="s">
        <v>152</v>
      </c>
      <c r="B22" s="3">
        <v>42.728313382796699</v>
      </c>
      <c r="C22" s="3">
        <v>-73.681968858644296</v>
      </c>
      <c r="D22" s="1"/>
      <c r="E22" s="1"/>
    </row>
    <row r="23" spans="1:5" ht="23.1" customHeight="1">
      <c r="A23" s="1" t="s">
        <v>202</v>
      </c>
      <c r="B23" s="3">
        <v>42.729247288086697</v>
      </c>
      <c r="C23" s="3">
        <v>-73.681924849268597</v>
      </c>
      <c r="D23" s="1"/>
      <c r="E23" s="1"/>
    </row>
    <row r="24" spans="1:5" ht="23.1" customHeight="1">
      <c r="A24" s="1" t="s">
        <v>126</v>
      </c>
      <c r="B24" s="3">
        <v>42.729346823390202</v>
      </c>
      <c r="C24" s="3">
        <v>-73.682548175425595</v>
      </c>
      <c r="D24" s="1"/>
      <c r="E24" s="1"/>
    </row>
    <row r="25" spans="1:5" ht="23.1" customHeight="1">
      <c r="A25" s="1" t="s">
        <v>128</v>
      </c>
      <c r="B25" s="3">
        <v>42.730018014374501</v>
      </c>
      <c r="C25" s="3">
        <v>-73.681169336383604</v>
      </c>
      <c r="D25" s="1"/>
      <c r="E25" s="1"/>
    </row>
    <row r="26" spans="1:5" ht="23.1" customHeight="1">
      <c r="A26" s="1" t="s">
        <v>148</v>
      </c>
      <c r="B26" s="3">
        <v>42.730082654706898</v>
      </c>
      <c r="C26" s="3">
        <v>-73.681899600728698</v>
      </c>
      <c r="D26" s="1"/>
      <c r="E26" s="1"/>
    </row>
    <row r="27" spans="1:5" ht="23.1" customHeight="1">
      <c r="A27" s="1" t="s">
        <v>80</v>
      </c>
      <c r="B27" s="3">
        <v>42.730212378451398</v>
      </c>
      <c r="C27" s="3">
        <v>-73.682566173744505</v>
      </c>
      <c r="D27" s="1"/>
      <c r="E27" s="1"/>
    </row>
    <row r="28" spans="1:5" ht="23.1" customHeight="1">
      <c r="A28" s="1" t="s">
        <v>84</v>
      </c>
      <c r="B28" s="3">
        <v>42.732484842934603</v>
      </c>
      <c r="C28" s="3">
        <v>-73.682878421500106</v>
      </c>
      <c r="D28" s="1"/>
      <c r="E28" s="1"/>
    </row>
    <row r="29" spans="1:5" ht="23.1" customHeight="1">
      <c r="A29" s="1" t="s">
        <v>192</v>
      </c>
      <c r="B29" s="3">
        <v>42.732888777618101</v>
      </c>
      <c r="C29" s="3">
        <v>-73.680838380621395</v>
      </c>
      <c r="D29" s="1"/>
      <c r="E29" s="1"/>
    </row>
    <row r="30" spans="1:5" ht="23.1" customHeight="1">
      <c r="A30" s="1" t="s">
        <v>86</v>
      </c>
      <c r="B30" s="3">
        <v>42.7321517031695</v>
      </c>
      <c r="C30" s="3">
        <v>-73.680855737485302</v>
      </c>
      <c r="D30" s="1"/>
      <c r="E30" s="1"/>
    </row>
    <row r="31" spans="1:5" ht="23.1" customHeight="1">
      <c r="A31" s="1" t="s">
        <v>142</v>
      </c>
      <c r="B31" s="3">
        <v>42.733169239406401</v>
      </c>
      <c r="C31" s="3">
        <v>-73.6798983927157</v>
      </c>
      <c r="D31" s="1"/>
      <c r="E31" s="1"/>
    </row>
    <row r="32" spans="1:5" ht="23.1" customHeight="1">
      <c r="A32" s="1" t="s">
        <v>132</v>
      </c>
      <c r="B32" s="3">
        <v>42.732603318768902</v>
      </c>
      <c r="C32" s="3">
        <v>-73.679218904207701</v>
      </c>
      <c r="D32" s="1"/>
      <c r="E32" s="1"/>
    </row>
    <row r="33" spans="1:5" ht="23.1" customHeight="1">
      <c r="A33" s="1" t="s">
        <v>138</v>
      </c>
      <c r="B33" s="3">
        <v>42.7328920544551</v>
      </c>
      <c r="C33" s="3">
        <v>-73.678166768821001</v>
      </c>
      <c r="D33" s="1"/>
      <c r="E33" s="1"/>
    </row>
    <row r="34" spans="1:5" ht="23.1" customHeight="1">
      <c r="A34" s="1" t="s">
        <v>76</v>
      </c>
      <c r="B34" s="3">
        <v>42.730656292660498</v>
      </c>
      <c r="C34" s="3">
        <v>-73.675538241171694</v>
      </c>
      <c r="D34" s="1"/>
      <c r="E34" s="1"/>
    </row>
    <row r="35" spans="1:5" ht="23.1" customHeight="1">
      <c r="A35" s="1" t="s">
        <v>166</v>
      </c>
      <c r="B35" s="3">
        <v>42.729251662132</v>
      </c>
      <c r="C35" s="3">
        <v>-73.677001706293794</v>
      </c>
      <c r="D35" s="1"/>
      <c r="E35" s="1"/>
    </row>
    <row r="36" spans="1:5" ht="23.1" customHeight="1">
      <c r="A36" s="1" t="s">
        <v>78</v>
      </c>
      <c r="B36" s="3">
        <v>42.728465366274598</v>
      </c>
      <c r="C36" s="3">
        <v>-73.676972928730095</v>
      </c>
      <c r="D36" s="1"/>
      <c r="E36" s="1"/>
    </row>
    <row r="37" spans="1:5" ht="23.1" customHeight="1">
      <c r="A37" s="1" t="s">
        <v>154</v>
      </c>
      <c r="B37" s="3">
        <v>42.728805307565999</v>
      </c>
      <c r="C37" s="3">
        <v>-73.676912237268795</v>
      </c>
      <c r="D37" s="1"/>
      <c r="E37" s="1"/>
    </row>
    <row r="38" spans="1:5" ht="23.1" customHeight="1">
      <c r="A38" s="1" t="s">
        <v>180</v>
      </c>
      <c r="B38" s="3">
        <v>42.728153632716797</v>
      </c>
      <c r="C38" s="3">
        <v>-73.677244993647193</v>
      </c>
      <c r="D38" s="1"/>
      <c r="E38" s="1"/>
    </row>
    <row r="39" spans="1:5" ht="23.1" customHeight="1">
      <c r="A39" s="1" t="s">
        <v>112</v>
      </c>
      <c r="B39" s="3">
        <v>42.728296950013203</v>
      </c>
      <c r="C39" s="3">
        <v>-73.674312099507205</v>
      </c>
      <c r="D39" s="1"/>
      <c r="E39" s="1"/>
    </row>
    <row r="40" spans="1:5" ht="23.1" customHeight="1">
      <c r="A40" s="1" t="s">
        <v>114</v>
      </c>
      <c r="B40" s="3">
        <v>42.728307605693502</v>
      </c>
      <c r="C40" s="3">
        <v>-73.673507334067594</v>
      </c>
      <c r="D40" s="1"/>
      <c r="E40" s="1"/>
    </row>
    <row r="41" spans="1:5" ht="23.1" customHeight="1">
      <c r="A41" s="1" t="s">
        <v>156</v>
      </c>
      <c r="B41" s="3">
        <v>42.727659785463999</v>
      </c>
      <c r="C41" s="3">
        <v>-73.673629142534494</v>
      </c>
      <c r="D41" s="1"/>
      <c r="E41" s="1"/>
    </row>
    <row r="42" spans="1:5" ht="23.1" customHeight="1">
      <c r="A42" s="1" t="s">
        <v>118</v>
      </c>
      <c r="B42" s="3">
        <v>42.727245391554703</v>
      </c>
      <c r="C42" s="3">
        <v>-73.674084880128305</v>
      </c>
      <c r="D42" s="1"/>
      <c r="E42" s="1"/>
    </row>
    <row r="43" spans="1:5" ht="23.1" customHeight="1">
      <c r="A43" s="1" t="s">
        <v>194</v>
      </c>
      <c r="B43" s="3">
        <v>42.7270250661145</v>
      </c>
      <c r="C43" s="3">
        <v>-73.674647960723604</v>
      </c>
      <c r="D43" s="1"/>
      <c r="E43" s="1"/>
    </row>
    <row r="44" spans="1:5" ht="23.1" customHeight="1">
      <c r="A44" s="1" t="s">
        <v>160</v>
      </c>
      <c r="B44" s="3">
        <v>42.727427547200499</v>
      </c>
      <c r="C44" s="3">
        <v>-73.675042443478503</v>
      </c>
      <c r="D44" s="1"/>
      <c r="E44" s="1"/>
    </row>
    <row r="45" spans="1:5" ht="23.1" customHeight="1">
      <c r="A45" s="1" t="s">
        <v>206</v>
      </c>
      <c r="B45" s="3">
        <v>42.727913488628097</v>
      </c>
      <c r="C45" s="3">
        <v>-73.675266237122401</v>
      </c>
      <c r="D45" s="1"/>
      <c r="E45" s="1"/>
    </row>
    <row r="46" spans="1:5" ht="23.1" customHeight="1">
      <c r="A46" s="1" t="s">
        <v>134</v>
      </c>
      <c r="B46" s="3">
        <v>42.728555203011403</v>
      </c>
      <c r="C46" s="3">
        <v>-73.675146178372898</v>
      </c>
      <c r="D46" s="1"/>
      <c r="E46" s="1"/>
    </row>
    <row r="47" spans="1:5" ht="23.1" customHeight="1">
      <c r="A47" s="1" t="s">
        <v>102</v>
      </c>
      <c r="B47" s="3">
        <v>42.7288576188582</v>
      </c>
      <c r="C47" s="3">
        <v>-73.674629681155096</v>
      </c>
      <c r="D47" s="1"/>
      <c r="E47" s="1"/>
    </row>
    <row r="48" spans="1:5" ht="23.1" customHeight="1">
      <c r="A48" s="1" t="s">
        <v>94</v>
      </c>
      <c r="B48" s="3">
        <v>42.728729905455403</v>
      </c>
      <c r="C48" s="3">
        <v>-73.673788641631404</v>
      </c>
      <c r="D48" s="1"/>
      <c r="E48" s="1"/>
    </row>
    <row r="49" spans="1:5" ht="23.1" customHeight="1">
      <c r="A49" s="1" t="s">
        <v>106</v>
      </c>
      <c r="B49" s="3">
        <v>42.731796359670199</v>
      </c>
      <c r="C49" s="3">
        <v>-73.672253994981503</v>
      </c>
      <c r="D49" s="1"/>
      <c r="E49" s="1"/>
    </row>
    <row r="50" spans="1:5" ht="23.1" customHeight="1">
      <c r="A50" s="1" t="s">
        <v>98</v>
      </c>
      <c r="B50" s="3">
        <v>42.7310890611734</v>
      </c>
      <c r="C50" s="3">
        <v>-73.671242998331905</v>
      </c>
      <c r="D50" s="1"/>
      <c r="E50" s="1"/>
    </row>
    <row r="51" spans="1:5" ht="23.1" customHeight="1">
      <c r="A51" s="1" t="s">
        <v>140</v>
      </c>
      <c r="B51" s="3">
        <v>42.732143739525597</v>
      </c>
      <c r="C51" s="3">
        <v>-73.669650640565493</v>
      </c>
      <c r="D51" s="1"/>
      <c r="E51" s="1"/>
    </row>
    <row r="52" spans="1:5" ht="23.1" customHeight="1">
      <c r="A52" s="1" t="s">
        <v>172</v>
      </c>
      <c r="B52" s="3">
        <v>42.731012266979803</v>
      </c>
      <c r="C52" s="3">
        <v>-73.669418861661498</v>
      </c>
      <c r="D52" s="1"/>
      <c r="E52" s="1"/>
    </row>
    <row r="53" spans="1:5" ht="23.1" customHeight="1">
      <c r="A53" s="1" t="s">
        <v>130</v>
      </c>
      <c r="B53" s="3">
        <v>42.7288083242615</v>
      </c>
      <c r="C53" s="3">
        <v>-73.667949654752604</v>
      </c>
      <c r="D53" s="1"/>
      <c r="E53" s="1"/>
    </row>
    <row r="54" spans="1:5" ht="23.1" customHeight="1">
      <c r="A54" s="1" t="s">
        <v>196</v>
      </c>
      <c r="B54" s="3">
        <v>42.733731251557401</v>
      </c>
      <c r="C54" s="3">
        <v>-73.664908273045498</v>
      </c>
      <c r="D54" s="1"/>
      <c r="E54" s="1"/>
    </row>
    <row r="55" spans="1:5" ht="23.1" customHeight="1">
      <c r="A55" s="1" t="s">
        <v>170</v>
      </c>
      <c r="B55" s="3">
        <v>42.734249293852002</v>
      </c>
      <c r="C55" s="3">
        <v>-73.6631980548119</v>
      </c>
      <c r="D55" s="1"/>
      <c r="E55" s="1"/>
    </row>
    <row r="56" spans="1:5" ht="23.1" customHeight="1">
      <c r="A56" s="1" t="s">
        <v>96</v>
      </c>
      <c r="B56" s="3">
        <v>42.735001060297499</v>
      </c>
      <c r="C56" s="3">
        <v>-73.663911185077296</v>
      </c>
      <c r="D56" s="1"/>
      <c r="E56" s="1"/>
    </row>
    <row r="57" spans="1:5" ht="23.1" customHeight="1">
      <c r="A57" s="1" t="s">
        <v>174</v>
      </c>
      <c r="B57" s="3">
        <v>42.734977135196097</v>
      </c>
      <c r="C57" s="3">
        <v>-73.6653996986484</v>
      </c>
      <c r="D57" s="1"/>
      <c r="E57" s="1"/>
    </row>
    <row r="58" spans="1:5" ht="23.1" customHeight="1">
      <c r="A58" s="1" t="s">
        <v>110</v>
      </c>
      <c r="B58" s="3">
        <v>42.737063131193402</v>
      </c>
      <c r="C58" s="3">
        <v>-73.669891845566596</v>
      </c>
      <c r="D58" s="1"/>
      <c r="E58" s="1"/>
    </row>
    <row r="59" spans="1:5" ht="23.1" customHeight="1">
      <c r="A59" s="1" t="s">
        <v>74</v>
      </c>
      <c r="B59" s="3">
        <v>42.727449594089101</v>
      </c>
      <c r="C59" s="3">
        <v>-73.678651452531696</v>
      </c>
      <c r="D59" s="1"/>
      <c r="E59" s="1"/>
    </row>
    <row r="60" spans="1:5" ht="23.1" customHeight="1">
      <c r="A60" s="1" t="s">
        <v>122</v>
      </c>
      <c r="B60" s="3">
        <v>42.732367962673003</v>
      </c>
      <c r="C60" s="3">
        <v>-73.667623793353201</v>
      </c>
      <c r="D60" s="1"/>
      <c r="E60" s="1"/>
    </row>
    <row r="61" spans="1:5" ht="23.1" customHeight="1">
      <c r="A61" s="1" t="s">
        <v>82</v>
      </c>
      <c r="B61" s="3">
        <v>42.729086694862303</v>
      </c>
      <c r="C61" s="3">
        <v>-73.674089842594896</v>
      </c>
      <c r="D61" s="1"/>
      <c r="E61" s="1"/>
    </row>
    <row r="62" spans="1:5" ht="23.1" customHeight="1">
      <c r="A62" s="1" t="s">
        <v>104</v>
      </c>
      <c r="B62" s="3">
        <v>42.728225305769598</v>
      </c>
      <c r="C62" s="3">
        <v>-73.678451283345296</v>
      </c>
      <c r="D62" s="1"/>
      <c r="E62" s="1"/>
    </row>
    <row r="63" spans="1:5" ht="23.1" customHeight="1">
      <c r="A63" s="1" t="s">
        <v>162</v>
      </c>
      <c r="B63" s="3">
        <v>42.727729731578599</v>
      </c>
      <c r="C63" s="3">
        <v>-73.681413620707005</v>
      </c>
      <c r="D63" s="1"/>
      <c r="E63" s="1"/>
    </row>
    <row r="64" spans="1:5" ht="23.1" customHeight="1">
      <c r="A64" s="1" t="s">
        <v>124</v>
      </c>
      <c r="B64" s="3">
        <v>42.728895524904502</v>
      </c>
      <c r="C64" s="3">
        <v>-73.683612830338305</v>
      </c>
      <c r="D64" s="1"/>
      <c r="E64" s="1"/>
    </row>
    <row r="65" spans="1:5" ht="23.1" customHeight="1">
      <c r="A65" s="1" t="s">
        <v>92</v>
      </c>
      <c r="B65" s="3">
        <v>42.732661261208698</v>
      </c>
      <c r="C65" s="3">
        <v>-73.680222203385199</v>
      </c>
      <c r="D65" s="1"/>
      <c r="E65" s="1"/>
    </row>
    <row r="66" spans="1:5" ht="23.1" customHeight="1">
      <c r="A66" s="1" t="s">
        <v>182</v>
      </c>
      <c r="B66" s="3">
        <v>42.727225286618001</v>
      </c>
      <c r="C66" s="3">
        <v>-73.680660665100504</v>
      </c>
      <c r="D66" s="1"/>
      <c r="E66" s="1"/>
    </row>
    <row r="67" spans="1:5" ht="23.1" customHeight="1">
      <c r="A67" s="1" t="s">
        <v>198</v>
      </c>
      <c r="B67" s="3">
        <v>42.733044075699603</v>
      </c>
      <c r="C67" s="3">
        <v>-73.666946204994304</v>
      </c>
      <c r="D67" s="1"/>
      <c r="E67" s="1"/>
    </row>
    <row r="68" spans="1:5" ht="23.1" customHeight="1">
      <c r="A68" s="1" t="s">
        <v>136</v>
      </c>
      <c r="B68" s="3">
        <v>42.733155523838398</v>
      </c>
      <c r="C68" s="3">
        <v>-73.668911091054397</v>
      </c>
      <c r="D68" s="1"/>
      <c r="E68" s="1"/>
    </row>
    <row r="69" spans="1:5" ht="23.1" customHeight="1">
      <c r="A69" s="1" t="s">
        <v>190</v>
      </c>
      <c r="B69" s="3">
        <v>42.733245393233503</v>
      </c>
      <c r="C69" s="3">
        <v>-73.672437802411807</v>
      </c>
      <c r="D69" s="1"/>
      <c r="E69" s="1"/>
    </row>
    <row r="70" spans="1:5" ht="23.1" customHeight="1">
      <c r="A70" s="1" t="s">
        <v>67</v>
      </c>
      <c r="B70" s="3">
        <v>42.730352730494197</v>
      </c>
      <c r="C70" s="3">
        <v>-73.679949628352404</v>
      </c>
      <c r="D70" s="1"/>
      <c r="E70" s="1"/>
    </row>
    <row r="71" spans="1:5" ht="23.1" customHeight="1">
      <c r="A71" s="1" t="s">
        <v>88</v>
      </c>
      <c r="B71" s="3">
        <v>42.731351135494002</v>
      </c>
      <c r="C71" s="3">
        <v>-73.685870010025795</v>
      </c>
      <c r="D71" s="1"/>
      <c r="E71" s="1"/>
    </row>
    <row r="72" spans="1:5" ht="23.1" customHeight="1">
      <c r="A72" s="1" t="s">
        <v>210</v>
      </c>
      <c r="B72" s="3">
        <v>42.730920869331896</v>
      </c>
      <c r="C72" s="3">
        <v>-73.684311802467406</v>
      </c>
      <c r="D72" s="1"/>
      <c r="E7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78"/>
  <sheetViews>
    <sheetView showGridLines="0" workbookViewId="0">
      <pane ySplit="1" topLeftCell="A2" activePane="bottomLeft" state="frozen"/>
      <selection pane="bottomLeft"/>
    </sheetView>
  </sheetViews>
  <sheetFormatPr defaultRowHeight="14.25"/>
  <cols>
    <col min="1" max="1" width="18" customWidth="1"/>
    <col min="2" max="3" width="23" customWidth="1"/>
    <col min="5" max="5" width="87" customWidth="1"/>
  </cols>
  <sheetData>
    <row r="1" spans="1:5" ht="36" customHeight="1">
      <c r="A1" s="2" t="s">
        <v>1294</v>
      </c>
      <c r="B1" s="2" t="s">
        <v>1295</v>
      </c>
      <c r="C1" s="2" t="s">
        <v>1296</v>
      </c>
      <c r="D1" s="1"/>
      <c r="E1" s="5" t="s">
        <v>1297</v>
      </c>
    </row>
    <row r="2" spans="1:5" ht="23.1" customHeight="1">
      <c r="A2" s="1" t="s">
        <v>212</v>
      </c>
      <c r="B2" s="3">
        <v>42.730920869999999</v>
      </c>
      <c r="C2" s="3">
        <v>-73.684311800000003</v>
      </c>
      <c r="D2" s="1"/>
      <c r="E2" s="1" t="s">
        <v>1307</v>
      </c>
    </row>
    <row r="3" spans="1:5" ht="23.1" customHeight="1">
      <c r="A3" s="1" t="s">
        <v>216</v>
      </c>
      <c r="B3" s="3">
        <v>42.732426129426997</v>
      </c>
      <c r="C3" s="3">
        <v>-73.671605707877603</v>
      </c>
      <c r="D3" s="1"/>
      <c r="E3" s="1"/>
    </row>
    <row r="4" spans="1:5" ht="23.1" customHeight="1">
      <c r="A4" s="1" t="s">
        <v>217</v>
      </c>
      <c r="B4" s="3">
        <v>42.733058361645902</v>
      </c>
      <c r="C4" s="3">
        <v>-73.676539781756901</v>
      </c>
      <c r="D4" s="1"/>
      <c r="E4" s="1" t="s">
        <v>1299</v>
      </c>
    </row>
    <row r="5" spans="1:5" ht="23.1" customHeight="1">
      <c r="A5" s="1" t="s">
        <v>218</v>
      </c>
      <c r="B5" s="3">
        <v>42.730770830526502</v>
      </c>
      <c r="C5" s="3">
        <v>-73.677224185553101</v>
      </c>
      <c r="D5" s="1"/>
      <c r="E5" s="1"/>
    </row>
    <row r="6" spans="1:5" ht="23.1" customHeight="1">
      <c r="A6" s="1" t="s">
        <v>219</v>
      </c>
      <c r="B6" s="3">
        <v>42.730644384082801</v>
      </c>
      <c r="C6" s="3">
        <v>-73.676221454409799</v>
      </c>
      <c r="D6" s="1"/>
      <c r="E6" s="5" t="s">
        <v>1300</v>
      </c>
    </row>
    <row r="7" spans="1:5" ht="23.1" customHeight="1">
      <c r="A7" s="1" t="s">
        <v>220</v>
      </c>
      <c r="B7" s="3">
        <v>42.730943257495298</v>
      </c>
      <c r="C7" s="3">
        <v>-73.675648465185105</v>
      </c>
      <c r="D7" s="1"/>
      <c r="E7" s="1" t="s">
        <v>1308</v>
      </c>
    </row>
    <row r="8" spans="1:5" ht="23.1" customHeight="1">
      <c r="A8" s="1" t="s">
        <v>221</v>
      </c>
      <c r="B8" s="3">
        <v>42.731908848520597</v>
      </c>
      <c r="C8" s="3">
        <v>-73.6746298176746</v>
      </c>
      <c r="D8" s="1"/>
      <c r="E8" s="1"/>
    </row>
    <row r="9" spans="1:5" ht="23.1" customHeight="1">
      <c r="A9" s="1" t="s">
        <v>222</v>
      </c>
      <c r="B9" s="3">
        <v>42.732713507708297</v>
      </c>
      <c r="C9" s="3">
        <v>-73.674311490327497</v>
      </c>
      <c r="D9" s="1"/>
      <c r="E9" s="5" t="s">
        <v>1302</v>
      </c>
    </row>
    <row r="10" spans="1:5" ht="48" customHeight="1">
      <c r="A10" s="1" t="s">
        <v>223</v>
      </c>
      <c r="B10" s="3">
        <v>42.730914519667202</v>
      </c>
      <c r="C10" s="3">
        <v>-73.673792616751797</v>
      </c>
      <c r="D10" s="1"/>
      <c r="E10" s="4" t="s">
        <v>1309</v>
      </c>
    </row>
    <row r="11" spans="1:5" ht="23.1" customHeight="1">
      <c r="A11" s="1" t="s">
        <v>224</v>
      </c>
      <c r="B11" s="3">
        <v>42.731345587089201</v>
      </c>
      <c r="C11" s="3">
        <v>-73.674295573960194</v>
      </c>
      <c r="D11" s="1"/>
      <c r="E11" s="1"/>
    </row>
    <row r="12" spans="1:5" ht="23.1" customHeight="1">
      <c r="A12" s="1" t="s">
        <v>225</v>
      </c>
      <c r="B12" s="3">
        <v>42.731265121170402</v>
      </c>
      <c r="C12" s="3">
        <v>-73.671908118857303</v>
      </c>
      <c r="D12" s="1"/>
      <c r="E12" s="1" t="s">
        <v>1304</v>
      </c>
    </row>
    <row r="13" spans="1:5" ht="23.1" customHeight="1">
      <c r="A13" s="1" t="s">
        <v>226</v>
      </c>
      <c r="B13" s="3">
        <v>42.731127179595397</v>
      </c>
      <c r="C13" s="3">
        <v>-73.673038180939301</v>
      </c>
      <c r="D13" s="1"/>
      <c r="E13" s="1"/>
    </row>
    <row r="14" spans="1:5" ht="23.1" customHeight="1">
      <c r="A14" s="1" t="s">
        <v>227</v>
      </c>
      <c r="B14" s="3">
        <v>42.732506595345797</v>
      </c>
      <c r="C14" s="3">
        <v>-73.672672104490204</v>
      </c>
      <c r="D14" s="1"/>
      <c r="E14" s="1" t="s">
        <v>1305</v>
      </c>
    </row>
    <row r="15" spans="1:5" ht="23.1" customHeight="1">
      <c r="A15" s="1" t="s">
        <v>228</v>
      </c>
      <c r="B15" s="3">
        <v>42.731368577351702</v>
      </c>
      <c r="C15" s="3">
        <v>-73.675107308695104</v>
      </c>
      <c r="D15" s="1"/>
      <c r="E15" s="1"/>
    </row>
    <row r="16" spans="1:5" ht="23.1" customHeight="1">
      <c r="A16" s="1" t="s">
        <v>229</v>
      </c>
      <c r="B16" s="3">
        <v>42.730605300636498</v>
      </c>
      <c r="C16" s="3">
        <v>-73.674052053539697</v>
      </c>
      <c r="D16" s="1"/>
      <c r="E16" s="1" t="s">
        <v>1306</v>
      </c>
    </row>
    <row r="17" spans="1:5" ht="23.1" customHeight="1">
      <c r="A17" s="1" t="s">
        <v>230</v>
      </c>
      <c r="B17" s="3">
        <v>42.7304294251283</v>
      </c>
      <c r="C17" s="3">
        <v>-73.6745868434827</v>
      </c>
      <c r="D17" s="1"/>
      <c r="E17" s="1"/>
    </row>
    <row r="18" spans="1:5" ht="23.1" customHeight="1">
      <c r="A18" s="1" t="s">
        <v>231</v>
      </c>
      <c r="B18" s="3">
        <v>42.730334015538901</v>
      </c>
      <c r="C18" s="3">
        <v>-73.674703032964402</v>
      </c>
      <c r="D18" s="1"/>
      <c r="E18" s="1"/>
    </row>
    <row r="19" spans="1:5" ht="23.1" customHeight="1">
      <c r="A19" s="1" t="s">
        <v>232</v>
      </c>
      <c r="B19" s="3">
        <v>42.730085720703897</v>
      </c>
      <c r="C19" s="3">
        <v>-73.675035685042104</v>
      </c>
      <c r="D19" s="1"/>
      <c r="E19" s="1"/>
    </row>
    <row r="20" spans="1:5" ht="23.1" customHeight="1">
      <c r="A20" s="1" t="s">
        <v>233</v>
      </c>
      <c r="B20" s="3">
        <v>42.730307576737097</v>
      </c>
      <c r="C20" s="3">
        <v>-73.675861744507699</v>
      </c>
      <c r="D20" s="1"/>
      <c r="E20" s="1"/>
    </row>
    <row r="21" spans="1:5" ht="23.1" customHeight="1">
      <c r="A21" s="1" t="s">
        <v>234</v>
      </c>
      <c r="B21" s="3">
        <v>42.730713354870304</v>
      </c>
      <c r="C21" s="3">
        <v>-73.675266472368705</v>
      </c>
      <c r="D21" s="1"/>
      <c r="E21" s="1"/>
    </row>
    <row r="22" spans="1:5" ht="23.1" customHeight="1">
      <c r="A22" s="1" t="s">
        <v>235</v>
      </c>
      <c r="B22" s="3">
        <v>42.731667450764299</v>
      </c>
      <c r="C22" s="3">
        <v>-73.672213713110395</v>
      </c>
      <c r="D22" s="1"/>
      <c r="E22" s="1"/>
    </row>
    <row r="23" spans="1:5" ht="23.1" customHeight="1">
      <c r="A23" s="1" t="s">
        <v>236</v>
      </c>
      <c r="B23" s="3">
        <v>42.731659404172397</v>
      </c>
      <c r="C23" s="3">
        <v>-73.671796704285796</v>
      </c>
      <c r="D23" s="1"/>
      <c r="E23" s="1"/>
    </row>
    <row r="24" spans="1:5" ht="23.1" customHeight="1">
      <c r="A24" s="1" t="s">
        <v>237</v>
      </c>
      <c r="B24" s="3">
        <v>42.731690441026799</v>
      </c>
      <c r="C24" s="3">
        <v>-73.673133679143405</v>
      </c>
      <c r="D24" s="1"/>
      <c r="E24" s="1"/>
    </row>
    <row r="25" spans="1:5" ht="23.1" customHeight="1">
      <c r="A25" s="1" t="s">
        <v>238</v>
      </c>
      <c r="B25" s="3">
        <v>42.731652507093699</v>
      </c>
      <c r="C25" s="3">
        <v>-73.672934724551496</v>
      </c>
      <c r="D25" s="1"/>
      <c r="E25" s="1"/>
    </row>
    <row r="26" spans="1:5" ht="23.1" customHeight="1">
      <c r="A26" s="1" t="s">
        <v>239</v>
      </c>
      <c r="B26" s="3">
        <v>42.729121279191702</v>
      </c>
      <c r="C26" s="3">
        <v>-73.672520899000304</v>
      </c>
      <c r="D26" s="1"/>
      <c r="E26" s="1"/>
    </row>
    <row r="27" spans="1:5" ht="23.1" customHeight="1">
      <c r="A27" s="1" t="s">
        <v>240</v>
      </c>
      <c r="B27" s="3">
        <v>42.729514412680601</v>
      </c>
      <c r="C27" s="3">
        <v>-73.674416538352006</v>
      </c>
      <c r="D27" s="1"/>
      <c r="E27" s="1"/>
    </row>
    <row r="28" spans="1:5" ht="23.1" customHeight="1">
      <c r="A28" s="1" t="s">
        <v>241</v>
      </c>
      <c r="B28" s="3">
        <v>42.729362676948</v>
      </c>
      <c r="C28" s="3">
        <v>-73.673436090123104</v>
      </c>
      <c r="D28" s="1"/>
      <c r="E28" s="1"/>
    </row>
    <row r="29" spans="1:5" ht="23.1" customHeight="1">
      <c r="A29" s="1" t="s">
        <v>242</v>
      </c>
      <c r="B29" s="3">
        <v>42.729230482938597</v>
      </c>
      <c r="C29" s="3">
        <v>-73.672996798384204</v>
      </c>
      <c r="D29" s="1"/>
      <c r="E29" s="1"/>
    </row>
    <row r="30" spans="1:5" ht="23.1" customHeight="1">
      <c r="A30" s="1" t="s">
        <v>243</v>
      </c>
      <c r="B30" s="3">
        <v>42.728793667951003</v>
      </c>
      <c r="C30" s="3">
        <v>-73.673117762776101</v>
      </c>
      <c r="D30" s="1"/>
      <c r="E30" s="1"/>
    </row>
    <row r="31" spans="1:5" ht="23.1" customHeight="1">
      <c r="A31" s="1" t="s">
        <v>244</v>
      </c>
      <c r="B31" s="3">
        <v>42.728632736113497</v>
      </c>
      <c r="C31" s="3">
        <v>-73.674184159388702</v>
      </c>
      <c r="D31" s="1"/>
      <c r="E31" s="1"/>
    </row>
    <row r="32" spans="1:5" ht="23.1" customHeight="1">
      <c r="A32" s="1" t="s">
        <v>245</v>
      </c>
      <c r="B32" s="3">
        <v>42.728448814013397</v>
      </c>
      <c r="C32" s="3">
        <v>-73.673318309004699</v>
      </c>
      <c r="D32" s="1"/>
      <c r="E32" s="1"/>
    </row>
    <row r="33" spans="1:5" ht="23.1" customHeight="1">
      <c r="A33" s="1" t="s">
        <v>246</v>
      </c>
      <c r="B33" s="3">
        <v>42.729004028852998</v>
      </c>
      <c r="C33" s="3">
        <v>-73.673467922857796</v>
      </c>
      <c r="D33" s="1"/>
      <c r="E33" s="1"/>
    </row>
    <row r="34" spans="1:5" ht="23.1" customHeight="1">
      <c r="A34" s="1" t="s">
        <v>247</v>
      </c>
      <c r="B34" s="3">
        <v>42.728833900910402</v>
      </c>
      <c r="C34" s="3">
        <v>-73.673783066931406</v>
      </c>
      <c r="D34" s="1"/>
      <c r="E34" s="1"/>
    </row>
    <row r="35" spans="1:5" ht="23.1" customHeight="1">
      <c r="A35" s="1" t="s">
        <v>248</v>
      </c>
      <c r="B35" s="3">
        <v>42.728839648475997</v>
      </c>
      <c r="C35" s="3">
        <v>-73.674088661184598</v>
      </c>
      <c r="D35" s="1"/>
      <c r="E35" s="1"/>
    </row>
    <row r="36" spans="1:5" ht="23.1" customHeight="1">
      <c r="A36" s="1" t="s">
        <v>249</v>
      </c>
      <c r="B36" s="3">
        <v>42.7289339085523</v>
      </c>
      <c r="C36" s="3">
        <v>-73.674429271445902</v>
      </c>
      <c r="D36" s="1"/>
      <c r="E36" s="1"/>
    </row>
    <row r="37" spans="1:5" ht="23.1" customHeight="1">
      <c r="A37" s="1" t="s">
        <v>250</v>
      </c>
      <c r="B37" s="3">
        <v>42.729264968332402</v>
      </c>
      <c r="C37" s="3">
        <v>-73.6746298176746</v>
      </c>
      <c r="D37" s="1"/>
      <c r="E37" s="1"/>
    </row>
    <row r="38" spans="1:5" ht="23.1" customHeight="1">
      <c r="A38" s="1" t="s">
        <v>251</v>
      </c>
      <c r="B38" s="3">
        <v>42.7285177848009</v>
      </c>
      <c r="C38" s="3">
        <v>-73.6745438692909</v>
      </c>
      <c r="D38" s="1"/>
      <c r="E38" s="1"/>
    </row>
    <row r="39" spans="1:5" ht="23.1" customHeight="1">
      <c r="A39" s="1" t="s">
        <v>252</v>
      </c>
      <c r="B39" s="3">
        <v>42.728314320977802</v>
      </c>
      <c r="C39" s="3">
        <v>-73.674715766058299</v>
      </c>
      <c r="D39" s="1"/>
      <c r="E39" s="1"/>
    </row>
    <row r="40" spans="1:5" ht="23.1" customHeight="1">
      <c r="A40" s="1" t="s">
        <v>253</v>
      </c>
      <c r="B40" s="3">
        <v>42.728103960075799</v>
      </c>
      <c r="C40" s="3">
        <v>-73.673722584735501</v>
      </c>
      <c r="D40" s="1"/>
      <c r="E40" s="1"/>
    </row>
    <row r="41" spans="1:5" ht="23.1" customHeight="1">
      <c r="A41" s="1" t="s">
        <v>254</v>
      </c>
      <c r="B41" s="3">
        <v>42.728448814013397</v>
      </c>
      <c r="C41" s="3">
        <v>-73.673897664776305</v>
      </c>
      <c r="D41" s="1"/>
      <c r="E41" s="1"/>
    </row>
    <row r="42" spans="1:5" ht="23.1" customHeight="1">
      <c r="A42" s="1" t="s">
        <v>255</v>
      </c>
      <c r="B42" s="3">
        <v>42.728000503894599</v>
      </c>
      <c r="C42" s="3">
        <v>-73.672879017265799</v>
      </c>
      <c r="D42" s="1"/>
      <c r="E42" s="1"/>
    </row>
    <row r="43" spans="1:5" ht="23.1" customHeight="1">
      <c r="A43" s="1" t="s">
        <v>256</v>
      </c>
      <c r="B43" s="3">
        <v>42.728851143607301</v>
      </c>
      <c r="C43" s="3">
        <v>-73.674995894123697</v>
      </c>
      <c r="D43" s="1"/>
      <c r="E43" s="1"/>
    </row>
    <row r="44" spans="1:5" ht="23.1" customHeight="1">
      <c r="A44" s="1" t="s">
        <v>257</v>
      </c>
      <c r="B44" s="3">
        <v>42.729000580313603</v>
      </c>
      <c r="C44" s="3">
        <v>-73.675322179654401</v>
      </c>
      <c r="D44" s="1"/>
      <c r="E44" s="1"/>
    </row>
    <row r="45" spans="1:5" ht="23.1" customHeight="1">
      <c r="A45" s="1" t="s">
        <v>258</v>
      </c>
      <c r="B45" s="3">
        <v>42.729248875148599</v>
      </c>
      <c r="C45" s="3">
        <v>-73.675734413568804</v>
      </c>
      <c r="D45" s="1"/>
      <c r="E45" s="1"/>
    </row>
    <row r="46" spans="1:5" ht="23.1" customHeight="1">
      <c r="A46" s="1" t="s">
        <v>259</v>
      </c>
      <c r="B46" s="3">
        <v>42.728766079636003</v>
      </c>
      <c r="C46" s="3">
        <v>-73.675486118238098</v>
      </c>
      <c r="D46" s="1"/>
      <c r="E46" s="1"/>
    </row>
    <row r="47" spans="1:5" ht="23.1" customHeight="1">
      <c r="A47" s="1" t="s">
        <v>260</v>
      </c>
      <c r="B47" s="3">
        <v>42.728414328619699</v>
      </c>
      <c r="C47" s="3">
        <v>-73.675537050613698</v>
      </c>
      <c r="D47" s="1"/>
      <c r="E47" s="1"/>
    </row>
    <row r="48" spans="1:5" ht="23.1" customHeight="1">
      <c r="A48" s="1" t="s">
        <v>261</v>
      </c>
      <c r="B48" s="3">
        <v>42.727916589436397</v>
      </c>
      <c r="C48" s="3">
        <v>-73.674703032964402</v>
      </c>
      <c r="D48" s="1"/>
      <c r="E48" s="1"/>
    </row>
    <row r="49" spans="1:5" ht="23.1" customHeight="1">
      <c r="A49" s="1" t="s">
        <v>262</v>
      </c>
      <c r="B49" s="3">
        <v>42.727836123517598</v>
      </c>
      <c r="C49" s="3">
        <v>-73.673993162980494</v>
      </c>
      <c r="D49" s="1"/>
      <c r="E49" s="1"/>
    </row>
    <row r="50" spans="1:5" ht="23.1" customHeight="1">
      <c r="A50" s="1" t="s">
        <v>263</v>
      </c>
      <c r="B50" s="3">
        <v>42.7274257473319</v>
      </c>
      <c r="C50" s="3">
        <v>-73.674196892482598</v>
      </c>
      <c r="D50" s="1"/>
      <c r="E50" s="1"/>
    </row>
    <row r="51" spans="1:5" ht="23.1" customHeight="1">
      <c r="A51" s="1" t="s">
        <v>264</v>
      </c>
      <c r="B51" s="3">
        <v>42.727444139541902</v>
      </c>
      <c r="C51" s="3">
        <v>-73.674701441327699</v>
      </c>
      <c r="D51" s="1"/>
      <c r="E51" s="1"/>
    </row>
    <row r="52" spans="1:5" ht="23.1" customHeight="1">
      <c r="A52" s="1" t="s">
        <v>265</v>
      </c>
      <c r="B52" s="3">
        <v>42.7271889476281</v>
      </c>
      <c r="C52" s="3">
        <v>-73.674741232246006</v>
      </c>
      <c r="D52" s="1"/>
      <c r="E52" s="1"/>
    </row>
    <row r="53" spans="1:5" ht="23.1" customHeight="1">
      <c r="A53" s="1" t="s">
        <v>266</v>
      </c>
      <c r="B53" s="3">
        <v>42.727142967103099</v>
      </c>
      <c r="C53" s="3">
        <v>-73.674286024139803</v>
      </c>
      <c r="D53" s="1"/>
      <c r="E53" s="1"/>
    </row>
    <row r="54" spans="1:5" ht="23.1" customHeight="1">
      <c r="A54" s="1" t="s">
        <v>267</v>
      </c>
      <c r="B54" s="3">
        <v>42.728044185393301</v>
      </c>
      <c r="C54" s="3">
        <v>-73.673929497511097</v>
      </c>
      <c r="D54" s="1"/>
      <c r="E54" s="1"/>
    </row>
    <row r="55" spans="1:5" ht="23.1" customHeight="1">
      <c r="A55" s="1" t="s">
        <v>268</v>
      </c>
      <c r="B55" s="3">
        <v>42.729793744369999</v>
      </c>
      <c r="C55" s="3">
        <v>-73.675766246303596</v>
      </c>
      <c r="D55" s="1"/>
      <c r="E55" s="1"/>
    </row>
    <row r="56" spans="1:5" ht="23.1" customHeight="1">
      <c r="A56" s="1" t="s">
        <v>269</v>
      </c>
      <c r="B56" s="3">
        <v>42.730058132388898</v>
      </c>
      <c r="C56" s="3">
        <v>-73.677426323418402</v>
      </c>
      <c r="D56" s="1"/>
      <c r="E56" s="1"/>
    </row>
    <row r="57" spans="1:5" ht="23.1" customHeight="1">
      <c r="A57" s="1" t="s">
        <v>270</v>
      </c>
      <c r="B57" s="3">
        <v>42.729510964141198</v>
      </c>
      <c r="C57" s="3">
        <v>-73.676498399201805</v>
      </c>
      <c r="D57" s="1"/>
      <c r="E57" s="1"/>
    </row>
    <row r="58" spans="1:5" ht="23.1" customHeight="1">
      <c r="A58" s="1" t="s">
        <v>271</v>
      </c>
      <c r="B58" s="3">
        <v>42.730282287448297</v>
      </c>
      <c r="C58" s="3">
        <v>-73.6780884443003</v>
      </c>
      <c r="D58" s="1"/>
      <c r="E58" s="1"/>
    </row>
    <row r="59" spans="1:5" ht="23.1" customHeight="1">
      <c r="A59" s="1" t="s">
        <v>272</v>
      </c>
      <c r="B59" s="3">
        <v>42.730517937639</v>
      </c>
      <c r="C59" s="3">
        <v>-73.678035920287996</v>
      </c>
      <c r="D59" s="1"/>
      <c r="E59" s="1"/>
    </row>
    <row r="60" spans="1:5" ht="23.1" customHeight="1">
      <c r="A60" s="1" t="s">
        <v>273</v>
      </c>
      <c r="B60" s="3">
        <v>42.730012151863797</v>
      </c>
      <c r="C60" s="3">
        <v>-73.6785134113086</v>
      </c>
      <c r="D60" s="1"/>
      <c r="E60" s="1"/>
    </row>
    <row r="61" spans="1:5" ht="23.1" customHeight="1">
      <c r="A61" s="1" t="s">
        <v>274</v>
      </c>
      <c r="B61" s="3">
        <v>42.729575336876202</v>
      </c>
      <c r="C61" s="3">
        <v>-73.678592993145401</v>
      </c>
      <c r="D61" s="1"/>
      <c r="E61" s="1"/>
    </row>
    <row r="62" spans="1:5" ht="23.1" customHeight="1">
      <c r="A62" s="1" t="s">
        <v>275</v>
      </c>
      <c r="B62" s="3">
        <v>42.729379919644899</v>
      </c>
      <c r="C62" s="3">
        <v>-73.677972254818599</v>
      </c>
      <c r="D62" s="1"/>
      <c r="E62" s="1"/>
    </row>
    <row r="63" spans="1:5" ht="23.1" customHeight="1">
      <c r="A63" s="1" t="s">
        <v>276</v>
      </c>
      <c r="B63" s="3">
        <v>42.7292948556737</v>
      </c>
      <c r="C63" s="3">
        <v>-73.677378574316407</v>
      </c>
      <c r="D63" s="1"/>
      <c r="E63" s="1"/>
    </row>
    <row r="64" spans="1:5" ht="23.1" customHeight="1">
      <c r="A64" s="1" t="s">
        <v>277</v>
      </c>
      <c r="B64" s="3">
        <v>42.729805239501303</v>
      </c>
      <c r="C64" s="3">
        <v>-73.6779515635411</v>
      </c>
      <c r="D64" s="1"/>
      <c r="E64" s="1"/>
    </row>
    <row r="65" spans="1:5" ht="23.1" customHeight="1">
      <c r="A65" s="1" t="s">
        <v>278</v>
      </c>
      <c r="B65" s="3">
        <v>42.72960982227</v>
      </c>
      <c r="C65" s="3">
        <v>-73.679245564206795</v>
      </c>
      <c r="D65" s="1"/>
      <c r="E65" s="1"/>
    </row>
    <row r="66" spans="1:5" ht="23.1" customHeight="1">
      <c r="A66" s="1" t="s">
        <v>279</v>
      </c>
      <c r="B66" s="3">
        <v>42.731058208807902</v>
      </c>
      <c r="C66" s="3">
        <v>-73.679277396941501</v>
      </c>
      <c r="D66" s="1"/>
      <c r="E66" s="1"/>
    </row>
    <row r="67" spans="1:5" ht="23.1" customHeight="1">
      <c r="A67" s="1" t="s">
        <v>280</v>
      </c>
      <c r="B67" s="3">
        <v>42.730667374345302</v>
      </c>
      <c r="C67" s="3">
        <v>-73.679380853329306</v>
      </c>
      <c r="D67" s="1"/>
      <c r="E67" s="1"/>
    </row>
    <row r="68" spans="1:5" ht="23.1" customHeight="1">
      <c r="A68" s="1" t="s">
        <v>281</v>
      </c>
      <c r="B68" s="3">
        <v>42.730256998159497</v>
      </c>
      <c r="C68" s="3">
        <v>-73.679016368516997</v>
      </c>
      <c r="D68" s="1"/>
      <c r="E68" s="1"/>
    </row>
    <row r="69" spans="1:5" ht="23.1" customHeight="1">
      <c r="A69" s="1" t="s">
        <v>282</v>
      </c>
      <c r="B69" s="3">
        <v>42.729897200551299</v>
      </c>
      <c r="C69" s="3">
        <v>-73.6793490205946</v>
      </c>
      <c r="D69" s="1"/>
      <c r="E69" s="1"/>
    </row>
    <row r="70" spans="1:5" ht="23.1" customHeight="1">
      <c r="A70" s="1" t="s">
        <v>283</v>
      </c>
      <c r="B70" s="3">
        <v>42.729989161601303</v>
      </c>
      <c r="C70" s="3">
        <v>-73.680608005252196</v>
      </c>
      <c r="D70" s="1"/>
      <c r="E70" s="1"/>
    </row>
    <row r="71" spans="1:5" ht="23.1" customHeight="1">
      <c r="A71" s="1" t="s">
        <v>284</v>
      </c>
      <c r="B71" s="3">
        <v>42.730365052393303</v>
      </c>
      <c r="C71" s="3">
        <v>-73.6808690336768</v>
      </c>
      <c r="D71" s="1"/>
      <c r="E71" s="1"/>
    </row>
    <row r="72" spans="1:5" ht="23.1" customHeight="1">
      <c r="A72" s="1" t="s">
        <v>285</v>
      </c>
      <c r="B72" s="3">
        <v>42.7307524383165</v>
      </c>
      <c r="C72" s="3">
        <v>-73.680327877186798</v>
      </c>
      <c r="D72" s="1"/>
      <c r="E72" s="1"/>
    </row>
    <row r="73" spans="1:5" ht="23.1" customHeight="1">
      <c r="A73" s="1" t="s">
        <v>286</v>
      </c>
      <c r="B73" s="3">
        <v>42.730816811051596</v>
      </c>
      <c r="C73" s="3">
        <v>-73.680916782778894</v>
      </c>
      <c r="D73" s="1"/>
      <c r="E73" s="1"/>
    </row>
    <row r="74" spans="1:5" ht="23.1" customHeight="1">
      <c r="A74" s="1" t="s">
        <v>287</v>
      </c>
      <c r="B74" s="3">
        <v>42.730688065581496</v>
      </c>
      <c r="C74" s="3">
        <v>-73.6798249199785</v>
      </c>
      <c r="D74" s="1"/>
      <c r="E74" s="1"/>
    </row>
    <row r="75" spans="1:5" ht="23.1" customHeight="1">
      <c r="A75" s="1" t="s">
        <v>288</v>
      </c>
      <c r="B75" s="3">
        <v>42.729644307663797</v>
      </c>
      <c r="C75" s="3">
        <v>-73.679659389758001</v>
      </c>
      <c r="D75" s="1"/>
      <c r="E75" s="1"/>
    </row>
    <row r="76" spans="1:5" ht="23.1" customHeight="1">
      <c r="A76" s="1" t="s">
        <v>289</v>
      </c>
      <c r="B76" s="3">
        <v>42.729916742274398</v>
      </c>
      <c r="C76" s="3">
        <v>-73.679695997402902</v>
      </c>
      <c r="D76" s="1"/>
      <c r="E76" s="1"/>
    </row>
    <row r="77" spans="1:5" ht="23.1" customHeight="1">
      <c r="A77" s="1" t="s">
        <v>290</v>
      </c>
      <c r="B77" s="3">
        <v>42.729684540623097</v>
      </c>
      <c r="C77" s="3">
        <v>-73.680157572056103</v>
      </c>
      <c r="D77" s="1"/>
      <c r="E77" s="1"/>
    </row>
    <row r="78" spans="1:5" ht="23.1" customHeight="1">
      <c r="A78" s="1" t="s">
        <v>291</v>
      </c>
      <c r="B78" s="3">
        <v>42.729790295830703</v>
      </c>
      <c r="C78" s="3">
        <v>-73.680959756970694</v>
      </c>
      <c r="D78" s="1"/>
      <c r="E78" s="1"/>
    </row>
    <row r="79" spans="1:5" ht="23.1" customHeight="1">
      <c r="A79" s="1" t="s">
        <v>292</v>
      </c>
      <c r="B79" s="3">
        <v>42.730460461982702</v>
      </c>
      <c r="C79" s="3">
        <v>-73.678954294684303</v>
      </c>
      <c r="D79" s="1"/>
      <c r="E79" s="1"/>
    </row>
    <row r="80" spans="1:5" ht="23.1" customHeight="1">
      <c r="A80" s="1" t="s">
        <v>293</v>
      </c>
      <c r="B80" s="3">
        <v>42.7304294251283</v>
      </c>
      <c r="C80" s="3">
        <v>-73.678551610590304</v>
      </c>
      <c r="D80" s="1"/>
      <c r="E80" s="1"/>
    </row>
    <row r="81" spans="1:5" ht="23.1" customHeight="1">
      <c r="A81" s="1" t="s">
        <v>294</v>
      </c>
      <c r="B81" s="3">
        <v>42.730928313824698</v>
      </c>
      <c r="C81" s="3">
        <v>-73.678414729831005</v>
      </c>
      <c r="D81" s="1"/>
      <c r="E81" s="1"/>
    </row>
    <row r="82" spans="1:5" ht="23.1" customHeight="1">
      <c r="A82" s="1" t="s">
        <v>295</v>
      </c>
      <c r="B82" s="3">
        <v>42.730609898689004</v>
      </c>
      <c r="C82" s="3">
        <v>-73.681166669746304</v>
      </c>
      <c r="D82" s="1"/>
      <c r="E82" s="1"/>
    </row>
    <row r="83" spans="1:5" ht="23.1" customHeight="1">
      <c r="A83" s="1" t="s">
        <v>296</v>
      </c>
      <c r="B83" s="3">
        <v>42.730006404298202</v>
      </c>
      <c r="C83" s="3">
        <v>-73.680900866411505</v>
      </c>
      <c r="D83" s="1"/>
      <c r="E83" s="1"/>
    </row>
    <row r="84" spans="1:5" ht="23.1" customHeight="1">
      <c r="A84" s="1" t="s">
        <v>297</v>
      </c>
      <c r="B84" s="3">
        <v>42.729839724895001</v>
      </c>
      <c r="C84" s="3">
        <v>-73.6816330193097</v>
      </c>
      <c r="D84" s="1"/>
      <c r="E84" s="1"/>
    </row>
    <row r="85" spans="1:5" ht="23.1" customHeight="1">
      <c r="A85" s="1" t="s">
        <v>298</v>
      </c>
      <c r="B85" s="3">
        <v>42.729724773582497</v>
      </c>
      <c r="C85" s="3">
        <v>-73.681601186574994</v>
      </c>
      <c r="D85" s="1"/>
      <c r="E85" s="1"/>
    </row>
    <row r="86" spans="1:5" ht="23.1" customHeight="1">
      <c r="A86" s="1" t="s">
        <v>299</v>
      </c>
      <c r="B86" s="3">
        <v>42.729724773582497</v>
      </c>
      <c r="C86" s="3">
        <v>-73.681792182983301</v>
      </c>
      <c r="D86" s="1"/>
      <c r="E86" s="1"/>
    </row>
    <row r="87" spans="1:5" ht="23.1" customHeight="1">
      <c r="A87" s="1" t="s">
        <v>300</v>
      </c>
      <c r="B87" s="3">
        <v>42.729839724895001</v>
      </c>
      <c r="C87" s="3">
        <v>-73.681792182983301</v>
      </c>
      <c r="D87" s="1"/>
      <c r="E87" s="1"/>
    </row>
    <row r="88" spans="1:5" ht="23.1" customHeight="1">
      <c r="A88" s="1" t="s">
        <v>301</v>
      </c>
      <c r="B88" s="3">
        <v>42.730012151863797</v>
      </c>
      <c r="C88" s="3">
        <v>-73.681696684779098</v>
      </c>
      <c r="D88" s="1"/>
      <c r="E88" s="1"/>
    </row>
    <row r="89" spans="1:5" ht="23.1" customHeight="1">
      <c r="A89" s="1" t="s">
        <v>302</v>
      </c>
      <c r="B89" s="3">
        <v>42.730177681753901</v>
      </c>
      <c r="C89" s="3">
        <v>-73.681712601146501</v>
      </c>
      <c r="D89" s="1"/>
      <c r="E89" s="1"/>
    </row>
    <row r="90" spans="1:5" ht="23.1" customHeight="1">
      <c r="A90" s="1" t="s">
        <v>303</v>
      </c>
      <c r="B90" s="3">
        <v>42.7298822568807</v>
      </c>
      <c r="C90" s="3">
        <v>-73.681699868052604</v>
      </c>
      <c r="D90" s="1"/>
      <c r="E90" s="1"/>
    </row>
    <row r="91" spans="1:5" ht="23.1" customHeight="1">
      <c r="A91" s="1" t="s">
        <v>304</v>
      </c>
      <c r="B91" s="3">
        <v>42.730371949472101</v>
      </c>
      <c r="C91" s="3">
        <v>-73.681744433881207</v>
      </c>
      <c r="D91" s="1"/>
      <c r="E91" s="1"/>
    </row>
    <row r="92" spans="1:5" ht="23.1" customHeight="1">
      <c r="A92" s="1" t="s">
        <v>305</v>
      </c>
      <c r="B92" s="3">
        <v>42.730425976588997</v>
      </c>
      <c r="C92" s="3">
        <v>-73.681572537113794</v>
      </c>
      <c r="D92" s="1"/>
      <c r="E92" s="1"/>
    </row>
    <row r="93" spans="1:5" ht="23.1" customHeight="1">
      <c r="A93" s="1" t="s">
        <v>306</v>
      </c>
      <c r="B93" s="3">
        <v>42.7303236699208</v>
      </c>
      <c r="C93" s="3">
        <v>-73.681473855636199</v>
      </c>
      <c r="D93" s="1"/>
      <c r="E93" s="1"/>
    </row>
    <row r="94" spans="1:5" ht="23.1" customHeight="1">
      <c r="A94" s="1" t="s">
        <v>307</v>
      </c>
      <c r="B94" s="3">
        <v>42.730146644899499</v>
      </c>
      <c r="C94" s="3">
        <v>-73.681230335215702</v>
      </c>
      <c r="D94" s="1"/>
      <c r="E94" s="1"/>
    </row>
    <row r="95" spans="1:5" ht="23.1" customHeight="1">
      <c r="A95" s="1" t="s">
        <v>308</v>
      </c>
      <c r="B95" s="3">
        <v>42.730373098985197</v>
      </c>
      <c r="C95" s="3">
        <v>-73.681182586113593</v>
      </c>
      <c r="D95" s="1"/>
      <c r="E95" s="1"/>
    </row>
    <row r="96" spans="1:5" ht="23.1" customHeight="1">
      <c r="A96" s="1" t="s">
        <v>309</v>
      </c>
      <c r="B96" s="3">
        <v>42.730643234569598</v>
      </c>
      <c r="C96" s="3">
        <v>-73.681768308432197</v>
      </c>
      <c r="D96" s="1"/>
      <c r="E96" s="1"/>
    </row>
    <row r="97" spans="1:5" ht="23.1" customHeight="1">
      <c r="A97" s="1" t="s">
        <v>310</v>
      </c>
      <c r="B97" s="3">
        <v>42.7304144814577</v>
      </c>
      <c r="C97" s="3">
        <v>-73.682110510330304</v>
      </c>
      <c r="D97" s="1"/>
      <c r="E97" s="1"/>
    </row>
    <row r="98" spans="1:5" ht="23.1" customHeight="1">
      <c r="A98" s="1" t="s">
        <v>311</v>
      </c>
      <c r="B98" s="3">
        <v>42.730545525954</v>
      </c>
      <c r="C98" s="3">
        <v>-73.682174175799702</v>
      </c>
      <c r="D98" s="1"/>
      <c r="E98" s="1"/>
    </row>
    <row r="99" spans="1:5" ht="23.1" customHeight="1">
      <c r="A99" s="1" t="s">
        <v>312</v>
      </c>
      <c r="B99" s="3">
        <v>42.730448966851498</v>
      </c>
      <c r="C99" s="3">
        <v>-73.682672358097903</v>
      </c>
      <c r="D99" s="1"/>
      <c r="E99" s="1"/>
    </row>
    <row r="100" spans="1:5" ht="23.1" customHeight="1">
      <c r="A100" s="1" t="s">
        <v>313</v>
      </c>
      <c r="B100" s="3">
        <v>42.730237456436399</v>
      </c>
      <c r="C100" s="3">
        <v>-73.682291956918107</v>
      </c>
      <c r="D100" s="1"/>
      <c r="E100" s="1"/>
    </row>
    <row r="101" spans="1:5" ht="23.1" customHeight="1">
      <c r="A101" s="1" t="s">
        <v>314</v>
      </c>
      <c r="B101" s="3">
        <v>42.730628290898999</v>
      </c>
      <c r="C101" s="3">
        <v>-73.680721011460406</v>
      </c>
      <c r="D101" s="1"/>
      <c r="E101" s="1"/>
    </row>
    <row r="102" spans="1:5" ht="23.1" customHeight="1">
      <c r="A102" s="1" t="s">
        <v>315</v>
      </c>
      <c r="B102" s="3">
        <v>42.729379919644899</v>
      </c>
      <c r="C102" s="3">
        <v>-73.681394273799398</v>
      </c>
      <c r="D102" s="1"/>
      <c r="E102" s="1"/>
    </row>
    <row r="103" spans="1:5" ht="23.1" customHeight="1">
      <c r="A103" s="1" t="s">
        <v>316</v>
      </c>
      <c r="B103" s="3">
        <v>42.7295063660887</v>
      </c>
      <c r="C103" s="3">
        <v>-73.681036155534002</v>
      </c>
      <c r="D103" s="1"/>
      <c r="E103" s="1"/>
    </row>
    <row r="104" spans="1:5" ht="23.1" customHeight="1">
      <c r="A104" s="1" t="s">
        <v>317</v>
      </c>
      <c r="B104" s="3">
        <v>42.729379919644899</v>
      </c>
      <c r="C104" s="3">
        <v>-73.681951346656803</v>
      </c>
      <c r="D104" s="1"/>
      <c r="E104" s="1"/>
    </row>
    <row r="105" spans="1:5" ht="23.1" customHeight="1">
      <c r="A105" s="1" t="s">
        <v>318</v>
      </c>
      <c r="B105" s="3">
        <v>42.728325816108999</v>
      </c>
      <c r="C105" s="3">
        <v>-73.680752844195098</v>
      </c>
      <c r="D105" s="1"/>
      <c r="E105" s="1"/>
    </row>
    <row r="106" spans="1:5" ht="23.1" customHeight="1">
      <c r="A106" s="1" t="s">
        <v>319</v>
      </c>
      <c r="B106" s="3">
        <v>42.729520160246203</v>
      </c>
      <c r="C106" s="3">
        <v>-73.678446562565696</v>
      </c>
      <c r="D106" s="1"/>
      <c r="E106" s="1"/>
    </row>
    <row r="107" spans="1:5" ht="23.1" customHeight="1">
      <c r="A107" s="1" t="s">
        <v>320</v>
      </c>
      <c r="B107" s="3">
        <v>42.729000580313603</v>
      </c>
      <c r="C107" s="3">
        <v>-73.678518186218795</v>
      </c>
      <c r="D107" s="1"/>
      <c r="E107" s="1"/>
    </row>
    <row r="108" spans="1:5" ht="23.1" customHeight="1">
      <c r="A108" s="1" t="s">
        <v>321</v>
      </c>
      <c r="B108" s="3">
        <v>42.729441993353703</v>
      </c>
      <c r="C108" s="3">
        <v>-73.678234874879905</v>
      </c>
      <c r="D108" s="1"/>
      <c r="E108" s="1"/>
    </row>
    <row r="109" spans="1:5" ht="23.1" customHeight="1">
      <c r="A109" s="1" t="s">
        <v>322</v>
      </c>
      <c r="B109" s="3">
        <v>42.7285177848009</v>
      </c>
      <c r="C109" s="3">
        <v>-73.6786502920678</v>
      </c>
      <c r="D109" s="1"/>
      <c r="E109" s="1"/>
    </row>
    <row r="110" spans="1:5" ht="23.1" customHeight="1">
      <c r="A110" s="1" t="s">
        <v>323</v>
      </c>
      <c r="B110" s="3">
        <v>42.728667221507202</v>
      </c>
      <c r="C110" s="3">
        <v>-73.6798822189009</v>
      </c>
      <c r="D110" s="1"/>
      <c r="E110" s="1"/>
    </row>
    <row r="111" spans="1:5" ht="23.1" customHeight="1">
      <c r="A111" s="1" t="s">
        <v>324</v>
      </c>
      <c r="B111" s="3">
        <v>42.729081046232302</v>
      </c>
      <c r="C111" s="3">
        <v>-73.681212827211596</v>
      </c>
      <c r="D111" s="1"/>
      <c r="E111" s="1"/>
    </row>
    <row r="112" spans="1:5" ht="23.1" customHeight="1">
      <c r="A112" s="1" t="s">
        <v>325</v>
      </c>
      <c r="B112" s="3">
        <v>42.728976440537899</v>
      </c>
      <c r="C112" s="3">
        <v>-73.681696684779098</v>
      </c>
      <c r="D112" s="1"/>
      <c r="E112" s="1"/>
    </row>
    <row r="113" spans="1:5" ht="23.1" customHeight="1">
      <c r="A113" s="1" t="s">
        <v>326</v>
      </c>
      <c r="B113" s="3">
        <v>42.729092541363599</v>
      </c>
      <c r="C113" s="3">
        <v>-73.680402684113403</v>
      </c>
      <c r="D113" s="1"/>
      <c r="E113" s="1"/>
    </row>
    <row r="114" spans="1:5" ht="23.1" customHeight="1">
      <c r="A114" s="1" t="s">
        <v>327</v>
      </c>
      <c r="B114" s="3">
        <v>42.729184502413602</v>
      </c>
      <c r="C114" s="3">
        <v>-73.679859935986599</v>
      </c>
      <c r="D114" s="1"/>
      <c r="E114" s="1"/>
    </row>
    <row r="115" spans="1:5" ht="23.1" customHeight="1">
      <c r="A115" s="1" t="s">
        <v>328</v>
      </c>
      <c r="B115" s="3">
        <v>42.729205193649904</v>
      </c>
      <c r="C115" s="3">
        <v>-73.681047296991196</v>
      </c>
      <c r="D115" s="1"/>
      <c r="E115" s="1"/>
    </row>
    <row r="116" spans="1:5" ht="23.1" customHeight="1">
      <c r="A116" s="1" t="s">
        <v>329</v>
      </c>
      <c r="B116" s="3">
        <v>42.728784471845998</v>
      </c>
      <c r="C116" s="3">
        <v>-73.681330608330001</v>
      </c>
      <c r="D116" s="1"/>
      <c r="E116" s="1"/>
    </row>
    <row r="117" spans="1:5" ht="23.1" customHeight="1">
      <c r="A117" s="1" t="s">
        <v>330</v>
      </c>
      <c r="B117" s="3">
        <v>42.728632736113497</v>
      </c>
      <c r="C117" s="3">
        <v>-73.681206460664697</v>
      </c>
      <c r="D117" s="1"/>
      <c r="E117" s="1"/>
    </row>
    <row r="118" spans="1:5" ht="23.1" customHeight="1">
      <c r="A118" s="1" t="s">
        <v>331</v>
      </c>
      <c r="B118" s="3">
        <v>42.728393637383398</v>
      </c>
      <c r="C118" s="3">
        <v>-73.681217602121805</v>
      </c>
      <c r="D118" s="1"/>
      <c r="E118" s="1"/>
    </row>
    <row r="119" spans="1:5" ht="23.1" customHeight="1">
      <c r="A119" s="1" t="s">
        <v>332</v>
      </c>
      <c r="B119" s="3">
        <v>42.728641932218501</v>
      </c>
      <c r="C119" s="3">
        <v>-73.681574128750498</v>
      </c>
      <c r="D119" s="1"/>
      <c r="E119" s="1"/>
    </row>
    <row r="120" spans="1:5" ht="23.1" customHeight="1">
      <c r="A120" s="1" t="s">
        <v>333</v>
      </c>
      <c r="B120" s="3">
        <v>42.728629287574101</v>
      </c>
      <c r="C120" s="3">
        <v>-73.681919513922097</v>
      </c>
      <c r="D120" s="1"/>
      <c r="E120" s="1"/>
    </row>
    <row r="121" spans="1:5" ht="23.1" customHeight="1">
      <c r="A121" s="1" t="s">
        <v>334</v>
      </c>
      <c r="B121" s="3">
        <v>42.728512037235298</v>
      </c>
      <c r="C121" s="3">
        <v>-73.681916330648605</v>
      </c>
      <c r="D121" s="1"/>
      <c r="E121" s="1"/>
    </row>
    <row r="122" spans="1:5" ht="23.1" customHeight="1">
      <c r="A122" s="1" t="s">
        <v>335</v>
      </c>
      <c r="B122" s="3">
        <v>42.7287499864523</v>
      </c>
      <c r="C122" s="3">
        <v>-73.682148709611994</v>
      </c>
      <c r="D122" s="1"/>
      <c r="E122" s="1"/>
    </row>
    <row r="123" spans="1:5" ht="23.1" customHeight="1">
      <c r="A123" s="1" t="s">
        <v>336</v>
      </c>
      <c r="B123" s="3">
        <v>42.728956898814801</v>
      </c>
      <c r="C123" s="3">
        <v>-73.682263307456907</v>
      </c>
      <c r="D123" s="1"/>
      <c r="E123" s="1"/>
    </row>
    <row r="124" spans="1:5" ht="23.1" customHeight="1">
      <c r="A124" s="1" t="s">
        <v>337</v>
      </c>
      <c r="B124" s="3">
        <v>42.728736192294797</v>
      </c>
      <c r="C124" s="3">
        <v>-73.682694641012105</v>
      </c>
      <c r="D124" s="1"/>
      <c r="E124" s="1"/>
    </row>
    <row r="125" spans="1:5" ht="23.1" customHeight="1">
      <c r="A125" s="1" t="s">
        <v>338</v>
      </c>
      <c r="B125" s="3">
        <v>42.728876432896001</v>
      </c>
      <c r="C125" s="3">
        <v>-73.682497278056999</v>
      </c>
      <c r="D125" s="1"/>
      <c r="E125" s="1"/>
    </row>
    <row r="126" spans="1:5" ht="23.1" customHeight="1">
      <c r="A126" s="1" t="s">
        <v>339</v>
      </c>
      <c r="B126" s="3">
        <v>42.731138674726601</v>
      </c>
      <c r="C126" s="3">
        <v>-73.679866302533597</v>
      </c>
      <c r="D126" s="1"/>
      <c r="E126" s="1"/>
    </row>
    <row r="127" spans="1:5" ht="23.1" customHeight="1">
      <c r="A127" s="1" t="s">
        <v>340</v>
      </c>
      <c r="B127" s="3">
        <v>42.728920114394803</v>
      </c>
      <c r="C127" s="3">
        <v>-73.678195083961597</v>
      </c>
      <c r="D127" s="1"/>
      <c r="E127" s="1"/>
    </row>
    <row r="128" spans="1:5" ht="23.1" customHeight="1">
      <c r="A128" s="1" t="s">
        <v>341</v>
      </c>
      <c r="B128" s="3">
        <v>42.728972991998603</v>
      </c>
      <c r="C128" s="3">
        <v>-73.677679393659304</v>
      </c>
      <c r="D128" s="1"/>
      <c r="E128" s="1"/>
    </row>
    <row r="129" spans="1:5" ht="23.1" customHeight="1">
      <c r="A129" s="1" t="s">
        <v>342</v>
      </c>
      <c r="B129" s="3">
        <v>42.728938506604798</v>
      </c>
      <c r="C129" s="3">
        <v>-73.677278301202094</v>
      </c>
      <c r="D129" s="1"/>
      <c r="E129" s="1"/>
    </row>
    <row r="130" spans="1:5" ht="23.1" customHeight="1">
      <c r="A130" s="1" t="s">
        <v>343</v>
      </c>
      <c r="B130" s="3">
        <v>42.729471880694902</v>
      </c>
      <c r="C130" s="3">
        <v>-73.677139828806105</v>
      </c>
      <c r="D130" s="1"/>
      <c r="E130" s="1"/>
    </row>
    <row r="131" spans="1:5" ht="23.1" customHeight="1">
      <c r="A131" s="1" t="s">
        <v>344</v>
      </c>
      <c r="B131" s="3">
        <v>42.729719026016902</v>
      </c>
      <c r="C131" s="3">
        <v>-73.677112770981594</v>
      </c>
      <c r="D131" s="1"/>
      <c r="E131" s="1"/>
    </row>
    <row r="132" spans="1:5" ht="23.1" customHeight="1">
      <c r="A132" s="1" t="s">
        <v>345</v>
      </c>
      <c r="B132" s="3">
        <v>42.7299604237732</v>
      </c>
      <c r="C132" s="3">
        <v>-73.677128687348898</v>
      </c>
      <c r="D132" s="1"/>
      <c r="E132" s="1"/>
    </row>
    <row r="133" spans="1:5" ht="23.1" customHeight="1">
      <c r="A133" s="1" t="s">
        <v>346</v>
      </c>
      <c r="B133" s="3">
        <v>42.729085644284801</v>
      </c>
      <c r="C133" s="3">
        <v>-73.676985440042799</v>
      </c>
      <c r="D133" s="1"/>
      <c r="E133" s="1"/>
    </row>
    <row r="134" spans="1:5" ht="23.1" customHeight="1">
      <c r="A134" s="1" t="s">
        <v>347</v>
      </c>
      <c r="B134" s="3">
        <v>42.729552346613701</v>
      </c>
      <c r="C134" s="3">
        <v>-73.676937690940704</v>
      </c>
      <c r="D134" s="1"/>
      <c r="E134" s="1"/>
    </row>
    <row r="135" spans="1:5" ht="23.1" customHeight="1">
      <c r="A135" s="1" t="s">
        <v>348</v>
      </c>
      <c r="B135" s="3">
        <v>42.728920114394803</v>
      </c>
      <c r="C135" s="3">
        <v>-73.676062290736297</v>
      </c>
      <c r="D135" s="1"/>
      <c r="E135" s="1"/>
    </row>
    <row r="136" spans="1:5" ht="23.1" customHeight="1">
      <c r="A136" s="1" t="s">
        <v>349</v>
      </c>
      <c r="B136" s="3">
        <v>42.728690211769703</v>
      </c>
      <c r="C136" s="3">
        <v>-73.676062290736297</v>
      </c>
      <c r="D136" s="1"/>
      <c r="E136" s="1"/>
    </row>
    <row r="137" spans="1:5" ht="23.1" customHeight="1">
      <c r="A137" s="1" t="s">
        <v>350</v>
      </c>
      <c r="B137" s="3">
        <v>42.728660324428503</v>
      </c>
      <c r="C137" s="3">
        <v>-73.675895168879094</v>
      </c>
      <c r="D137" s="1"/>
      <c r="E137" s="1"/>
    </row>
    <row r="138" spans="1:5" ht="23.1" customHeight="1">
      <c r="A138" s="1" t="s">
        <v>351</v>
      </c>
      <c r="B138" s="3">
        <v>42.728478701354703</v>
      </c>
      <c r="C138" s="3">
        <v>-73.675791712491304</v>
      </c>
      <c r="D138" s="1"/>
      <c r="E138" s="1"/>
    </row>
    <row r="139" spans="1:5" ht="23.1" customHeight="1">
      <c r="A139" s="1" t="s">
        <v>352</v>
      </c>
      <c r="B139" s="3">
        <v>42.728218911388403</v>
      </c>
      <c r="C139" s="3">
        <v>-73.677924505716604</v>
      </c>
      <c r="D139" s="1"/>
      <c r="E139" s="1"/>
    </row>
    <row r="140" spans="1:5" ht="23.1" customHeight="1">
      <c r="A140" s="1" t="s">
        <v>353</v>
      </c>
      <c r="B140" s="3">
        <v>42.728259144347803</v>
      </c>
      <c r="C140" s="3">
        <v>-73.677450197969506</v>
      </c>
      <c r="D140" s="1"/>
      <c r="E140" s="1"/>
    </row>
    <row r="141" spans="1:5" ht="23.1" customHeight="1">
      <c r="A141" s="1" t="s">
        <v>354</v>
      </c>
      <c r="B141" s="3">
        <v>42.727406205608801</v>
      </c>
      <c r="C141" s="3">
        <v>-73.678067753022702</v>
      </c>
      <c r="D141" s="1"/>
      <c r="E141" s="1"/>
    </row>
    <row r="142" spans="1:5" ht="23.1" customHeight="1">
      <c r="A142" s="1" t="s">
        <v>355</v>
      </c>
      <c r="B142" s="3">
        <v>42.7284373188822</v>
      </c>
      <c r="C142" s="3">
        <v>-73.680232378982694</v>
      </c>
      <c r="D142" s="1"/>
      <c r="E142" s="1"/>
    </row>
    <row r="143" spans="1:5" ht="23.1" customHeight="1">
      <c r="A143" s="1" t="s">
        <v>356</v>
      </c>
      <c r="B143" s="3">
        <v>42.728241901650897</v>
      </c>
      <c r="C143" s="3">
        <v>-73.680280128084803</v>
      </c>
      <c r="D143" s="1"/>
      <c r="E143" s="1"/>
    </row>
    <row r="144" spans="1:5" ht="23.1" customHeight="1">
      <c r="A144" s="1" t="s">
        <v>357</v>
      </c>
      <c r="B144" s="3">
        <v>42.730667374345302</v>
      </c>
      <c r="C144" s="3">
        <v>-73.682369947118204</v>
      </c>
      <c r="D144" s="1"/>
      <c r="E144" s="1"/>
    </row>
    <row r="145" spans="1:5" ht="23.1" customHeight="1">
      <c r="A145" s="1" t="s">
        <v>358</v>
      </c>
      <c r="B145" s="3">
        <v>42.730603001610298</v>
      </c>
      <c r="C145" s="3">
        <v>-73.682627792269301</v>
      </c>
      <c r="D145" s="1"/>
      <c r="E145" s="1"/>
    </row>
    <row r="146" spans="1:5" ht="23.1" customHeight="1">
      <c r="A146" s="1" t="s">
        <v>359</v>
      </c>
      <c r="B146" s="3">
        <v>42.730575413295199</v>
      </c>
      <c r="C146" s="3">
        <v>-73.682938161432602</v>
      </c>
      <c r="D146" s="1"/>
      <c r="E146" s="1"/>
    </row>
    <row r="147" spans="1:5" ht="23.1" customHeight="1">
      <c r="A147" s="1" t="s">
        <v>360</v>
      </c>
      <c r="B147" s="3">
        <v>42.7304144814577</v>
      </c>
      <c r="C147" s="3">
        <v>-73.683065492371497</v>
      </c>
      <c r="D147" s="1"/>
      <c r="E147" s="1"/>
    </row>
    <row r="148" spans="1:5" ht="23.1" customHeight="1">
      <c r="A148" s="1" t="s">
        <v>361</v>
      </c>
      <c r="B148" s="3">
        <v>42.727180901036199</v>
      </c>
      <c r="C148" s="3">
        <v>-73.677319683757204</v>
      </c>
      <c r="D148" s="1"/>
      <c r="E148" s="1"/>
    </row>
    <row r="149" spans="1:5" ht="23.1" customHeight="1">
      <c r="A149" s="1" t="s">
        <v>362</v>
      </c>
      <c r="B149" s="3">
        <v>42.727042959461201</v>
      </c>
      <c r="C149" s="3">
        <v>-73.676858109103904</v>
      </c>
      <c r="D149" s="1"/>
      <c r="E149" s="1"/>
    </row>
    <row r="150" spans="1:5" ht="23.1" customHeight="1">
      <c r="A150" s="1" t="s">
        <v>363</v>
      </c>
      <c r="B150" s="3">
        <v>42.726747534588</v>
      </c>
      <c r="C150" s="3">
        <v>-73.676332868981305</v>
      </c>
      <c r="D150" s="1"/>
      <c r="E150" s="1"/>
    </row>
    <row r="151" spans="1:5" ht="23.1" customHeight="1">
      <c r="A151" s="1" t="s">
        <v>364</v>
      </c>
      <c r="B151" s="3">
        <v>42.726705002602301</v>
      </c>
      <c r="C151" s="3">
        <v>-73.675887210695393</v>
      </c>
      <c r="D151" s="1"/>
      <c r="E151" s="1"/>
    </row>
    <row r="152" spans="1:5" ht="23.1" customHeight="1">
      <c r="A152" s="1" t="s">
        <v>365</v>
      </c>
      <c r="B152" s="3">
        <v>42.726816505375503</v>
      </c>
      <c r="C152" s="3">
        <v>-73.675465426960599</v>
      </c>
      <c r="D152" s="1"/>
      <c r="E152" s="1"/>
    </row>
    <row r="153" spans="1:5" ht="23.1" customHeight="1">
      <c r="A153" s="1" t="s">
        <v>366</v>
      </c>
      <c r="B153" s="3">
        <v>42.7270199691987</v>
      </c>
      <c r="C153" s="3">
        <v>-73.675354012389107</v>
      </c>
      <c r="D153" s="1"/>
      <c r="E153" s="1"/>
    </row>
    <row r="154" spans="1:5" ht="23.1" customHeight="1">
      <c r="A154" s="1" t="s">
        <v>367</v>
      </c>
      <c r="B154" s="3">
        <v>42.7263187661922</v>
      </c>
      <c r="C154" s="3">
        <v>-73.6756962142872</v>
      </c>
      <c r="D154" s="1"/>
      <c r="E154" s="1"/>
    </row>
    <row r="155" spans="1:5" ht="23.1" customHeight="1">
      <c r="A155" s="1" t="s">
        <v>368</v>
      </c>
      <c r="B155" s="3">
        <v>42.725804933825202</v>
      </c>
      <c r="C155" s="3">
        <v>-73.675330137838102</v>
      </c>
      <c r="D155" s="1"/>
      <c r="E155" s="1"/>
    </row>
    <row r="156" spans="1:5" ht="23.1" customHeight="1">
      <c r="A156" s="1" t="s">
        <v>369</v>
      </c>
      <c r="B156" s="3">
        <v>42.725192243329403</v>
      </c>
      <c r="C156" s="3">
        <v>-73.675330137838102</v>
      </c>
      <c r="D156" s="1"/>
      <c r="E156" s="1"/>
    </row>
    <row r="157" spans="1:5" ht="23.1" customHeight="1">
      <c r="A157" s="1" t="s">
        <v>370</v>
      </c>
      <c r="B157" s="3">
        <v>42.730184578832599</v>
      </c>
      <c r="C157" s="3">
        <v>-73.683224656044999</v>
      </c>
      <c r="D157" s="1"/>
      <c r="E157" s="1"/>
    </row>
    <row r="158" spans="1:5" ht="23.1" customHeight="1">
      <c r="A158" s="1" t="s">
        <v>371</v>
      </c>
      <c r="B158" s="3">
        <v>42.730178831266997</v>
      </c>
      <c r="C158" s="3">
        <v>-73.683507967383903</v>
      </c>
      <c r="D158" s="1"/>
      <c r="E158" s="1"/>
    </row>
    <row r="159" spans="1:5" ht="23.1" customHeight="1">
      <c r="A159" s="1" t="s">
        <v>372</v>
      </c>
      <c r="B159" s="3">
        <v>42.730552423032698</v>
      </c>
      <c r="C159" s="3">
        <v>-73.683597099040995</v>
      </c>
      <c r="D159" s="1"/>
      <c r="E159" s="1"/>
    </row>
    <row r="160" spans="1:5" ht="23.1" customHeight="1">
      <c r="A160" s="1" t="s">
        <v>373</v>
      </c>
      <c r="B160" s="3">
        <v>42.730807614946599</v>
      </c>
      <c r="C160" s="3">
        <v>-73.683439527004296</v>
      </c>
      <c r="D160" s="1"/>
      <c r="E160" s="1"/>
    </row>
    <row r="161" spans="1:5" ht="23.1" customHeight="1">
      <c r="A161" s="1" t="s">
        <v>374</v>
      </c>
      <c r="B161" s="3">
        <v>42.730894977944097</v>
      </c>
      <c r="C161" s="3">
        <v>-73.683622565228802</v>
      </c>
      <c r="D161" s="1"/>
      <c r="E161" s="1"/>
    </row>
    <row r="162" spans="1:5" ht="23.1" customHeight="1">
      <c r="A162" s="1" t="s">
        <v>375</v>
      </c>
      <c r="B162" s="3">
        <v>42.730251250593902</v>
      </c>
      <c r="C162" s="3">
        <v>-73.684389734135195</v>
      </c>
      <c r="D162" s="1"/>
      <c r="E162" s="1"/>
    </row>
    <row r="163" spans="1:5" ht="23.1" customHeight="1">
      <c r="A163" s="1" t="s">
        <v>376</v>
      </c>
      <c r="B163" s="3">
        <v>42.7297132784513</v>
      </c>
      <c r="C163" s="3">
        <v>-73.684525023257706</v>
      </c>
      <c r="D163" s="1"/>
      <c r="E163" s="1"/>
    </row>
    <row r="164" spans="1:5" ht="23.1" customHeight="1">
      <c r="A164" s="1" t="s">
        <v>377</v>
      </c>
      <c r="B164" s="3">
        <v>42.729471880694902</v>
      </c>
      <c r="C164" s="3">
        <v>-73.684402467229106</v>
      </c>
      <c r="D164" s="1"/>
      <c r="E164" s="1"/>
    </row>
    <row r="165" spans="1:5" ht="23.1" customHeight="1">
      <c r="A165" s="1" t="s">
        <v>378</v>
      </c>
      <c r="B165" s="3">
        <v>42.729182203387403</v>
      </c>
      <c r="C165" s="3">
        <v>-73.684497965433195</v>
      </c>
      <c r="D165" s="1"/>
      <c r="E165" s="1"/>
    </row>
    <row r="166" spans="1:5" ht="23.1" customHeight="1">
      <c r="A166" s="1" t="s">
        <v>379</v>
      </c>
      <c r="B166" s="3">
        <v>42.729027019115499</v>
      </c>
      <c r="C166" s="3">
        <v>-73.684588688727104</v>
      </c>
      <c r="D166" s="1"/>
      <c r="E166" s="1"/>
    </row>
    <row r="167" spans="1:5" ht="23.1" customHeight="1">
      <c r="A167" s="1" t="s">
        <v>380</v>
      </c>
      <c r="B167" s="3">
        <v>42.728993683234798</v>
      </c>
      <c r="C167" s="3">
        <v>-73.684736710943497</v>
      </c>
      <c r="D167" s="1"/>
      <c r="E167" s="1"/>
    </row>
    <row r="168" spans="1:5" ht="23.1" customHeight="1">
      <c r="A168" s="1" t="s">
        <v>381</v>
      </c>
      <c r="B168" s="3">
        <v>42.728537326524098</v>
      </c>
      <c r="C168" s="3">
        <v>-73.684852900425199</v>
      </c>
      <c r="D168" s="1"/>
      <c r="E168" s="1"/>
    </row>
    <row r="169" spans="1:5" ht="23.1" customHeight="1">
      <c r="A169" s="1" t="s">
        <v>382</v>
      </c>
      <c r="B169" s="3">
        <v>42.728483299407202</v>
      </c>
      <c r="C169" s="3">
        <v>-73.684614154914897</v>
      </c>
      <c r="D169" s="1"/>
      <c r="E169" s="1"/>
    </row>
    <row r="170" spans="1:5" ht="23.1" customHeight="1">
      <c r="A170" s="1" t="s">
        <v>383</v>
      </c>
      <c r="B170" s="3">
        <v>42.7287246971635</v>
      </c>
      <c r="C170" s="3">
        <v>-73.684466132698503</v>
      </c>
      <c r="D170" s="1"/>
      <c r="E170" s="1"/>
    </row>
    <row r="171" spans="1:5" ht="23.1" customHeight="1">
      <c r="A171" s="1" t="s">
        <v>384</v>
      </c>
      <c r="B171" s="3">
        <v>42.7300638799545</v>
      </c>
      <c r="C171" s="3">
        <v>-73.6828076472204</v>
      </c>
      <c r="D171" s="1"/>
      <c r="E171" s="1"/>
    </row>
    <row r="172" spans="1:5" ht="23.1" customHeight="1">
      <c r="A172" s="1" t="s">
        <v>385</v>
      </c>
      <c r="B172" s="3">
        <v>42.729828229763797</v>
      </c>
      <c r="C172" s="3">
        <v>-73.682782181032593</v>
      </c>
      <c r="D172" s="1"/>
      <c r="E172" s="1"/>
    </row>
    <row r="173" spans="1:5" ht="23.1" customHeight="1">
      <c r="A173" s="1" t="s">
        <v>386</v>
      </c>
      <c r="B173" s="3">
        <v>42.729985713062</v>
      </c>
      <c r="C173" s="3">
        <v>-73.682314239832394</v>
      </c>
      <c r="D173" s="1"/>
      <c r="E173" s="1"/>
    </row>
    <row r="174" spans="1:5" ht="23.1" customHeight="1">
      <c r="A174" s="1" t="s">
        <v>387</v>
      </c>
      <c r="B174" s="3">
        <v>42.729692587214998</v>
      </c>
      <c r="C174" s="3">
        <v>-73.682977952350996</v>
      </c>
      <c r="D174" s="1"/>
      <c r="E174" s="1"/>
    </row>
    <row r="175" spans="1:5" ht="23.1" customHeight="1">
      <c r="A175" s="1" t="s">
        <v>388</v>
      </c>
      <c r="B175" s="3">
        <v>42.729419003091202</v>
      </c>
      <c r="C175" s="3">
        <v>-73.683055942550993</v>
      </c>
      <c r="D175" s="1"/>
      <c r="E175" s="1"/>
    </row>
    <row r="176" spans="1:5" ht="23.1" customHeight="1">
      <c r="A176" s="1" t="s">
        <v>389</v>
      </c>
      <c r="B176" s="3">
        <v>42.729207492676103</v>
      </c>
      <c r="C176" s="3">
        <v>-73.683102100016399</v>
      </c>
      <c r="D176" s="1"/>
      <c r="E176" s="1"/>
    </row>
    <row r="177" spans="1:5" ht="23.1" customHeight="1">
      <c r="A177" s="1" t="s">
        <v>390</v>
      </c>
      <c r="B177" s="3">
        <v>42.728805163082299</v>
      </c>
      <c r="C177" s="3">
        <v>-73.683122791293897</v>
      </c>
      <c r="D177" s="1"/>
      <c r="E177" s="1"/>
    </row>
    <row r="178" spans="1:5" ht="23.1" customHeight="1">
      <c r="A178" s="1" t="s">
        <v>391</v>
      </c>
      <c r="B178" s="3">
        <v>42.729164960690497</v>
      </c>
      <c r="C178" s="3">
        <v>-73.682285590371194</v>
      </c>
      <c r="D178" s="1"/>
      <c r="E178" s="1"/>
    </row>
    <row r="179" spans="1:5" ht="23.1" customHeight="1">
      <c r="A179" s="1" t="s">
        <v>392</v>
      </c>
      <c r="B179" s="3">
        <v>42.728591353641001</v>
      </c>
      <c r="C179" s="3">
        <v>-73.683277180057303</v>
      </c>
      <c r="D179" s="1"/>
      <c r="E179" s="1"/>
    </row>
    <row r="180" spans="1:5" ht="23.1" customHeight="1">
      <c r="A180" s="1" t="s">
        <v>393</v>
      </c>
      <c r="B180" s="3">
        <v>42.728385590791497</v>
      </c>
      <c r="C180" s="3">
        <v>-73.683326520796001</v>
      </c>
      <c r="D180" s="1"/>
      <c r="E180" s="1"/>
    </row>
    <row r="181" spans="1:5" ht="23.1" customHeight="1">
      <c r="A181" s="1" t="s">
        <v>394</v>
      </c>
      <c r="B181" s="3">
        <v>42.7276958829164</v>
      </c>
      <c r="C181" s="3">
        <v>-73.682460670412098</v>
      </c>
      <c r="D181" s="1"/>
      <c r="E181" s="1"/>
    </row>
    <row r="182" spans="1:5" ht="23.1" customHeight="1">
      <c r="A182" s="1" t="s">
        <v>395</v>
      </c>
      <c r="B182" s="3">
        <v>42.728002802920798</v>
      </c>
      <c r="C182" s="3">
        <v>-73.681542296015806</v>
      </c>
      <c r="D182" s="1"/>
      <c r="E182" s="1"/>
    </row>
    <row r="183" spans="1:5" ht="23.1" customHeight="1">
      <c r="A183" s="1" t="s">
        <v>396</v>
      </c>
      <c r="B183" s="3">
        <v>42.728301676333402</v>
      </c>
      <c r="C183" s="3">
        <v>-73.680148022235699</v>
      </c>
      <c r="D183" s="1"/>
      <c r="E183" s="1"/>
    </row>
    <row r="184" spans="1:5" ht="23.1" customHeight="1">
      <c r="A184" s="1" t="s">
        <v>397</v>
      </c>
      <c r="B184" s="3">
        <v>42.728069474682101</v>
      </c>
      <c r="C184" s="3">
        <v>-73.6786502920678</v>
      </c>
      <c r="D184" s="1"/>
      <c r="E184" s="1"/>
    </row>
    <row r="185" spans="1:5" ht="23.1" customHeight="1">
      <c r="A185" s="1" t="s">
        <v>398</v>
      </c>
      <c r="B185" s="3">
        <v>42.727893599173903</v>
      </c>
      <c r="C185" s="3">
        <v>-73.678688491349504</v>
      </c>
      <c r="D185" s="1"/>
      <c r="E185" s="1"/>
    </row>
    <row r="186" spans="1:5" ht="23.1" customHeight="1">
      <c r="A186" s="1" t="s">
        <v>399</v>
      </c>
      <c r="B186" s="3">
        <v>42.727770601269498</v>
      </c>
      <c r="C186" s="3">
        <v>-73.678768073186305</v>
      </c>
      <c r="D186" s="1"/>
      <c r="E186" s="1"/>
    </row>
    <row r="187" spans="1:5" ht="23.1" customHeight="1">
      <c r="A187" s="1" t="s">
        <v>400</v>
      </c>
      <c r="B187" s="3">
        <v>42.7278798050164</v>
      </c>
      <c r="C187" s="3">
        <v>-73.679605274108994</v>
      </c>
      <c r="D187" s="1"/>
      <c r="E187" s="1"/>
    </row>
    <row r="188" spans="1:5" ht="23.1" customHeight="1">
      <c r="A188" s="1" t="s">
        <v>401</v>
      </c>
      <c r="B188" s="3">
        <v>42.728057979550798</v>
      </c>
      <c r="C188" s="3">
        <v>-73.679914051635606</v>
      </c>
      <c r="D188" s="1"/>
      <c r="E188" s="1"/>
    </row>
    <row r="189" spans="1:5" ht="23.1" customHeight="1">
      <c r="A189" s="1" t="s">
        <v>402</v>
      </c>
      <c r="B189" s="3">
        <v>42.728083268839598</v>
      </c>
      <c r="C189" s="3">
        <v>-73.680359709921504</v>
      </c>
      <c r="D189" s="1"/>
      <c r="E189" s="1"/>
    </row>
    <row r="190" spans="1:5" ht="23.1" customHeight="1">
      <c r="A190" s="1" t="s">
        <v>403</v>
      </c>
      <c r="B190" s="3">
        <v>42.7268509907693</v>
      </c>
      <c r="C190" s="3">
        <v>-73.6781314184922</v>
      </c>
      <c r="D190" s="1"/>
      <c r="E190" s="1"/>
    </row>
    <row r="191" spans="1:5" ht="23.1" customHeight="1">
      <c r="A191" s="1" t="s">
        <v>404</v>
      </c>
      <c r="B191" s="3">
        <v>42.727057903131801</v>
      </c>
      <c r="C191" s="3">
        <v>-73.677504313618499</v>
      </c>
      <c r="D191" s="1"/>
      <c r="E191" s="1"/>
    </row>
    <row r="192" spans="1:5" ht="23.1" customHeight="1">
      <c r="A192" s="1" t="s">
        <v>405</v>
      </c>
      <c r="B192" s="3">
        <v>42.727078594368102</v>
      </c>
      <c r="C192" s="3">
        <v>-73.678090035937004</v>
      </c>
      <c r="D192" s="1"/>
      <c r="E192" s="1"/>
    </row>
    <row r="193" spans="1:5" ht="23.1" customHeight="1">
      <c r="A193" s="1" t="s">
        <v>406</v>
      </c>
      <c r="B193" s="3">
        <v>42.7257589533002</v>
      </c>
      <c r="C193" s="3">
        <v>-73.678454520749398</v>
      </c>
      <c r="D193" s="1"/>
      <c r="E193" s="1"/>
    </row>
    <row r="194" spans="1:5" ht="23.1" customHeight="1">
      <c r="A194" s="1" t="s">
        <v>407</v>
      </c>
      <c r="B194" s="3">
        <v>42.724889921377503</v>
      </c>
      <c r="C194" s="3">
        <v>-73.673681202180404</v>
      </c>
      <c r="D194" s="1"/>
      <c r="E194" s="1"/>
    </row>
    <row r="195" spans="1:5" ht="23.1" customHeight="1">
      <c r="A195" s="1" t="s">
        <v>408</v>
      </c>
      <c r="B195" s="3">
        <v>42.726896971294302</v>
      </c>
      <c r="C195" s="3">
        <v>-73.673515671959905</v>
      </c>
      <c r="D195" s="1"/>
      <c r="E195" s="1"/>
    </row>
    <row r="196" spans="1:5" ht="23.1" customHeight="1">
      <c r="A196" s="1" t="s">
        <v>409</v>
      </c>
      <c r="B196" s="3">
        <v>42.7268257014805</v>
      </c>
      <c r="C196" s="3">
        <v>-73.673144820600598</v>
      </c>
      <c r="D196" s="1"/>
      <c r="E196" s="1"/>
    </row>
    <row r="197" spans="1:5" ht="23.1" customHeight="1">
      <c r="A197" s="1" t="s">
        <v>410</v>
      </c>
      <c r="B197" s="3">
        <v>42.726888924702401</v>
      </c>
      <c r="C197" s="3">
        <v>-73.674056828449906</v>
      </c>
      <c r="D197" s="1"/>
      <c r="E197" s="1"/>
    </row>
    <row r="198" spans="1:5" ht="23.1" customHeight="1">
      <c r="A198" s="1" t="s">
        <v>411</v>
      </c>
      <c r="B198" s="3">
        <v>42.7268532897955</v>
      </c>
      <c r="C198" s="3">
        <v>-73.674359239429606</v>
      </c>
      <c r="D198" s="1"/>
      <c r="E198" s="1"/>
    </row>
    <row r="199" spans="1:5" ht="23.1" customHeight="1">
      <c r="A199" s="1" t="s">
        <v>412</v>
      </c>
      <c r="B199" s="3">
        <v>42.728290181202098</v>
      </c>
      <c r="C199" s="3">
        <v>-73.676195988222105</v>
      </c>
      <c r="D199" s="1"/>
      <c r="E199" s="1"/>
    </row>
    <row r="200" spans="1:5" ht="23.1" customHeight="1">
      <c r="A200" s="1" t="s">
        <v>413</v>
      </c>
      <c r="B200" s="3">
        <v>42.727598174300702</v>
      </c>
      <c r="C200" s="3">
        <v>-73.675505217879007</v>
      </c>
      <c r="D200" s="1"/>
      <c r="E200" s="1"/>
    </row>
    <row r="201" spans="1:5" ht="23.1" customHeight="1">
      <c r="A201" s="1" t="s">
        <v>414</v>
      </c>
      <c r="B201" s="3">
        <v>42.727057903131801</v>
      </c>
      <c r="C201" s="3">
        <v>-73.675568883348404</v>
      </c>
      <c r="D201" s="1"/>
      <c r="E201" s="1"/>
    </row>
    <row r="202" spans="1:5" ht="23.1" customHeight="1">
      <c r="A202" s="1" t="s">
        <v>415</v>
      </c>
      <c r="B202" s="3">
        <v>42.727853366214497</v>
      </c>
      <c r="C202" s="3">
        <v>-73.674648917315395</v>
      </c>
      <c r="D202" s="1"/>
      <c r="E202" s="1"/>
    </row>
    <row r="203" spans="1:5" ht="23.1" customHeight="1">
      <c r="A203" s="1" t="s">
        <v>416</v>
      </c>
      <c r="B203" s="3">
        <v>42.727638407260102</v>
      </c>
      <c r="C203" s="3">
        <v>-73.675882435785198</v>
      </c>
      <c r="D203" s="1"/>
      <c r="E203" s="1"/>
    </row>
    <row r="204" spans="1:5" ht="23.1" customHeight="1">
      <c r="A204" s="1" t="s">
        <v>417</v>
      </c>
      <c r="B204" s="3">
        <v>42.731429501547296</v>
      </c>
      <c r="C204" s="3">
        <v>-73.681266942860603</v>
      </c>
      <c r="D204" s="1"/>
      <c r="E204" s="1"/>
    </row>
    <row r="205" spans="1:5" ht="23.1" customHeight="1">
      <c r="A205" s="1" t="s">
        <v>418</v>
      </c>
      <c r="B205" s="3">
        <v>42.732115760883197</v>
      </c>
      <c r="C205" s="3">
        <v>-73.681833565538398</v>
      </c>
      <c r="D205" s="1"/>
      <c r="E205" s="1"/>
    </row>
    <row r="206" spans="1:5" ht="23.1" customHeight="1">
      <c r="A206" s="1" t="s">
        <v>419</v>
      </c>
      <c r="B206" s="3">
        <v>42.731696188592402</v>
      </c>
      <c r="C206" s="3">
        <v>-73.6815900451179</v>
      </c>
      <c r="D206" s="1"/>
      <c r="E206" s="1"/>
    </row>
    <row r="207" spans="1:5" ht="23.1" customHeight="1">
      <c r="A207" s="1" t="s">
        <v>420</v>
      </c>
      <c r="B207" s="3">
        <v>42.731563994582999</v>
      </c>
      <c r="C207" s="3">
        <v>-73.681473855636199</v>
      </c>
      <c r="D207" s="1"/>
      <c r="E207" s="1"/>
    </row>
    <row r="208" spans="1:5" ht="23.1" customHeight="1">
      <c r="A208" s="1" t="s">
        <v>421</v>
      </c>
      <c r="B208" s="3">
        <v>42.731496173308599</v>
      </c>
      <c r="C208" s="3">
        <v>-73.681593228391307</v>
      </c>
      <c r="D208" s="1"/>
      <c r="E208" s="1"/>
    </row>
    <row r="209" spans="1:5" ht="23.1" customHeight="1">
      <c r="A209" s="1" t="s">
        <v>422</v>
      </c>
      <c r="B209" s="3">
        <v>42.731228336750398</v>
      </c>
      <c r="C209" s="3">
        <v>-73.681612328032202</v>
      </c>
      <c r="D209" s="1"/>
      <c r="E209" s="1"/>
    </row>
    <row r="210" spans="1:5" ht="23.1" customHeight="1">
      <c r="A210" s="1" t="s">
        <v>423</v>
      </c>
      <c r="B210" s="3">
        <v>42.732108863804399</v>
      </c>
      <c r="C210" s="3">
        <v>-73.682705782469299</v>
      </c>
      <c r="D210" s="1"/>
      <c r="E210" s="1"/>
    </row>
    <row r="211" spans="1:5" ht="23.1" customHeight="1">
      <c r="A211" s="1" t="s">
        <v>424</v>
      </c>
      <c r="B211" s="3">
        <v>42.731851372864298</v>
      </c>
      <c r="C211" s="3">
        <v>-73.683145074208198</v>
      </c>
      <c r="D211" s="1"/>
      <c r="E211" s="1"/>
    </row>
    <row r="212" spans="1:5" ht="23.1" customHeight="1">
      <c r="A212" s="1" t="s">
        <v>425</v>
      </c>
      <c r="B212" s="3">
        <v>42.731851372864298</v>
      </c>
      <c r="C212" s="3">
        <v>-73.682588001350894</v>
      </c>
      <c r="D212" s="1"/>
      <c r="E212" s="1"/>
    </row>
    <row r="213" spans="1:5" ht="23.1" customHeight="1">
      <c r="A213" s="1" t="s">
        <v>426</v>
      </c>
      <c r="B213" s="3">
        <v>42.731465136454197</v>
      </c>
      <c r="C213" s="3">
        <v>-73.682759898118306</v>
      </c>
      <c r="D213" s="1"/>
      <c r="E213" s="1"/>
    </row>
    <row r="214" spans="1:5" ht="23.1" customHeight="1">
      <c r="A214" s="1" t="s">
        <v>427</v>
      </c>
      <c r="B214" s="3">
        <v>42.731030620492902</v>
      </c>
      <c r="C214" s="3">
        <v>-73.682392230032406</v>
      </c>
      <c r="D214" s="1"/>
      <c r="E214" s="1"/>
    </row>
    <row r="215" spans="1:5" ht="23.1" customHeight="1">
      <c r="A215" s="1" t="s">
        <v>428</v>
      </c>
      <c r="B215" s="3">
        <v>42.731161664989102</v>
      </c>
      <c r="C215" s="3">
        <v>-73.682906328697896</v>
      </c>
      <c r="D215" s="1"/>
      <c r="E215" s="1"/>
    </row>
    <row r="216" spans="1:5" ht="23.1" customHeight="1">
      <c r="A216" s="1" t="s">
        <v>429</v>
      </c>
      <c r="B216" s="3">
        <v>42.730991537046599</v>
      </c>
      <c r="C216" s="3">
        <v>-73.683103691653102</v>
      </c>
      <c r="D216" s="1"/>
      <c r="E216" s="1"/>
    </row>
    <row r="217" spans="1:5" ht="23.1" customHeight="1">
      <c r="A217" s="1" t="s">
        <v>430</v>
      </c>
      <c r="B217" s="3">
        <v>42.7309616497053</v>
      </c>
      <c r="C217" s="3">
        <v>-73.683358353530707</v>
      </c>
      <c r="D217" s="1"/>
      <c r="E217" s="1"/>
    </row>
    <row r="218" spans="1:5" ht="23.1" customHeight="1">
      <c r="A218" s="1" t="s">
        <v>431</v>
      </c>
      <c r="B218" s="3">
        <v>42.730912220641002</v>
      </c>
      <c r="C218" s="3">
        <v>-73.682320606379406</v>
      </c>
      <c r="D218" s="1"/>
      <c r="E218" s="1"/>
    </row>
    <row r="219" spans="1:5" ht="23.1" customHeight="1">
      <c r="A219" s="1" t="s">
        <v>432</v>
      </c>
      <c r="B219" s="3">
        <v>42.731104189332903</v>
      </c>
      <c r="C219" s="3">
        <v>-73.680996364615595</v>
      </c>
      <c r="D219" s="1"/>
      <c r="E219" s="1"/>
    </row>
    <row r="220" spans="1:5" ht="23.1" customHeight="1">
      <c r="A220" s="1" t="s">
        <v>433</v>
      </c>
      <c r="B220" s="3">
        <v>42.731121432029802</v>
      </c>
      <c r="C220" s="3">
        <v>-73.6813735825219</v>
      </c>
      <c r="D220" s="1"/>
      <c r="E220" s="1"/>
    </row>
    <row r="221" spans="1:5" ht="23.1" customHeight="1">
      <c r="A221" s="1" t="s">
        <v>434</v>
      </c>
      <c r="B221" s="3">
        <v>42.730793820789003</v>
      </c>
      <c r="C221" s="3">
        <v>-73.680603230342001</v>
      </c>
      <c r="D221" s="1"/>
      <c r="E221" s="1"/>
    </row>
    <row r="222" spans="1:5" ht="23.1" customHeight="1">
      <c r="A222" s="1" t="s">
        <v>435</v>
      </c>
      <c r="B222" s="3">
        <v>42.731251327012899</v>
      </c>
      <c r="C222" s="3">
        <v>-73.680364484831699</v>
      </c>
      <c r="D222" s="1"/>
      <c r="E222" s="1"/>
    </row>
    <row r="223" spans="1:5" ht="23.1" customHeight="1">
      <c r="A223" s="1" t="s">
        <v>436</v>
      </c>
      <c r="B223" s="3">
        <v>42.731419155929203</v>
      </c>
      <c r="C223" s="3">
        <v>-73.680375626288907</v>
      </c>
      <c r="D223" s="1"/>
      <c r="E223" s="1"/>
    </row>
    <row r="224" spans="1:5" ht="23.1" customHeight="1">
      <c r="A224" s="1" t="s">
        <v>437</v>
      </c>
      <c r="B224" s="3">
        <v>42.731586984845499</v>
      </c>
      <c r="C224" s="3">
        <v>-73.680834017668602</v>
      </c>
      <c r="D224" s="1"/>
      <c r="E224" s="1"/>
    </row>
    <row r="225" spans="1:5" ht="23.1" customHeight="1">
      <c r="A225" s="1" t="s">
        <v>438</v>
      </c>
      <c r="B225" s="3">
        <v>42.731943333914401</v>
      </c>
      <c r="C225" s="3">
        <v>-73.6811937275708</v>
      </c>
      <c r="D225" s="1"/>
      <c r="E225" s="1"/>
    </row>
    <row r="226" spans="1:5" ht="23.1" customHeight="1">
      <c r="A226" s="1" t="s">
        <v>439</v>
      </c>
      <c r="B226" s="3">
        <v>42.732154844329401</v>
      </c>
      <c r="C226" s="3">
        <v>-73.681139611921793</v>
      </c>
      <c r="D226" s="1"/>
      <c r="E226" s="1"/>
    </row>
    <row r="227" spans="1:5" ht="23.1" customHeight="1">
      <c r="A227" s="1" t="s">
        <v>440</v>
      </c>
      <c r="B227" s="3">
        <v>42.732341065455699</v>
      </c>
      <c r="C227" s="3">
        <v>-73.681278084317796</v>
      </c>
      <c r="D227" s="1"/>
      <c r="E227" s="1"/>
    </row>
    <row r="228" spans="1:5" ht="23.1" customHeight="1">
      <c r="A228" s="1" t="s">
        <v>441</v>
      </c>
      <c r="B228" s="3">
        <v>42.732527286581998</v>
      </c>
      <c r="C228" s="3">
        <v>-73.680964531880903</v>
      </c>
      <c r="D228" s="1"/>
      <c r="E228" s="1"/>
    </row>
    <row r="229" spans="1:5" ht="23.1" customHeight="1">
      <c r="A229" s="1" t="s">
        <v>442</v>
      </c>
      <c r="B229" s="3">
        <v>42.732880187111498</v>
      </c>
      <c r="C229" s="3">
        <v>-73.682673949734607</v>
      </c>
      <c r="D229" s="1"/>
      <c r="E229" s="1"/>
    </row>
    <row r="230" spans="1:5" ht="23.1" customHeight="1">
      <c r="A230" s="1" t="s">
        <v>443</v>
      </c>
      <c r="B230" s="3">
        <v>42.7281269503383</v>
      </c>
      <c r="C230" s="3">
        <v>-73.684975456453799</v>
      </c>
      <c r="D230" s="1"/>
      <c r="E230" s="1"/>
    </row>
    <row r="231" spans="1:5" ht="23.1" customHeight="1">
      <c r="A231" s="1" t="s">
        <v>444</v>
      </c>
      <c r="B231" s="3">
        <v>42.727831525465099</v>
      </c>
      <c r="C231" s="3">
        <v>-73.678047061745204</v>
      </c>
      <c r="D231" s="1"/>
      <c r="E231" s="1"/>
    </row>
    <row r="232" spans="1:5" ht="23.1" customHeight="1">
      <c r="A232" s="1" t="s">
        <v>445</v>
      </c>
      <c r="B232" s="3">
        <v>42.732943410333398</v>
      </c>
      <c r="C232" s="3">
        <v>-73.680359709921504</v>
      </c>
      <c r="D232" s="1"/>
      <c r="E232" s="1"/>
    </row>
    <row r="233" spans="1:5" ht="23.1" customHeight="1">
      <c r="A233" s="1" t="s">
        <v>446</v>
      </c>
      <c r="B233" s="3">
        <v>42.732828459020801</v>
      </c>
      <c r="C233" s="3">
        <v>-73.6798822189009</v>
      </c>
      <c r="D233" s="1"/>
      <c r="E233" s="1"/>
    </row>
    <row r="234" spans="1:5" ht="23.1" customHeight="1">
      <c r="A234" s="1" t="s">
        <v>447</v>
      </c>
      <c r="B234" s="3">
        <v>42.733460691239799</v>
      </c>
      <c r="C234" s="3">
        <v>-73.679595724288603</v>
      </c>
      <c r="D234" s="1"/>
      <c r="E234" s="1"/>
    </row>
    <row r="235" spans="1:5" ht="23.1" customHeight="1">
      <c r="A235" s="1" t="s">
        <v>448</v>
      </c>
      <c r="B235" s="3">
        <v>42.733081351908403</v>
      </c>
      <c r="C235" s="3">
        <v>-73.680630288166498</v>
      </c>
      <c r="D235" s="1"/>
      <c r="E235" s="1"/>
    </row>
    <row r="236" spans="1:5" ht="23.1" customHeight="1">
      <c r="A236" s="1" t="s">
        <v>449</v>
      </c>
      <c r="B236" s="3">
        <v>42.733606679406698</v>
      </c>
      <c r="C236" s="3">
        <v>-73.680423375390902</v>
      </c>
      <c r="D236" s="1"/>
      <c r="E236" s="1"/>
    </row>
    <row r="237" spans="1:5" ht="23.1" customHeight="1">
      <c r="A237" s="1" t="s">
        <v>450</v>
      </c>
      <c r="B237" s="3">
        <v>42.733798648098599</v>
      </c>
      <c r="C237" s="3">
        <v>-73.681426106534104</v>
      </c>
      <c r="D237" s="1"/>
      <c r="E237" s="1"/>
    </row>
    <row r="238" spans="1:5" ht="23.1" customHeight="1">
      <c r="A238" s="1" t="s">
        <v>451</v>
      </c>
      <c r="B238" s="3">
        <v>42.733242283746002</v>
      </c>
      <c r="C238" s="3">
        <v>-73.681558212383194</v>
      </c>
      <c r="D238" s="1"/>
      <c r="E238" s="1"/>
    </row>
    <row r="239" spans="1:5" ht="23.1" customHeight="1">
      <c r="A239" s="1" t="s">
        <v>452</v>
      </c>
      <c r="B239" s="3">
        <v>42.733936589673597</v>
      </c>
      <c r="C239" s="3">
        <v>-73.682349255840606</v>
      </c>
      <c r="D239" s="1"/>
      <c r="E239" s="1"/>
    </row>
    <row r="240" spans="1:5" ht="23.1" customHeight="1">
      <c r="A240" s="1" t="s">
        <v>453</v>
      </c>
      <c r="B240" s="3">
        <v>42.733713584127301</v>
      </c>
      <c r="C240" s="3">
        <v>-73.683447485187898</v>
      </c>
      <c r="D240" s="1"/>
      <c r="E240" s="1"/>
    </row>
    <row r="241" spans="1:5" ht="23.1" customHeight="1">
      <c r="A241" s="1" t="s">
        <v>454</v>
      </c>
      <c r="B241" s="3">
        <v>42.733097445092199</v>
      </c>
      <c r="C241" s="3">
        <v>-73.683614607045101</v>
      </c>
      <c r="D241" s="1"/>
      <c r="E241" s="1"/>
    </row>
    <row r="242" spans="1:5" ht="23.1" customHeight="1">
      <c r="A242" s="1" t="s">
        <v>455</v>
      </c>
      <c r="B242" s="3">
        <v>42.730889230378502</v>
      </c>
      <c r="C242" s="3">
        <v>-73.684211470820898</v>
      </c>
      <c r="D242" s="1"/>
      <c r="E242" s="1"/>
    </row>
    <row r="243" spans="1:5" ht="23.1" customHeight="1">
      <c r="A243" s="1" t="s">
        <v>456</v>
      </c>
      <c r="B243" s="3">
        <v>42.730619094794001</v>
      </c>
      <c r="C243" s="3">
        <v>-73.685675776617302</v>
      </c>
      <c r="D243" s="1"/>
      <c r="E243" s="1"/>
    </row>
    <row r="244" spans="1:5" ht="23.1" customHeight="1">
      <c r="A244" s="1" t="s">
        <v>457</v>
      </c>
      <c r="B244" s="3">
        <v>42.730529432770197</v>
      </c>
      <c r="C244" s="3">
        <v>-73.684338801759694</v>
      </c>
      <c r="D244" s="1"/>
      <c r="E244" s="1"/>
    </row>
    <row r="245" spans="1:5" ht="23.1" customHeight="1">
      <c r="A245" s="1" t="s">
        <v>458</v>
      </c>
      <c r="B245" s="3">
        <v>42.731334091957898</v>
      </c>
      <c r="C245" s="3">
        <v>-73.6855166129438</v>
      </c>
      <c r="D245" s="1"/>
      <c r="E245" s="1"/>
    </row>
    <row r="246" spans="1:5" ht="23.1" customHeight="1">
      <c r="A246" s="1" t="s">
        <v>459</v>
      </c>
      <c r="B246" s="3">
        <v>42.731586984845499</v>
      </c>
      <c r="C246" s="3">
        <v>-73.685526162764205</v>
      </c>
      <c r="D246" s="1"/>
      <c r="E246" s="1"/>
    </row>
    <row r="247" spans="1:5" ht="23.1" customHeight="1">
      <c r="A247" s="1" t="s">
        <v>460</v>
      </c>
      <c r="B247" s="3">
        <v>42.731637563423</v>
      </c>
      <c r="C247" s="3">
        <v>-73.686519344087003</v>
      </c>
      <c r="D247" s="1"/>
      <c r="E247" s="1"/>
    </row>
    <row r="248" spans="1:5" ht="23.1" customHeight="1">
      <c r="A248" s="1" t="s">
        <v>461</v>
      </c>
      <c r="B248" s="3">
        <v>42.731621470239297</v>
      </c>
      <c r="C248" s="3">
        <v>-73.686208974923602</v>
      </c>
      <c r="D248" s="1"/>
      <c r="E248" s="1"/>
    </row>
    <row r="249" spans="1:5" ht="23.1" customHeight="1">
      <c r="A249" s="1" t="s">
        <v>462</v>
      </c>
      <c r="B249" s="3">
        <v>42.730644384082801</v>
      </c>
      <c r="C249" s="3">
        <v>-73.686407929515497</v>
      </c>
      <c r="D249" s="1"/>
      <c r="E249" s="1"/>
    </row>
    <row r="250" spans="1:5" ht="23.1" customHeight="1">
      <c r="A250" s="1" t="s">
        <v>463</v>
      </c>
      <c r="B250" s="3">
        <v>42.733633118208601</v>
      </c>
      <c r="C250" s="3">
        <v>-73.685930438494907</v>
      </c>
      <c r="D250" s="1"/>
      <c r="E250" s="1"/>
    </row>
    <row r="251" spans="1:5" ht="23.1" customHeight="1">
      <c r="A251" s="1" t="s">
        <v>464</v>
      </c>
      <c r="B251" s="3">
        <v>42.733437700977298</v>
      </c>
      <c r="C251" s="3">
        <v>-73.684905424437403</v>
      </c>
      <c r="D251" s="1"/>
      <c r="E251" s="1"/>
    </row>
    <row r="252" spans="1:5" ht="23.1" customHeight="1">
      <c r="A252" s="1" t="s">
        <v>465</v>
      </c>
      <c r="B252" s="3">
        <v>42.728345357832197</v>
      </c>
      <c r="C252" s="3">
        <v>-73.687203747883103</v>
      </c>
      <c r="D252" s="1"/>
      <c r="E252" s="1"/>
    </row>
    <row r="253" spans="1:5" ht="23.1" customHeight="1">
      <c r="A253" s="1" t="s">
        <v>466</v>
      </c>
      <c r="B253" s="3">
        <v>42.729448890432401</v>
      </c>
      <c r="C253" s="3">
        <v>-73.686127801450098</v>
      </c>
      <c r="D253" s="1"/>
      <c r="E253" s="1"/>
    </row>
    <row r="254" spans="1:5" ht="23.1" customHeight="1">
      <c r="A254" s="1" t="s">
        <v>467</v>
      </c>
      <c r="B254" s="3">
        <v>42.729563841744998</v>
      </c>
      <c r="C254" s="3">
        <v>-73.686955452552496</v>
      </c>
      <c r="D254" s="1"/>
      <c r="E254" s="1"/>
    </row>
    <row r="255" spans="1:5" ht="23.1" customHeight="1">
      <c r="A255" s="1" t="s">
        <v>468</v>
      </c>
      <c r="B255" s="3">
        <v>42.728115455207103</v>
      </c>
      <c r="C255" s="3">
        <v>-73.686567093188998</v>
      </c>
      <c r="D255" s="1"/>
      <c r="E255" s="1"/>
    </row>
    <row r="256" spans="1:5" ht="23.1" customHeight="1">
      <c r="A256" s="1" t="s">
        <v>469</v>
      </c>
      <c r="B256" s="3">
        <v>42.727471727856901</v>
      </c>
      <c r="C256" s="3">
        <v>-73.685166452862006</v>
      </c>
      <c r="D256" s="1"/>
      <c r="E256" s="1"/>
    </row>
    <row r="257" spans="1:5" ht="23.1" customHeight="1">
      <c r="A257" s="1" t="s">
        <v>470</v>
      </c>
      <c r="B257" s="3">
        <v>42.727805086663302</v>
      </c>
      <c r="C257" s="3">
        <v>-73.686057769433802</v>
      </c>
      <c r="D257" s="1"/>
      <c r="E257" s="1"/>
    </row>
    <row r="258" spans="1:5" ht="23.1" customHeight="1">
      <c r="A258" s="1" t="s">
        <v>471</v>
      </c>
      <c r="B258" s="3">
        <v>42.733288264271003</v>
      </c>
      <c r="C258" s="3">
        <v>-73.678497494941297</v>
      </c>
      <c r="D258" s="1"/>
      <c r="E258" s="1"/>
    </row>
    <row r="259" spans="1:5" ht="23.1" customHeight="1">
      <c r="A259" s="1" t="s">
        <v>472</v>
      </c>
      <c r="B259" s="3">
        <v>42.732784777522099</v>
      </c>
      <c r="C259" s="3">
        <v>-73.678631192427005</v>
      </c>
      <c r="D259" s="1"/>
      <c r="E259" s="1"/>
    </row>
    <row r="260" spans="1:5" ht="23.1" customHeight="1">
      <c r="A260" s="1" t="s">
        <v>473</v>
      </c>
      <c r="B260" s="3">
        <v>42.732843402691501</v>
      </c>
      <c r="C260" s="3">
        <v>-73.679049792888407</v>
      </c>
      <c r="D260" s="1"/>
      <c r="E260" s="1"/>
    </row>
    <row r="261" spans="1:5" ht="23.1" customHeight="1">
      <c r="A261" s="1" t="s">
        <v>474</v>
      </c>
      <c r="B261" s="3">
        <v>42.733006633555298</v>
      </c>
      <c r="C261" s="3">
        <v>-73.679433377341596</v>
      </c>
      <c r="D261" s="1"/>
      <c r="E261" s="1"/>
    </row>
    <row r="262" spans="1:5" ht="23.1" customHeight="1">
      <c r="A262" s="1" t="s">
        <v>475</v>
      </c>
      <c r="B262" s="3">
        <v>42.732770983364603</v>
      </c>
      <c r="C262" s="3">
        <v>-73.679317187859894</v>
      </c>
      <c r="D262" s="1"/>
      <c r="E262" s="1"/>
    </row>
    <row r="263" spans="1:5" ht="23.1" customHeight="1">
      <c r="A263" s="1" t="s">
        <v>476</v>
      </c>
      <c r="B263" s="3">
        <v>42.732577865159499</v>
      </c>
      <c r="C263" s="3">
        <v>-73.678968619414903</v>
      </c>
      <c r="D263" s="1"/>
      <c r="E263" s="1"/>
    </row>
    <row r="264" spans="1:5" ht="23.1" customHeight="1">
      <c r="A264" s="1" t="s">
        <v>477</v>
      </c>
      <c r="B264" s="3">
        <v>42.732828459020801</v>
      </c>
      <c r="C264" s="3">
        <v>-73.678927236859806</v>
      </c>
      <c r="D264" s="1"/>
      <c r="E264" s="1"/>
    </row>
    <row r="265" spans="1:5" ht="23.1" customHeight="1">
      <c r="A265" s="1" t="s">
        <v>478</v>
      </c>
      <c r="B265" s="3">
        <v>42.733345739927202</v>
      </c>
      <c r="C265" s="3">
        <v>-73.6788158222883</v>
      </c>
      <c r="D265" s="1"/>
      <c r="E265" s="1"/>
    </row>
    <row r="266" spans="1:5" ht="23.1" customHeight="1">
      <c r="A266" s="1" t="s">
        <v>479</v>
      </c>
      <c r="B266" s="3">
        <v>42.733111239249702</v>
      </c>
      <c r="C266" s="3">
        <v>-73.679762846145806</v>
      </c>
      <c r="D266" s="1"/>
      <c r="E266" s="1"/>
    </row>
    <row r="267" spans="1:5" ht="23.1" customHeight="1">
      <c r="A267" s="1" t="s">
        <v>480</v>
      </c>
      <c r="B267" s="3">
        <v>42.7324951002145</v>
      </c>
      <c r="C267" s="3">
        <v>-73.678704407716793</v>
      </c>
      <c r="D267" s="1"/>
      <c r="E267" s="1"/>
    </row>
    <row r="268" spans="1:5" ht="23.1" customHeight="1">
      <c r="A268" s="1" t="s">
        <v>481</v>
      </c>
      <c r="B268" s="3">
        <v>42.7324192323482</v>
      </c>
      <c r="C268" s="3">
        <v>-73.677733509308297</v>
      </c>
      <c r="D268" s="1"/>
      <c r="E268" s="1"/>
    </row>
    <row r="269" spans="1:5" ht="23.1" customHeight="1">
      <c r="A269" s="1" t="s">
        <v>482</v>
      </c>
      <c r="B269" s="3">
        <v>42.732874439545903</v>
      </c>
      <c r="C269" s="3">
        <v>-73.677644377651205</v>
      </c>
      <c r="D269" s="1"/>
      <c r="E269" s="1"/>
    </row>
    <row r="270" spans="1:5" ht="23.1" customHeight="1">
      <c r="A270" s="1" t="s">
        <v>483</v>
      </c>
      <c r="B270" s="3">
        <v>42.733160668314099</v>
      </c>
      <c r="C270" s="3">
        <v>-73.677539329626597</v>
      </c>
      <c r="D270" s="1"/>
      <c r="E270" s="1"/>
    </row>
    <row r="271" spans="1:5" ht="23.1" customHeight="1">
      <c r="A271" s="1" t="s">
        <v>484</v>
      </c>
      <c r="B271" s="3">
        <v>42.731966324176902</v>
      </c>
      <c r="C271" s="3">
        <v>-73.678831738655703</v>
      </c>
      <c r="D271" s="1"/>
      <c r="E271" s="1"/>
    </row>
    <row r="272" spans="1:5" ht="23.1" customHeight="1">
      <c r="A272" s="1" t="s">
        <v>485</v>
      </c>
      <c r="B272" s="3">
        <v>42.7318697650743</v>
      </c>
      <c r="C272" s="3">
        <v>-73.679844019619296</v>
      </c>
      <c r="D272" s="1"/>
      <c r="E272" s="1"/>
    </row>
    <row r="273" spans="1:5" ht="23.1" customHeight="1">
      <c r="A273" s="1" t="s">
        <v>486</v>
      </c>
      <c r="B273" s="3">
        <v>42.7317938972081</v>
      </c>
      <c r="C273" s="3">
        <v>-73.680773535472696</v>
      </c>
      <c r="D273" s="1"/>
      <c r="E273" s="1"/>
    </row>
    <row r="274" spans="1:5" ht="23.1" customHeight="1">
      <c r="A274" s="1" t="s">
        <v>487</v>
      </c>
      <c r="B274" s="3">
        <v>42.730644384082801</v>
      </c>
      <c r="C274" s="3">
        <v>-73.672083198898093</v>
      </c>
      <c r="D274" s="1"/>
      <c r="E274" s="1"/>
    </row>
    <row r="275" spans="1:5" ht="23.1" customHeight="1">
      <c r="A275" s="1" t="s">
        <v>488</v>
      </c>
      <c r="B275" s="3">
        <v>42.730644384082801</v>
      </c>
      <c r="C275" s="3">
        <v>-73.671446544204002</v>
      </c>
      <c r="D275" s="1"/>
      <c r="E275" s="1"/>
    </row>
    <row r="276" spans="1:5" ht="23.1" customHeight="1">
      <c r="A276" s="1" t="s">
        <v>489</v>
      </c>
      <c r="B276" s="3">
        <v>42.730675420937096</v>
      </c>
      <c r="C276" s="3">
        <v>-73.670738265856897</v>
      </c>
      <c r="D276" s="1"/>
      <c r="E276" s="1"/>
    </row>
    <row r="277" spans="1:5" ht="23.1" customHeight="1">
      <c r="A277" s="1" t="s">
        <v>490</v>
      </c>
      <c r="B277" s="3">
        <v>42.730851296445302</v>
      </c>
      <c r="C277" s="3">
        <v>-73.670590243640504</v>
      </c>
      <c r="D277" s="1"/>
      <c r="E277" s="1"/>
    </row>
    <row r="278" spans="1:5" ht="23.1" customHeight="1">
      <c r="A278" s="1" t="s">
        <v>491</v>
      </c>
      <c r="B278" s="3">
        <v>42.731000733151603</v>
      </c>
      <c r="C278" s="3">
        <v>-73.670602976734401</v>
      </c>
      <c r="D278" s="1"/>
      <c r="E278" s="1"/>
    </row>
    <row r="279" spans="1:5" ht="23.1" customHeight="1">
      <c r="A279" s="1" t="s">
        <v>492</v>
      </c>
      <c r="B279" s="3">
        <v>42.7314030627455</v>
      </c>
      <c r="C279" s="3">
        <v>-73.670450179607798</v>
      </c>
      <c r="D279" s="1"/>
      <c r="E279" s="1"/>
    </row>
    <row r="280" spans="1:5" ht="23.1" customHeight="1">
      <c r="A280" s="1" t="s">
        <v>493</v>
      </c>
      <c r="B280" s="3">
        <v>42.731469734506703</v>
      </c>
      <c r="C280" s="3">
        <v>-73.670821030967105</v>
      </c>
      <c r="D280" s="1"/>
      <c r="E280" s="1"/>
    </row>
    <row r="281" spans="1:5" ht="23.1" customHeight="1">
      <c r="A281" s="1" t="s">
        <v>494</v>
      </c>
      <c r="B281" s="3">
        <v>42.731563994582999</v>
      </c>
      <c r="C281" s="3">
        <v>-73.670889471346698</v>
      </c>
      <c r="D281" s="1"/>
      <c r="E281" s="1"/>
    </row>
    <row r="282" spans="1:5" ht="23.1" customHeight="1">
      <c r="A282" s="1" t="s">
        <v>495</v>
      </c>
      <c r="B282" s="3">
        <v>42.731605377055502</v>
      </c>
      <c r="C282" s="3">
        <v>-73.670459729428202</v>
      </c>
      <c r="D282" s="1"/>
      <c r="E282" s="1"/>
    </row>
    <row r="283" spans="1:5" ht="23.1" customHeight="1">
      <c r="A283" s="1" t="s">
        <v>496</v>
      </c>
      <c r="B283" s="3">
        <v>42.731860568969303</v>
      </c>
      <c r="C283" s="3">
        <v>-73.670305340664896</v>
      </c>
      <c r="D283" s="1"/>
      <c r="E283" s="1"/>
    </row>
    <row r="284" spans="1:5" ht="23.1" customHeight="1">
      <c r="A284" s="1" t="s">
        <v>497</v>
      </c>
      <c r="B284" s="3">
        <v>42.732069780358103</v>
      </c>
      <c r="C284" s="3">
        <v>-73.670609343281299</v>
      </c>
      <c r="D284" s="1"/>
      <c r="E284" s="1"/>
    </row>
    <row r="285" spans="1:5" ht="23.1" customHeight="1">
      <c r="A285" s="1" t="s">
        <v>498</v>
      </c>
      <c r="B285" s="3">
        <v>42.732287038338796</v>
      </c>
      <c r="C285" s="3">
        <v>-73.670685741844594</v>
      </c>
      <c r="D285" s="1"/>
      <c r="E285" s="1"/>
    </row>
    <row r="286" spans="1:5" ht="23.1" customHeight="1">
      <c r="A286" s="1" t="s">
        <v>499</v>
      </c>
      <c r="B286" s="3">
        <v>42.732108863804399</v>
      </c>
      <c r="C286" s="3">
        <v>-73.6712650976162</v>
      </c>
      <c r="D286" s="1"/>
      <c r="E286" s="1"/>
    </row>
    <row r="287" spans="1:5" ht="23.1" customHeight="1">
      <c r="A287" s="1" t="s">
        <v>500</v>
      </c>
      <c r="B287" s="3">
        <v>42.732337616916297</v>
      </c>
      <c r="C287" s="3">
        <v>-73.671201432146802</v>
      </c>
      <c r="D287" s="1"/>
      <c r="E287" s="1"/>
    </row>
    <row r="288" spans="1:5" ht="23.1" customHeight="1">
      <c r="A288" s="1" t="s">
        <v>501</v>
      </c>
      <c r="B288" s="3">
        <v>42.732145648224403</v>
      </c>
      <c r="C288" s="3">
        <v>-73.671664598436806</v>
      </c>
      <c r="D288" s="1"/>
      <c r="E288" s="1"/>
    </row>
    <row r="289" spans="1:5" ht="23.1" customHeight="1">
      <c r="A289" s="1" t="s">
        <v>502</v>
      </c>
      <c r="B289" s="3">
        <v>42.731460538401699</v>
      </c>
      <c r="C289" s="3">
        <v>-73.671102750669206</v>
      </c>
      <c r="D289" s="1"/>
      <c r="E289" s="1"/>
    </row>
    <row r="290" spans="1:5" ht="23.1" customHeight="1">
      <c r="A290" s="1" t="s">
        <v>503</v>
      </c>
      <c r="B290" s="3">
        <v>42.7315444528599</v>
      </c>
      <c r="C290" s="3">
        <v>-73.671838086840907</v>
      </c>
      <c r="D290" s="1"/>
      <c r="E290" s="1"/>
    </row>
    <row r="291" spans="1:5" ht="23.1" customHeight="1">
      <c r="A291" s="1" t="s">
        <v>504</v>
      </c>
      <c r="B291" s="3">
        <v>42.732541080739502</v>
      </c>
      <c r="C291" s="3">
        <v>-73.670178009726001</v>
      </c>
      <c r="D291" s="1"/>
      <c r="E291" s="1"/>
    </row>
    <row r="292" spans="1:5" ht="23.1" customHeight="1">
      <c r="A292" s="1" t="s">
        <v>505</v>
      </c>
      <c r="B292" s="3">
        <v>42.732476708004498</v>
      </c>
      <c r="C292" s="3">
        <v>-73.669606612138097</v>
      </c>
      <c r="D292" s="1"/>
      <c r="E292" s="1"/>
    </row>
    <row r="293" spans="1:5" ht="23.1" customHeight="1">
      <c r="A293" s="1" t="s">
        <v>506</v>
      </c>
      <c r="B293" s="3">
        <v>42.732315776166999</v>
      </c>
      <c r="C293" s="3">
        <v>-73.668629347182602</v>
      </c>
      <c r="D293" s="1"/>
      <c r="E293" s="1"/>
    </row>
    <row r="294" spans="1:5" ht="23.1" customHeight="1">
      <c r="A294" s="1" t="s">
        <v>507</v>
      </c>
      <c r="B294" s="3">
        <v>42.731716879828703</v>
      </c>
      <c r="C294" s="3">
        <v>-73.668820343590895</v>
      </c>
      <c r="D294" s="1"/>
      <c r="E294" s="1"/>
    </row>
    <row r="295" spans="1:5" ht="23.1" customHeight="1">
      <c r="A295" s="1" t="s">
        <v>508</v>
      </c>
      <c r="B295" s="3">
        <v>42.731773205971798</v>
      </c>
      <c r="C295" s="3">
        <v>-73.669764184174895</v>
      </c>
      <c r="D295" s="1"/>
      <c r="E295" s="1"/>
    </row>
    <row r="296" spans="1:5" ht="23.1" customHeight="1">
      <c r="A296" s="1" t="s">
        <v>509</v>
      </c>
      <c r="B296" s="3">
        <v>42.731361680272997</v>
      </c>
      <c r="C296" s="3">
        <v>-73.669059089101196</v>
      </c>
      <c r="D296" s="1"/>
      <c r="E296" s="1"/>
    </row>
    <row r="297" spans="1:5" ht="23.1" customHeight="1">
      <c r="A297" s="1" t="s">
        <v>510</v>
      </c>
      <c r="B297" s="3">
        <v>42.731490425742997</v>
      </c>
      <c r="C297" s="3">
        <v>-73.668670729737798</v>
      </c>
      <c r="D297" s="1"/>
      <c r="E297" s="1"/>
    </row>
    <row r="298" spans="1:5" ht="23.1" customHeight="1">
      <c r="A298" s="1" t="s">
        <v>511</v>
      </c>
      <c r="B298" s="3">
        <v>42.7315846858193</v>
      </c>
      <c r="C298" s="3">
        <v>-73.668896742154203</v>
      </c>
      <c r="D298" s="1"/>
      <c r="E298" s="1"/>
    </row>
    <row r="299" spans="1:5" ht="23.1" customHeight="1">
      <c r="A299" s="1" t="s">
        <v>512</v>
      </c>
      <c r="B299" s="3">
        <v>42.731120282516599</v>
      </c>
      <c r="C299" s="3">
        <v>-73.669036806186895</v>
      </c>
      <c r="D299" s="1"/>
      <c r="E299" s="1"/>
    </row>
    <row r="300" spans="1:5" ht="23.1" customHeight="1">
      <c r="A300" s="1" t="s">
        <v>513</v>
      </c>
      <c r="B300" s="3">
        <v>42.731242130907901</v>
      </c>
      <c r="C300" s="3">
        <v>-73.669536580121701</v>
      </c>
      <c r="D300" s="1"/>
      <c r="E300" s="1"/>
    </row>
    <row r="301" spans="1:5" ht="23.1" customHeight="1">
      <c r="A301" s="1" t="s">
        <v>514</v>
      </c>
      <c r="B301" s="3">
        <v>42.731276616301699</v>
      </c>
      <c r="C301" s="3">
        <v>-73.670133443897498</v>
      </c>
      <c r="D301" s="1"/>
      <c r="E301" s="1"/>
    </row>
    <row r="302" spans="1:5" ht="23.1" customHeight="1">
      <c r="A302" s="1" t="s">
        <v>515</v>
      </c>
      <c r="B302" s="3">
        <v>42.730848997419102</v>
      </c>
      <c r="C302" s="3">
        <v>-73.670184376272999</v>
      </c>
      <c r="D302" s="1"/>
      <c r="E302" s="1"/>
    </row>
    <row r="303" spans="1:5" ht="23.1" customHeight="1">
      <c r="A303" s="1" t="s">
        <v>516</v>
      </c>
      <c r="B303" s="3">
        <v>42.7309087721016</v>
      </c>
      <c r="C303" s="3">
        <v>-73.669132304390999</v>
      </c>
      <c r="D303" s="1"/>
      <c r="E303" s="1"/>
    </row>
    <row r="304" spans="1:5" ht="23.1" customHeight="1">
      <c r="A304" s="1" t="s">
        <v>517</v>
      </c>
      <c r="B304" s="3">
        <v>42.730529432770197</v>
      </c>
      <c r="C304" s="3">
        <v>-73.668581598080607</v>
      </c>
      <c r="D304" s="1"/>
      <c r="E304" s="1"/>
    </row>
    <row r="305" spans="1:5" ht="23.1" customHeight="1">
      <c r="A305" s="1" t="s">
        <v>518</v>
      </c>
      <c r="B305" s="3">
        <v>42.730707607304701</v>
      </c>
      <c r="C305" s="3">
        <v>-73.668299878378406</v>
      </c>
      <c r="D305" s="1"/>
      <c r="E305" s="1"/>
    </row>
    <row r="306" spans="1:5" ht="23.1" customHeight="1">
      <c r="A306" s="1" t="s">
        <v>519</v>
      </c>
      <c r="B306" s="3">
        <v>42.731253626039198</v>
      </c>
      <c r="C306" s="3">
        <v>-73.668083415782405</v>
      </c>
      <c r="D306" s="1"/>
      <c r="E306" s="1"/>
    </row>
    <row r="307" spans="1:5" ht="23.1" customHeight="1">
      <c r="A307" s="1" t="s">
        <v>520</v>
      </c>
      <c r="B307" s="3">
        <v>42.732180133618201</v>
      </c>
      <c r="C307" s="3">
        <v>-73.668190055443702</v>
      </c>
      <c r="D307" s="1"/>
      <c r="E307" s="1"/>
    </row>
    <row r="308" spans="1:5" ht="23.1" customHeight="1">
      <c r="A308" s="1" t="s">
        <v>521</v>
      </c>
      <c r="B308" s="3">
        <v>42.732377849875697</v>
      </c>
      <c r="C308" s="3">
        <v>-73.668135939794695</v>
      </c>
      <c r="D308" s="1"/>
      <c r="E308" s="1"/>
    </row>
    <row r="309" spans="1:5" ht="23.1" customHeight="1">
      <c r="A309" s="1" t="s">
        <v>522</v>
      </c>
      <c r="B309" s="3">
        <v>42.732426129426997</v>
      </c>
      <c r="C309" s="3">
        <v>-73.668514749337703</v>
      </c>
      <c r="D309" s="1"/>
      <c r="E309" s="1"/>
    </row>
    <row r="310" spans="1:5" ht="23.1" customHeight="1">
      <c r="A310" s="1" t="s">
        <v>523</v>
      </c>
      <c r="B310" s="3">
        <v>42.7308432498534</v>
      </c>
      <c r="C310" s="3">
        <v>-73.667042485357598</v>
      </c>
      <c r="D310" s="1"/>
      <c r="E310" s="1"/>
    </row>
    <row r="311" spans="1:5" ht="23.1" customHeight="1">
      <c r="A311" s="1" t="s">
        <v>524</v>
      </c>
      <c r="B311" s="3">
        <v>42.729765006541903</v>
      </c>
      <c r="C311" s="3">
        <v>-73.667492918553606</v>
      </c>
      <c r="D311" s="1"/>
      <c r="E311" s="1"/>
    </row>
    <row r="312" spans="1:5" ht="23.1" customHeight="1">
      <c r="A312" s="1" t="s">
        <v>525</v>
      </c>
      <c r="B312" s="3">
        <v>42.729018972523598</v>
      </c>
      <c r="C312" s="3">
        <v>-73.6680881906926</v>
      </c>
      <c r="D312" s="1"/>
      <c r="E312" s="1"/>
    </row>
    <row r="313" spans="1:5" ht="23.1" customHeight="1">
      <c r="A313" s="1" t="s">
        <v>526</v>
      </c>
      <c r="B313" s="3">
        <v>42.728885629000999</v>
      </c>
      <c r="C313" s="3">
        <v>-73.6680881906926</v>
      </c>
      <c r="D313" s="1"/>
      <c r="E313" s="1"/>
    </row>
    <row r="314" spans="1:5" ht="23.1" customHeight="1">
      <c r="A314" s="1" t="s">
        <v>527</v>
      </c>
      <c r="B314" s="3">
        <v>42.730927164311602</v>
      </c>
      <c r="C314" s="3">
        <v>-73.666819656214599</v>
      </c>
      <c r="D314" s="1"/>
      <c r="E314" s="1"/>
    </row>
    <row r="315" spans="1:5" ht="23.1" customHeight="1">
      <c r="A315" s="1" t="s">
        <v>528</v>
      </c>
      <c r="B315" s="3">
        <v>42.730736345132797</v>
      </c>
      <c r="C315" s="3">
        <v>-73.6663803644757</v>
      </c>
      <c r="D315" s="1"/>
      <c r="E315" s="1"/>
    </row>
    <row r="316" spans="1:5" ht="23.1" customHeight="1">
      <c r="A316" s="1" t="s">
        <v>529</v>
      </c>
      <c r="B316" s="3">
        <v>42.730523685204602</v>
      </c>
      <c r="C316" s="3">
        <v>-73.666413788847194</v>
      </c>
      <c r="D316" s="1"/>
      <c r="E316" s="1"/>
    </row>
    <row r="317" spans="1:5" ht="23.1" customHeight="1">
      <c r="A317" s="1" t="s">
        <v>530</v>
      </c>
      <c r="B317" s="3">
        <v>42.731418006416099</v>
      </c>
      <c r="C317" s="3">
        <v>-73.666321473916497</v>
      </c>
      <c r="D317" s="1"/>
      <c r="E317" s="1"/>
    </row>
    <row r="318" spans="1:5" ht="23.1" customHeight="1">
      <c r="A318" s="1" t="s">
        <v>531</v>
      </c>
      <c r="B318" s="3">
        <v>42.7320008095706</v>
      </c>
      <c r="C318" s="3">
        <v>-73.667738030610906</v>
      </c>
      <c r="D318" s="1"/>
      <c r="E318" s="1"/>
    </row>
    <row r="319" spans="1:5" ht="23.1" customHeight="1">
      <c r="A319" s="1" t="s">
        <v>532</v>
      </c>
      <c r="B319" s="3">
        <v>42.731360530759801</v>
      </c>
      <c r="C319" s="3">
        <v>-73.668279187100893</v>
      </c>
      <c r="D319" s="1"/>
      <c r="E319" s="1"/>
    </row>
    <row r="320" spans="1:5" ht="23.1" customHeight="1">
      <c r="A320" s="1" t="s">
        <v>533</v>
      </c>
      <c r="B320" s="3">
        <v>42.731303055103602</v>
      </c>
      <c r="C320" s="3">
        <v>-73.667816020810903</v>
      </c>
      <c r="D320" s="1"/>
      <c r="E320" s="1"/>
    </row>
    <row r="321" spans="1:5" ht="23.1" customHeight="1">
      <c r="A321" s="1" t="s">
        <v>534</v>
      </c>
      <c r="B321" s="3">
        <v>42.731805392339297</v>
      </c>
      <c r="C321" s="3">
        <v>-73.667287597414798</v>
      </c>
      <c r="D321" s="1"/>
      <c r="E321" s="1"/>
    </row>
    <row r="322" spans="1:5" ht="23.1" customHeight="1">
      <c r="A322" s="1" t="s">
        <v>535</v>
      </c>
      <c r="B322" s="3">
        <v>42.731316849261098</v>
      </c>
      <c r="C322" s="3">
        <v>-73.666915154418803</v>
      </c>
      <c r="D322" s="1"/>
      <c r="E322" s="1"/>
    </row>
    <row r="323" spans="1:5" ht="23.1" customHeight="1">
      <c r="A323" s="1" t="s">
        <v>536</v>
      </c>
      <c r="B323" s="3">
        <v>42.7338342830055</v>
      </c>
      <c r="C323" s="3">
        <v>-73.667687098235405</v>
      </c>
      <c r="D323" s="1"/>
      <c r="E323" s="1"/>
    </row>
    <row r="324" spans="1:5" ht="23.1" customHeight="1">
      <c r="A324" s="1" t="s">
        <v>537</v>
      </c>
      <c r="B324" s="3">
        <v>42.733751518060501</v>
      </c>
      <c r="C324" s="3">
        <v>-73.667196874120904</v>
      </c>
      <c r="D324" s="1"/>
      <c r="E324" s="1"/>
    </row>
    <row r="325" spans="1:5" ht="23.1" customHeight="1">
      <c r="A325" s="1" t="s">
        <v>538</v>
      </c>
      <c r="B325" s="3">
        <v>42.732682470853902</v>
      </c>
      <c r="C325" s="3">
        <v>-73.667456310908705</v>
      </c>
      <c r="D325" s="1"/>
      <c r="E325" s="1"/>
    </row>
    <row r="326" spans="1:5" ht="23.1" customHeight="1">
      <c r="A326" s="1" t="s">
        <v>539</v>
      </c>
      <c r="B326" s="3">
        <v>42.732524987555799</v>
      </c>
      <c r="C326" s="3">
        <v>-73.666512470324705</v>
      </c>
      <c r="D326" s="1"/>
      <c r="E326" s="1"/>
    </row>
    <row r="327" spans="1:5" ht="23.1" customHeight="1">
      <c r="A327" s="1" t="s">
        <v>540</v>
      </c>
      <c r="B327" s="3">
        <v>42.733603230867303</v>
      </c>
      <c r="C327" s="3">
        <v>-73.6661575353328</v>
      </c>
      <c r="D327" s="1"/>
      <c r="E327" s="1"/>
    </row>
    <row r="328" spans="1:5" ht="23.1" customHeight="1">
      <c r="A328" s="1" t="s">
        <v>541</v>
      </c>
      <c r="B328" s="3">
        <v>42.7316502080674</v>
      </c>
      <c r="C328" s="3">
        <v>-73.666792598390103</v>
      </c>
      <c r="D328" s="1"/>
      <c r="E328" s="1"/>
    </row>
    <row r="329" spans="1:5" ht="23.1" customHeight="1">
      <c r="A329" s="1" t="s">
        <v>542</v>
      </c>
      <c r="B329" s="3">
        <v>42.732150246276902</v>
      </c>
      <c r="C329" s="3">
        <v>-73.665597279202004</v>
      </c>
      <c r="D329" s="1"/>
      <c r="E329" s="1"/>
    </row>
    <row r="330" spans="1:5" ht="23.1" customHeight="1">
      <c r="A330" s="1" t="s">
        <v>543</v>
      </c>
      <c r="B330" s="3">
        <v>42.732828459020801</v>
      </c>
      <c r="C330" s="3">
        <v>-73.664761669915904</v>
      </c>
      <c r="D330" s="1"/>
      <c r="E330" s="1"/>
    </row>
    <row r="331" spans="1:5" ht="23.1" customHeight="1">
      <c r="A331" s="1" t="s">
        <v>544</v>
      </c>
      <c r="B331" s="3">
        <v>42.732920420070897</v>
      </c>
      <c r="C331" s="3">
        <v>-73.665350575508</v>
      </c>
      <c r="D331" s="1"/>
      <c r="E331" s="1"/>
    </row>
    <row r="332" spans="1:5" ht="23.1" customHeight="1">
      <c r="A332" s="1" t="s">
        <v>545</v>
      </c>
      <c r="B332" s="3">
        <v>42.733012381120901</v>
      </c>
      <c r="C332" s="3">
        <v>-73.665688002495898</v>
      </c>
      <c r="D332" s="1"/>
      <c r="E332" s="1"/>
    </row>
    <row r="333" spans="1:5" ht="23.1" customHeight="1">
      <c r="A333" s="1" t="s">
        <v>546</v>
      </c>
      <c r="B333" s="3">
        <v>42.733049165540898</v>
      </c>
      <c r="C333" s="3">
        <v>-73.665961764014298</v>
      </c>
      <c r="D333" s="1"/>
      <c r="E333" s="1"/>
    </row>
    <row r="334" spans="1:5" ht="23.1" customHeight="1">
      <c r="A334" s="1" t="s">
        <v>547</v>
      </c>
      <c r="B334" s="3">
        <v>42.733037670409601</v>
      </c>
      <c r="C334" s="3">
        <v>-73.666082728406195</v>
      </c>
      <c r="D334" s="1"/>
      <c r="E334" s="1"/>
    </row>
    <row r="335" spans="1:5" ht="23.1" customHeight="1">
      <c r="A335" s="1" t="s">
        <v>548</v>
      </c>
      <c r="B335" s="3">
        <v>42.7324951002145</v>
      </c>
      <c r="C335" s="3">
        <v>-73.666245075353203</v>
      </c>
      <c r="D335" s="1"/>
      <c r="E335" s="1"/>
    </row>
    <row r="336" spans="1:5" ht="23.1" customHeight="1">
      <c r="A336" s="1" t="s">
        <v>549</v>
      </c>
      <c r="B336" s="3">
        <v>42.7335997823279</v>
      </c>
      <c r="C336" s="3">
        <v>-73.665859899263296</v>
      </c>
      <c r="D336" s="1"/>
      <c r="E336" s="1"/>
    </row>
    <row r="337" spans="1:5" ht="23.1" customHeight="1">
      <c r="A337" s="1" t="s">
        <v>550</v>
      </c>
      <c r="B337" s="3">
        <v>42.733927393568599</v>
      </c>
      <c r="C337" s="3">
        <v>-73.663404003780798</v>
      </c>
      <c r="D337" s="1"/>
      <c r="E337" s="1"/>
    </row>
    <row r="338" spans="1:5" ht="23.1" customHeight="1">
      <c r="A338" s="1" t="s">
        <v>551</v>
      </c>
      <c r="B338" s="3">
        <v>42.7334032155835</v>
      </c>
      <c r="C338" s="3">
        <v>-73.665079997263007</v>
      </c>
      <c r="D338" s="1"/>
      <c r="E338" s="1"/>
    </row>
    <row r="339" spans="1:5" ht="23.1" customHeight="1">
      <c r="A339" s="1" t="s">
        <v>552</v>
      </c>
      <c r="B339" s="3">
        <v>42.733931991621098</v>
      </c>
      <c r="C339" s="3">
        <v>-73.664955849597604</v>
      </c>
      <c r="D339" s="1"/>
      <c r="E339" s="1"/>
    </row>
    <row r="340" spans="1:5" ht="23.1" customHeight="1">
      <c r="A340" s="1" t="s">
        <v>553</v>
      </c>
      <c r="B340" s="3">
        <v>42.734260752375</v>
      </c>
      <c r="C340" s="3">
        <v>-73.664486316760701</v>
      </c>
      <c r="D340" s="1"/>
      <c r="E340" s="1"/>
    </row>
    <row r="341" spans="1:5" ht="23.1" customHeight="1">
      <c r="A341" s="1" t="s">
        <v>554</v>
      </c>
      <c r="B341" s="3">
        <v>42.734652736350697</v>
      </c>
      <c r="C341" s="3">
        <v>-73.664395593466807</v>
      </c>
      <c r="D341" s="1"/>
      <c r="E341" s="1"/>
    </row>
    <row r="342" spans="1:5" ht="23.1" customHeight="1">
      <c r="A342" s="1" t="s">
        <v>555</v>
      </c>
      <c r="B342" s="3">
        <v>42.734481458894997</v>
      </c>
      <c r="C342" s="3">
        <v>-73.663187541184797</v>
      </c>
      <c r="D342" s="1"/>
      <c r="E342" s="1"/>
    </row>
    <row r="343" spans="1:5" ht="23.1" customHeight="1">
      <c r="A343" s="1" t="s">
        <v>556</v>
      </c>
      <c r="B343" s="3">
        <v>42.7355872905216</v>
      </c>
      <c r="C343" s="3">
        <v>-73.6642841788954</v>
      </c>
      <c r="D343" s="1"/>
      <c r="E343" s="1"/>
    </row>
    <row r="344" spans="1:5" ht="23.1" customHeight="1">
      <c r="A344" s="1" t="s">
        <v>557</v>
      </c>
      <c r="B344" s="3">
        <v>42.735514871194702</v>
      </c>
      <c r="C344" s="3">
        <v>-73.6635201932624</v>
      </c>
      <c r="D344" s="1"/>
      <c r="E344" s="1"/>
    </row>
    <row r="345" spans="1:5" ht="23.1" customHeight="1">
      <c r="A345" s="1" t="s">
        <v>558</v>
      </c>
      <c r="B345" s="3">
        <v>42.735529814865302</v>
      </c>
      <c r="C345" s="3">
        <v>-73.663830562425801</v>
      </c>
      <c r="D345" s="1"/>
      <c r="E345" s="1"/>
    </row>
    <row r="346" spans="1:5" ht="23.1" customHeight="1">
      <c r="A346" s="1" t="s">
        <v>559</v>
      </c>
      <c r="B346" s="3">
        <v>42.735378079132801</v>
      </c>
      <c r="C346" s="3">
        <v>-73.663854436976806</v>
      </c>
      <c r="D346" s="1"/>
      <c r="E346" s="1"/>
    </row>
    <row r="347" spans="1:5" ht="23.1" customHeight="1">
      <c r="A347" s="1" t="s">
        <v>560</v>
      </c>
      <c r="B347" s="3">
        <v>42.735437853815299</v>
      </c>
      <c r="C347" s="3">
        <v>-73.6632177822827</v>
      </c>
      <c r="D347" s="1"/>
      <c r="E347" s="1"/>
    </row>
    <row r="348" spans="1:5" ht="23.1" customHeight="1">
      <c r="A348" s="1" t="s">
        <v>561</v>
      </c>
      <c r="B348" s="3">
        <v>42.735291865648399</v>
      </c>
      <c r="C348" s="3">
        <v>-73.663238473560298</v>
      </c>
      <c r="D348" s="1"/>
      <c r="E348" s="1"/>
    </row>
    <row r="349" spans="1:5" ht="23.1" customHeight="1">
      <c r="A349" s="1" t="s">
        <v>562</v>
      </c>
      <c r="B349" s="3">
        <v>42.735338995686497</v>
      </c>
      <c r="C349" s="3">
        <v>-73.663561575817596</v>
      </c>
      <c r="D349" s="1"/>
      <c r="E349" s="1"/>
    </row>
    <row r="350" spans="1:5" ht="23.1" customHeight="1">
      <c r="A350" s="1" t="s">
        <v>563</v>
      </c>
      <c r="B350" s="3">
        <v>42.7349665534339</v>
      </c>
      <c r="C350" s="3">
        <v>-73.663364212862405</v>
      </c>
      <c r="D350" s="1"/>
      <c r="E350" s="1"/>
    </row>
    <row r="351" spans="1:5" ht="23.1" customHeight="1">
      <c r="A351" s="1" t="s">
        <v>564</v>
      </c>
      <c r="B351" s="3">
        <v>42.735101046469602</v>
      </c>
      <c r="C351" s="3">
        <v>-73.663897411168705</v>
      </c>
      <c r="D351" s="1"/>
      <c r="E351" s="1"/>
    </row>
    <row r="352" spans="1:5" ht="23.1" customHeight="1">
      <c r="A352" s="1" t="s">
        <v>565</v>
      </c>
      <c r="B352" s="3">
        <v>42.735403368421501</v>
      </c>
      <c r="C352" s="3">
        <v>-73.662924921123405</v>
      </c>
      <c r="D352" s="1"/>
      <c r="E352" s="1"/>
    </row>
    <row r="353" spans="1:5" ht="23.1" customHeight="1">
      <c r="A353" s="1" t="s">
        <v>566</v>
      </c>
      <c r="B353" s="3">
        <v>42.732743395049603</v>
      </c>
      <c r="C353" s="3">
        <v>-73.668326936202902</v>
      </c>
      <c r="D353" s="1"/>
      <c r="E353" s="1"/>
    </row>
    <row r="354" spans="1:5" ht="23.1" customHeight="1">
      <c r="A354" s="1" t="s">
        <v>567</v>
      </c>
      <c r="B354" s="3">
        <v>42.733931991621098</v>
      </c>
      <c r="C354" s="3">
        <v>-73.665732568324501</v>
      </c>
      <c r="D354" s="1"/>
      <c r="E354" s="1"/>
    </row>
    <row r="355" spans="1:5" ht="23.1" customHeight="1">
      <c r="A355" s="1" t="s">
        <v>568</v>
      </c>
      <c r="B355" s="3">
        <v>42.733998663382401</v>
      </c>
      <c r="C355" s="3">
        <v>-73.6661718600634</v>
      </c>
      <c r="D355" s="1"/>
      <c r="E355" s="1"/>
    </row>
    <row r="356" spans="1:5" ht="23.1" customHeight="1">
      <c r="A356" s="1" t="s">
        <v>569</v>
      </c>
      <c r="B356" s="3">
        <v>42.7348860875151</v>
      </c>
      <c r="C356" s="3">
        <v>-73.6659553974674</v>
      </c>
      <c r="D356" s="1"/>
      <c r="E356" s="1"/>
    </row>
    <row r="357" spans="1:5" ht="23.1" customHeight="1">
      <c r="A357" s="1" t="s">
        <v>570</v>
      </c>
      <c r="B357" s="3">
        <v>42.735788455318499</v>
      </c>
      <c r="C357" s="3">
        <v>-73.665700735589795</v>
      </c>
      <c r="D357" s="1"/>
      <c r="E357" s="1"/>
    </row>
    <row r="358" spans="1:5" ht="23.1" customHeight="1">
      <c r="A358" s="1" t="s">
        <v>571</v>
      </c>
      <c r="B358" s="3">
        <v>42.735958583261002</v>
      </c>
      <c r="C358" s="3">
        <v>-73.666942212243299</v>
      </c>
      <c r="D358" s="1"/>
      <c r="E358" s="1"/>
    </row>
    <row r="359" spans="1:5" ht="23.1" customHeight="1">
      <c r="A359" s="1" t="s">
        <v>572</v>
      </c>
      <c r="B359" s="3">
        <v>42.735074607667698</v>
      </c>
      <c r="C359" s="3">
        <v>-73.667204832304606</v>
      </c>
      <c r="D359" s="1"/>
      <c r="E359" s="1"/>
    </row>
    <row r="360" spans="1:5" ht="23.1" customHeight="1">
      <c r="A360" s="1" t="s">
        <v>573</v>
      </c>
      <c r="B360" s="3">
        <v>42.734817116727598</v>
      </c>
      <c r="C360" s="3">
        <v>-73.665484272993794</v>
      </c>
      <c r="D360" s="1"/>
      <c r="E360" s="1"/>
    </row>
    <row r="361" spans="1:5" ht="23.1" customHeight="1">
      <c r="A361" s="1" t="s">
        <v>574</v>
      </c>
      <c r="B361" s="3">
        <v>42.7338975062274</v>
      </c>
      <c r="C361" s="3">
        <v>-73.665318742773295</v>
      </c>
      <c r="D361" s="1"/>
      <c r="E361" s="1"/>
    </row>
    <row r="362" spans="1:5" ht="23.1" customHeight="1">
      <c r="A362" s="1" t="s">
        <v>575</v>
      </c>
      <c r="B362" s="3">
        <v>42.734615951930699</v>
      </c>
      <c r="C362" s="3">
        <v>-73.664949483050705</v>
      </c>
      <c r="D362" s="1"/>
      <c r="E362" s="1"/>
    </row>
    <row r="363" spans="1:5" ht="23.1" customHeight="1">
      <c r="A363" s="1" t="s">
        <v>576</v>
      </c>
      <c r="B363" s="3">
        <v>42.735662008874698</v>
      </c>
      <c r="C363" s="3">
        <v>-73.664936749956794</v>
      </c>
      <c r="D363" s="1"/>
      <c r="E363" s="1"/>
    </row>
    <row r="364" spans="1:5" ht="23.1" customHeight="1">
      <c r="A364" s="1" t="s">
        <v>577</v>
      </c>
      <c r="B364" s="3">
        <v>42.736224120792997</v>
      </c>
      <c r="C364" s="3">
        <v>-73.663814646058498</v>
      </c>
      <c r="D364" s="1"/>
      <c r="E364" s="1"/>
    </row>
    <row r="365" spans="1:5" ht="23.1" customHeight="1">
      <c r="A365" s="1" t="s">
        <v>578</v>
      </c>
      <c r="B365" s="3">
        <v>42.736667832859403</v>
      </c>
      <c r="C365" s="3">
        <v>-73.663392862323605</v>
      </c>
      <c r="D365" s="1"/>
      <c r="E365" s="1"/>
    </row>
    <row r="366" spans="1:5" ht="23.1" customHeight="1">
      <c r="A366" s="1" t="s">
        <v>579</v>
      </c>
      <c r="B366" s="3">
        <v>42.737736880065903</v>
      </c>
      <c r="C366" s="3">
        <v>-73.666456763038994</v>
      </c>
      <c r="D366" s="1"/>
      <c r="E366" s="1"/>
    </row>
    <row r="367" spans="1:5" ht="23.1" customHeight="1">
      <c r="A367" s="1" t="s">
        <v>580</v>
      </c>
      <c r="B367" s="3">
        <v>42.738231170709803</v>
      </c>
      <c r="C367" s="3">
        <v>-73.670029987509693</v>
      </c>
      <c r="D367" s="1"/>
      <c r="E367" s="1"/>
    </row>
    <row r="368" spans="1:5" ht="23.1" customHeight="1">
      <c r="A368" s="1" t="s">
        <v>581</v>
      </c>
      <c r="B368" s="3">
        <v>42.736805774434401</v>
      </c>
      <c r="C368" s="3">
        <v>-73.670396063958805</v>
      </c>
      <c r="D368" s="1"/>
      <c r="E368" s="1"/>
    </row>
    <row r="369" spans="1:5" ht="23.1" customHeight="1">
      <c r="A369" s="1" t="s">
        <v>582</v>
      </c>
      <c r="B369" s="3">
        <v>42.736418388511197</v>
      </c>
      <c r="C369" s="3">
        <v>-73.670548861085393</v>
      </c>
      <c r="D369" s="1"/>
      <c r="E369" s="1"/>
    </row>
    <row r="370" spans="1:5" ht="23.1" customHeight="1">
      <c r="A370" s="1" t="s">
        <v>583</v>
      </c>
      <c r="B370" s="3">
        <v>42.7345757189713</v>
      </c>
      <c r="C370" s="3">
        <v>-73.6710422684733</v>
      </c>
      <c r="D370" s="1"/>
      <c r="E370" s="1"/>
    </row>
    <row r="371" spans="1:5" ht="23.1" customHeight="1">
      <c r="A371" s="1" t="s">
        <v>584</v>
      </c>
      <c r="B371" s="3">
        <v>42.735012533958901</v>
      </c>
      <c r="C371" s="3">
        <v>-73.673993162980494</v>
      </c>
      <c r="D371" s="1"/>
      <c r="E371" s="1"/>
    </row>
    <row r="372" spans="1:5" ht="23.1" customHeight="1">
      <c r="A372" s="1" t="s">
        <v>585</v>
      </c>
      <c r="B372" s="3">
        <v>42.734230865033702</v>
      </c>
      <c r="C372" s="3">
        <v>-73.674247824858099</v>
      </c>
      <c r="D372" s="1"/>
      <c r="E372" s="1"/>
    </row>
    <row r="373" spans="1:5" ht="23.1" customHeight="1">
      <c r="A373" s="1" t="s">
        <v>586</v>
      </c>
      <c r="B373" s="3">
        <v>42.737219599159502</v>
      </c>
      <c r="C373" s="3">
        <v>-73.6733978908415</v>
      </c>
      <c r="D373" s="1"/>
      <c r="E373" s="1"/>
    </row>
    <row r="374" spans="1:5" ht="23.1" customHeight="1">
      <c r="A374" s="1" t="s">
        <v>587</v>
      </c>
      <c r="B374" s="3">
        <v>42.735268875385898</v>
      </c>
      <c r="C374" s="3">
        <v>-73.675950876164805</v>
      </c>
      <c r="D374" s="1"/>
      <c r="E374" s="1"/>
    </row>
    <row r="375" spans="1:5" ht="23.1" customHeight="1">
      <c r="A375" s="1" t="s">
        <v>588</v>
      </c>
      <c r="B375" s="3">
        <v>42.738920878584999</v>
      </c>
      <c r="C375" s="3">
        <v>-73.674932228654299</v>
      </c>
      <c r="D375" s="1"/>
      <c r="E375" s="1"/>
    </row>
    <row r="376" spans="1:5" ht="23.1" customHeight="1">
      <c r="A376" s="1" t="s">
        <v>589</v>
      </c>
      <c r="B376" s="3">
        <v>42.736754046343798</v>
      </c>
      <c r="C376" s="3">
        <v>-73.669961547130001</v>
      </c>
      <c r="D376" s="1"/>
      <c r="E376" s="1"/>
    </row>
    <row r="377" spans="1:5" ht="23.1" customHeight="1">
      <c r="A377" s="1" t="s">
        <v>590</v>
      </c>
      <c r="B377" s="3">
        <v>42.729561542718699</v>
      </c>
      <c r="C377" s="3">
        <v>-73.679627557023295</v>
      </c>
      <c r="D377" s="1"/>
      <c r="E377" s="1"/>
    </row>
    <row r="378" spans="1:5" ht="23.1" customHeight="1">
      <c r="A378" s="1" t="s">
        <v>591</v>
      </c>
      <c r="B378" s="3">
        <v>42.730489199810798</v>
      </c>
      <c r="C378" s="3">
        <v>-73.677717592940994</v>
      </c>
      <c r="D378" s="1"/>
      <c r="E378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85"/>
  <sheetViews>
    <sheetView showGridLines="0" workbookViewId="0">
      <pane ySplit="1" topLeftCell="A2" activePane="bottomLeft" state="frozen"/>
      <selection pane="bottomLeft"/>
    </sheetView>
  </sheetViews>
  <sheetFormatPr defaultRowHeight="14.25"/>
  <cols>
    <col min="1" max="2" width="64" customWidth="1"/>
    <col min="3" max="3" width="20" customWidth="1"/>
    <col min="5" max="5" width="87" customWidth="1"/>
  </cols>
  <sheetData>
    <row r="1" spans="1:5" ht="36" customHeight="1">
      <c r="A1" s="2" t="s">
        <v>1310</v>
      </c>
      <c r="B1" s="2" t="s">
        <v>1311</v>
      </c>
      <c r="C1" s="2" t="s">
        <v>1312</v>
      </c>
      <c r="D1" s="1"/>
      <c r="E1" s="5" t="s">
        <v>1297</v>
      </c>
    </row>
    <row r="2" spans="1:5" ht="23.1" customHeight="1">
      <c r="A2" s="1" t="s">
        <v>221</v>
      </c>
      <c r="B2" s="1" t="s">
        <v>222</v>
      </c>
      <c r="C2" s="6" t="b">
        <v>1</v>
      </c>
      <c r="D2" s="1"/>
      <c r="E2" s="1" t="s">
        <v>1313</v>
      </c>
    </row>
    <row r="3" spans="1:5" ht="23.1" customHeight="1">
      <c r="A3" s="1" t="s">
        <v>217</v>
      </c>
      <c r="B3" s="1" t="s">
        <v>222</v>
      </c>
      <c r="C3" s="6" t="b">
        <v>1</v>
      </c>
      <c r="D3" s="1"/>
      <c r="E3" s="1"/>
    </row>
    <row r="4" spans="1:5" ht="23.1" customHeight="1">
      <c r="A4" s="1" t="s">
        <v>218</v>
      </c>
      <c r="B4" s="1" t="s">
        <v>217</v>
      </c>
      <c r="C4" s="6" t="b">
        <v>1</v>
      </c>
      <c r="D4" s="1"/>
      <c r="E4" s="1" t="s">
        <v>1299</v>
      </c>
    </row>
    <row r="5" spans="1:5" ht="23.1" customHeight="1">
      <c r="A5" s="1" t="s">
        <v>218</v>
      </c>
      <c r="B5" s="1" t="s">
        <v>219</v>
      </c>
      <c r="C5" s="6" t="b">
        <v>1</v>
      </c>
      <c r="D5" s="1"/>
      <c r="E5" s="1"/>
    </row>
    <row r="6" spans="1:5" ht="23.1" customHeight="1">
      <c r="A6" s="1" t="s">
        <v>220</v>
      </c>
      <c r="B6" s="1" t="s">
        <v>219</v>
      </c>
      <c r="C6" s="6" t="b">
        <v>1</v>
      </c>
      <c r="D6" s="1"/>
      <c r="E6" s="5" t="s">
        <v>1300</v>
      </c>
    </row>
    <row r="7" spans="1:5" ht="23.1" customHeight="1">
      <c r="A7" s="1" t="s">
        <v>221</v>
      </c>
      <c r="B7" s="1" t="s">
        <v>224</v>
      </c>
      <c r="C7" s="6" t="b">
        <v>1</v>
      </c>
      <c r="D7" s="1"/>
      <c r="E7" s="1" t="s">
        <v>1314</v>
      </c>
    </row>
    <row r="8" spans="1:5" ht="23.1" customHeight="1">
      <c r="A8" s="1" t="s">
        <v>223</v>
      </c>
      <c r="B8" s="1" t="s">
        <v>224</v>
      </c>
      <c r="C8" s="6" t="b">
        <v>1</v>
      </c>
      <c r="D8" s="1"/>
      <c r="E8" s="1"/>
    </row>
    <row r="9" spans="1:5" ht="23.1" customHeight="1">
      <c r="A9" s="1" t="s">
        <v>226</v>
      </c>
      <c r="B9" s="1" t="s">
        <v>223</v>
      </c>
      <c r="C9" s="6" t="b">
        <v>1</v>
      </c>
      <c r="D9" s="1"/>
      <c r="E9" s="5" t="s">
        <v>1302</v>
      </c>
    </row>
    <row r="10" spans="1:5" ht="48" customHeight="1">
      <c r="A10" s="1" t="s">
        <v>226</v>
      </c>
      <c r="B10" s="1" t="s">
        <v>225</v>
      </c>
      <c r="C10" s="6" t="b">
        <v>1</v>
      </c>
      <c r="D10" s="1"/>
      <c r="E10" s="4" t="s">
        <v>1315</v>
      </c>
    </row>
    <row r="11" spans="1:5" ht="23.1" customHeight="1">
      <c r="A11" s="1" t="s">
        <v>216</v>
      </c>
      <c r="B11" s="1" t="s">
        <v>227</v>
      </c>
      <c r="C11" s="6" t="b">
        <v>1</v>
      </c>
      <c r="D11" s="1"/>
      <c r="E11" s="1"/>
    </row>
    <row r="12" spans="1:5" ht="23.1" customHeight="1">
      <c r="A12" s="1" t="s">
        <v>222</v>
      </c>
      <c r="B12" s="1" t="s">
        <v>227</v>
      </c>
      <c r="C12" s="6" t="b">
        <v>1</v>
      </c>
      <c r="D12" s="1"/>
      <c r="E12" s="1" t="s">
        <v>1304</v>
      </c>
    </row>
    <row r="13" spans="1:5" ht="23.1" customHeight="1">
      <c r="A13" s="1" t="s">
        <v>221</v>
      </c>
      <c r="B13" s="1" t="s">
        <v>228</v>
      </c>
      <c r="C13" s="6" t="b">
        <v>1</v>
      </c>
      <c r="D13" s="1"/>
      <c r="E13" s="1"/>
    </row>
    <row r="14" spans="1:5" ht="23.1" customHeight="1">
      <c r="A14" s="1" t="s">
        <v>220</v>
      </c>
      <c r="B14" s="1" t="s">
        <v>228</v>
      </c>
      <c r="C14" s="6" t="b">
        <v>1</v>
      </c>
      <c r="D14" s="1"/>
      <c r="E14" s="1" t="s">
        <v>1305</v>
      </c>
    </row>
    <row r="15" spans="1:5" ht="23.1" customHeight="1">
      <c r="A15" s="1" t="s">
        <v>223</v>
      </c>
      <c r="B15" s="1" t="s">
        <v>229</v>
      </c>
      <c r="C15" s="6" t="b">
        <v>1</v>
      </c>
      <c r="D15" s="1"/>
      <c r="E15" s="1"/>
    </row>
    <row r="16" spans="1:5" ht="23.1" customHeight="1">
      <c r="A16" s="1" t="s">
        <v>230</v>
      </c>
      <c r="B16" s="1" t="s">
        <v>229</v>
      </c>
      <c r="C16" s="6" t="b">
        <v>1</v>
      </c>
      <c r="D16" s="1"/>
      <c r="E16" s="1" t="s">
        <v>1306</v>
      </c>
    </row>
    <row r="17" spans="1:5" ht="23.1" customHeight="1">
      <c r="A17" s="1" t="s">
        <v>231</v>
      </c>
      <c r="B17" s="1" t="s">
        <v>230</v>
      </c>
      <c r="C17" s="6" t="b">
        <v>1</v>
      </c>
      <c r="D17" s="1"/>
      <c r="E17" s="1"/>
    </row>
    <row r="18" spans="1:5" ht="23.1" customHeight="1">
      <c r="A18" s="1" t="s">
        <v>219</v>
      </c>
      <c r="B18" s="1" t="s">
        <v>233</v>
      </c>
      <c r="C18" s="6" t="b">
        <v>1</v>
      </c>
      <c r="D18" s="1"/>
      <c r="E18" s="1"/>
    </row>
    <row r="19" spans="1:5" ht="23.1" customHeight="1">
      <c r="A19" s="1" t="s">
        <v>232</v>
      </c>
      <c r="B19" s="1" t="s">
        <v>233</v>
      </c>
      <c r="C19" s="6" t="b">
        <v>1</v>
      </c>
      <c r="D19" s="1"/>
      <c r="E19" s="1"/>
    </row>
    <row r="20" spans="1:5" ht="23.1" customHeight="1">
      <c r="A20" s="1" t="s">
        <v>231</v>
      </c>
      <c r="B20" s="1" t="s">
        <v>232</v>
      </c>
      <c r="C20" s="6" t="b">
        <v>1</v>
      </c>
      <c r="D20" s="1"/>
      <c r="E20" s="1"/>
    </row>
    <row r="21" spans="1:5" ht="23.1" customHeight="1">
      <c r="A21" s="1" t="s">
        <v>220</v>
      </c>
      <c r="B21" s="1" t="s">
        <v>234</v>
      </c>
      <c r="C21" s="6" t="b">
        <v>1</v>
      </c>
      <c r="D21" s="1"/>
      <c r="E21" s="1"/>
    </row>
    <row r="22" spans="1:5" ht="23.1" customHeight="1">
      <c r="A22" s="1" t="s">
        <v>76</v>
      </c>
      <c r="B22" s="1" t="s">
        <v>234</v>
      </c>
      <c r="C22" s="6" t="b">
        <v>1</v>
      </c>
      <c r="D22" s="1"/>
      <c r="E22" s="1"/>
    </row>
    <row r="23" spans="1:5" ht="23.1" customHeight="1">
      <c r="A23" s="1" t="s">
        <v>231</v>
      </c>
      <c r="B23" s="1" t="s">
        <v>234</v>
      </c>
      <c r="C23" s="6" t="b">
        <v>1</v>
      </c>
      <c r="D23" s="1"/>
      <c r="E23" s="1"/>
    </row>
    <row r="24" spans="1:5" ht="23.1" customHeight="1">
      <c r="A24" s="1" t="s">
        <v>106</v>
      </c>
      <c r="B24" s="1" t="s">
        <v>235</v>
      </c>
      <c r="C24" s="6" t="b">
        <v>1</v>
      </c>
      <c r="D24" s="1"/>
      <c r="E24" s="1"/>
    </row>
    <row r="25" spans="1:5" ht="23.1" customHeight="1">
      <c r="A25" s="1" t="s">
        <v>236</v>
      </c>
      <c r="B25" s="1" t="s">
        <v>235</v>
      </c>
      <c r="C25" s="6" t="b">
        <v>1</v>
      </c>
      <c r="D25" s="1"/>
      <c r="E25" s="1"/>
    </row>
    <row r="26" spans="1:5" ht="23.1" customHeight="1">
      <c r="A26" s="1" t="s">
        <v>226</v>
      </c>
      <c r="B26" s="1" t="s">
        <v>238</v>
      </c>
      <c r="C26" s="6" t="b">
        <v>1</v>
      </c>
      <c r="D26" s="1"/>
      <c r="E26" s="1"/>
    </row>
    <row r="27" spans="1:5" ht="23.1" customHeight="1">
      <c r="A27" s="1" t="s">
        <v>237</v>
      </c>
      <c r="B27" s="1" t="s">
        <v>238</v>
      </c>
      <c r="C27" s="6" t="b">
        <v>1</v>
      </c>
      <c r="D27" s="1"/>
      <c r="E27" s="1"/>
    </row>
    <row r="28" spans="1:5" ht="23.1" customHeight="1">
      <c r="A28" s="1" t="s">
        <v>227</v>
      </c>
      <c r="B28" s="1" t="s">
        <v>238</v>
      </c>
      <c r="C28" s="6" t="b">
        <v>1</v>
      </c>
      <c r="D28" s="1"/>
      <c r="E28" s="1"/>
    </row>
    <row r="29" spans="1:5" ht="23.1" customHeight="1">
      <c r="A29" s="1" t="s">
        <v>240</v>
      </c>
      <c r="B29" s="1" t="s">
        <v>232</v>
      </c>
      <c r="C29" s="6" t="b">
        <v>1</v>
      </c>
      <c r="D29" s="1"/>
      <c r="E29" s="1"/>
    </row>
    <row r="30" spans="1:5" ht="23.1" customHeight="1">
      <c r="A30" s="1" t="s">
        <v>240</v>
      </c>
      <c r="B30" s="1" t="s">
        <v>241</v>
      </c>
      <c r="C30" s="6" t="b">
        <v>1</v>
      </c>
      <c r="D30" s="1"/>
      <c r="E30" s="1"/>
    </row>
    <row r="31" spans="1:5" ht="23.1" customHeight="1">
      <c r="A31" s="1" t="s">
        <v>239</v>
      </c>
      <c r="B31" s="1" t="s">
        <v>242</v>
      </c>
      <c r="C31" s="6" t="b">
        <v>1</v>
      </c>
      <c r="D31" s="1"/>
      <c r="E31" s="1"/>
    </row>
    <row r="32" spans="1:5" ht="23.1" customHeight="1">
      <c r="A32" s="1" t="s">
        <v>241</v>
      </c>
      <c r="B32" s="1" t="s">
        <v>242</v>
      </c>
      <c r="C32" s="6" t="b">
        <v>1</v>
      </c>
      <c r="D32" s="1"/>
      <c r="E32" s="1"/>
    </row>
    <row r="33" spans="1:5" ht="23.1" customHeight="1">
      <c r="A33" s="1" t="s">
        <v>243</v>
      </c>
      <c r="B33" s="1" t="s">
        <v>242</v>
      </c>
      <c r="C33" s="6" t="b">
        <v>1</v>
      </c>
      <c r="D33" s="1"/>
      <c r="E33" s="1"/>
    </row>
    <row r="34" spans="1:5" ht="23.1" customHeight="1">
      <c r="A34" s="1" t="s">
        <v>243</v>
      </c>
      <c r="B34" s="1" t="s">
        <v>245</v>
      </c>
      <c r="C34" s="6" t="b">
        <v>1</v>
      </c>
      <c r="D34" s="1"/>
      <c r="E34" s="1"/>
    </row>
    <row r="35" spans="1:5" ht="23.1" customHeight="1">
      <c r="A35" s="1" t="s">
        <v>102</v>
      </c>
      <c r="B35" s="1" t="s">
        <v>244</v>
      </c>
      <c r="C35" s="6" t="b">
        <v>1</v>
      </c>
      <c r="D35" s="1"/>
      <c r="E35" s="1"/>
    </row>
    <row r="36" spans="1:5" ht="23.1" customHeight="1">
      <c r="A36" s="1" t="s">
        <v>94</v>
      </c>
      <c r="B36" s="1" t="s">
        <v>244</v>
      </c>
      <c r="C36" s="6" t="b">
        <v>1</v>
      </c>
      <c r="D36" s="1"/>
      <c r="E36" s="1"/>
    </row>
    <row r="37" spans="1:5" ht="23.1" customHeight="1">
      <c r="A37" s="1" t="s">
        <v>245</v>
      </c>
      <c r="B37" s="1" t="s">
        <v>244</v>
      </c>
      <c r="C37" s="6" t="b">
        <v>1</v>
      </c>
      <c r="D37" s="1"/>
      <c r="E37" s="1"/>
    </row>
    <row r="38" spans="1:5" ht="23.1" customHeight="1">
      <c r="A38" s="1" t="s">
        <v>246</v>
      </c>
      <c r="B38" s="1" t="s">
        <v>242</v>
      </c>
      <c r="C38" s="6" t="b">
        <v>1</v>
      </c>
      <c r="D38" s="1"/>
      <c r="E38" s="1"/>
    </row>
    <row r="39" spans="1:5" ht="23.1" customHeight="1">
      <c r="A39" s="1" t="s">
        <v>240</v>
      </c>
      <c r="B39" s="1" t="s">
        <v>250</v>
      </c>
      <c r="C39" s="6" t="b">
        <v>1</v>
      </c>
      <c r="D39" s="1"/>
      <c r="E39" s="1"/>
    </row>
    <row r="40" spans="1:5" ht="23.1" customHeight="1">
      <c r="A40" s="1" t="s">
        <v>249</v>
      </c>
      <c r="B40" s="1" t="s">
        <v>250</v>
      </c>
      <c r="C40" s="6" t="b">
        <v>1</v>
      </c>
      <c r="D40" s="1"/>
      <c r="E40" s="1"/>
    </row>
    <row r="41" spans="1:5" ht="23.1" customHeight="1">
      <c r="A41" s="1" t="s">
        <v>82</v>
      </c>
      <c r="B41" s="1" t="s">
        <v>248</v>
      </c>
      <c r="C41" s="6" t="b">
        <v>1</v>
      </c>
      <c r="D41" s="1"/>
      <c r="E41" s="1"/>
    </row>
    <row r="42" spans="1:5" ht="23.1" customHeight="1">
      <c r="A42" s="1" t="s">
        <v>244</v>
      </c>
      <c r="B42" s="1" t="s">
        <v>248</v>
      </c>
      <c r="C42" s="6" t="b">
        <v>1</v>
      </c>
      <c r="D42" s="1"/>
      <c r="E42" s="1"/>
    </row>
    <row r="43" spans="1:5" ht="23.1" customHeight="1">
      <c r="A43" s="1" t="s">
        <v>249</v>
      </c>
      <c r="B43" s="1" t="s">
        <v>248</v>
      </c>
      <c r="C43" s="6" t="b">
        <v>1</v>
      </c>
      <c r="D43" s="1"/>
      <c r="E43" s="1"/>
    </row>
    <row r="44" spans="1:5" ht="23.1" customHeight="1">
      <c r="A44" s="1" t="s">
        <v>247</v>
      </c>
      <c r="B44" s="1" t="s">
        <v>248</v>
      </c>
      <c r="C44" s="6" t="b">
        <v>1</v>
      </c>
      <c r="D44" s="1"/>
      <c r="E44" s="1"/>
    </row>
    <row r="45" spans="1:5" ht="23.1" customHeight="1">
      <c r="A45" s="1" t="s">
        <v>246</v>
      </c>
      <c r="B45" s="1" t="s">
        <v>247</v>
      </c>
      <c r="C45" s="6" t="b">
        <v>1</v>
      </c>
      <c r="D45" s="1"/>
      <c r="E45" s="1"/>
    </row>
    <row r="46" spans="1:5" ht="23.1" customHeight="1">
      <c r="A46" s="1" t="s">
        <v>244</v>
      </c>
      <c r="B46" s="1" t="s">
        <v>251</v>
      </c>
      <c r="C46" s="6" t="b">
        <v>1</v>
      </c>
      <c r="D46" s="1"/>
      <c r="E46" s="1"/>
    </row>
    <row r="47" spans="1:5" ht="23.1" customHeight="1">
      <c r="A47" s="1" t="s">
        <v>134</v>
      </c>
      <c r="B47" s="1" t="s">
        <v>252</v>
      </c>
      <c r="C47" s="6" t="b">
        <v>1</v>
      </c>
      <c r="D47" s="1"/>
      <c r="E47" s="1"/>
    </row>
    <row r="48" spans="1:5" ht="23.1" customHeight="1">
      <c r="A48" s="1" t="s">
        <v>251</v>
      </c>
      <c r="B48" s="1" t="s">
        <v>252</v>
      </c>
      <c r="C48" s="6" t="b">
        <v>1</v>
      </c>
      <c r="D48" s="1"/>
      <c r="E48" s="1"/>
    </row>
    <row r="49" spans="1:5" ht="23.1" customHeight="1">
      <c r="A49" s="1" t="s">
        <v>251</v>
      </c>
      <c r="B49" s="1" t="s">
        <v>112</v>
      </c>
      <c r="C49" s="6" t="b">
        <v>1</v>
      </c>
      <c r="D49" s="1"/>
      <c r="E49" s="1"/>
    </row>
    <row r="50" spans="1:5" ht="23.1" customHeight="1">
      <c r="A50" s="1" t="s">
        <v>244</v>
      </c>
      <c r="B50" s="1" t="s">
        <v>254</v>
      </c>
      <c r="C50" s="6" t="b">
        <v>1</v>
      </c>
      <c r="D50" s="1"/>
      <c r="E50" s="1"/>
    </row>
    <row r="51" spans="1:5" ht="23.1" customHeight="1">
      <c r="A51" s="1" t="s">
        <v>253</v>
      </c>
      <c r="B51" s="1" t="s">
        <v>254</v>
      </c>
      <c r="C51" s="6" t="b">
        <v>1</v>
      </c>
      <c r="D51" s="1"/>
      <c r="E51" s="1"/>
    </row>
    <row r="52" spans="1:5" ht="23.1" customHeight="1">
      <c r="A52" s="1" t="s">
        <v>114</v>
      </c>
      <c r="B52" s="1" t="s">
        <v>253</v>
      </c>
      <c r="C52" s="6" t="b">
        <v>1</v>
      </c>
      <c r="D52" s="1"/>
      <c r="E52" s="1"/>
    </row>
    <row r="53" spans="1:5" ht="23.1" customHeight="1">
      <c r="A53" s="1" t="s">
        <v>239</v>
      </c>
      <c r="B53" s="1" t="s">
        <v>255</v>
      </c>
      <c r="C53" s="6" t="b">
        <v>1</v>
      </c>
      <c r="D53" s="1"/>
      <c r="E53" s="1"/>
    </row>
    <row r="54" spans="1:5" ht="23.1" customHeight="1">
      <c r="A54" s="1" t="s">
        <v>253</v>
      </c>
      <c r="B54" s="1" t="s">
        <v>255</v>
      </c>
      <c r="C54" s="6" t="b">
        <v>1</v>
      </c>
      <c r="D54" s="1"/>
      <c r="E54" s="1"/>
    </row>
    <row r="55" spans="1:5" ht="23.1" customHeight="1">
      <c r="A55" s="1" t="s">
        <v>251</v>
      </c>
      <c r="B55" s="1" t="s">
        <v>256</v>
      </c>
      <c r="C55" s="6" t="b">
        <v>1</v>
      </c>
      <c r="D55" s="1"/>
      <c r="E55" s="1"/>
    </row>
    <row r="56" spans="1:5" ht="23.1" customHeight="1">
      <c r="A56" s="1" t="s">
        <v>258</v>
      </c>
      <c r="B56" s="1" t="s">
        <v>257</v>
      </c>
      <c r="C56" s="6" t="b">
        <v>0</v>
      </c>
      <c r="D56" s="1"/>
      <c r="E56" s="1"/>
    </row>
    <row r="57" spans="1:5" ht="23.1" customHeight="1">
      <c r="A57" s="1" t="s">
        <v>256</v>
      </c>
      <c r="B57" s="1" t="s">
        <v>257</v>
      </c>
      <c r="C57" s="6" t="b">
        <v>1</v>
      </c>
      <c r="D57" s="1"/>
      <c r="E57" s="1"/>
    </row>
    <row r="58" spans="1:5" ht="23.1" customHeight="1">
      <c r="A58" s="1" t="s">
        <v>259</v>
      </c>
      <c r="B58" s="1" t="s">
        <v>257</v>
      </c>
      <c r="C58" s="6" t="b">
        <v>1</v>
      </c>
      <c r="D58" s="1"/>
      <c r="E58" s="1"/>
    </row>
    <row r="59" spans="1:5" ht="23.1" customHeight="1">
      <c r="A59" s="1" t="s">
        <v>252</v>
      </c>
      <c r="B59" s="1" t="s">
        <v>260</v>
      </c>
      <c r="C59" s="6" t="b">
        <v>1</v>
      </c>
      <c r="D59" s="1"/>
      <c r="E59" s="1"/>
    </row>
    <row r="60" spans="1:5" ht="23.1" customHeight="1">
      <c r="A60" s="1" t="s">
        <v>259</v>
      </c>
      <c r="B60" s="1" t="s">
        <v>260</v>
      </c>
      <c r="C60" s="6" t="b">
        <v>1</v>
      </c>
      <c r="D60" s="1"/>
      <c r="E60" s="1"/>
    </row>
    <row r="61" spans="1:5" ht="23.1" customHeight="1">
      <c r="A61" s="1" t="s">
        <v>252</v>
      </c>
      <c r="B61" s="1" t="s">
        <v>261</v>
      </c>
      <c r="C61" s="6" t="b">
        <v>1</v>
      </c>
      <c r="D61" s="1"/>
      <c r="E61" s="1"/>
    </row>
    <row r="62" spans="1:5" ht="23.1" customHeight="1">
      <c r="A62" s="1" t="s">
        <v>264</v>
      </c>
      <c r="B62" s="1" t="s">
        <v>160</v>
      </c>
      <c r="C62" s="6" t="b">
        <v>1</v>
      </c>
      <c r="D62" s="1"/>
      <c r="E62" s="1"/>
    </row>
    <row r="63" spans="1:5" ht="23.1" customHeight="1">
      <c r="A63" s="1" t="s">
        <v>118</v>
      </c>
      <c r="B63" s="1" t="s">
        <v>263</v>
      </c>
      <c r="C63" s="6" t="b">
        <v>1</v>
      </c>
      <c r="D63" s="1"/>
      <c r="E63" s="1"/>
    </row>
    <row r="64" spans="1:5" ht="23.1" customHeight="1">
      <c r="A64" s="1" t="s">
        <v>266</v>
      </c>
      <c r="B64" s="1" t="s">
        <v>263</v>
      </c>
      <c r="C64" s="6" t="b">
        <v>1</v>
      </c>
      <c r="D64" s="1"/>
      <c r="E64" s="1"/>
    </row>
    <row r="65" spans="1:5" ht="23.1" customHeight="1">
      <c r="A65" s="1" t="s">
        <v>265</v>
      </c>
      <c r="B65" s="1" t="s">
        <v>263</v>
      </c>
      <c r="C65" s="6" t="b">
        <v>1</v>
      </c>
      <c r="D65" s="1"/>
      <c r="E65" s="1"/>
    </row>
    <row r="66" spans="1:5" ht="23.1" customHeight="1">
      <c r="A66" s="1" t="s">
        <v>264</v>
      </c>
      <c r="B66" s="1" t="s">
        <v>266</v>
      </c>
      <c r="C66" s="6" t="b">
        <v>1</v>
      </c>
      <c r="D66" s="1"/>
      <c r="E66" s="1"/>
    </row>
    <row r="67" spans="1:5" ht="23.1" customHeight="1">
      <c r="A67" s="1" t="s">
        <v>265</v>
      </c>
      <c r="B67" s="1" t="s">
        <v>264</v>
      </c>
      <c r="C67" s="6" t="b">
        <v>1</v>
      </c>
      <c r="D67" s="1"/>
      <c r="E67" s="1"/>
    </row>
    <row r="68" spans="1:5" ht="23.1" customHeight="1">
      <c r="A68" s="1" t="s">
        <v>263</v>
      </c>
      <c r="B68" s="1" t="s">
        <v>264</v>
      </c>
      <c r="C68" s="6" t="b">
        <v>1</v>
      </c>
      <c r="D68" s="1"/>
      <c r="E68" s="1"/>
    </row>
    <row r="69" spans="1:5" ht="23.1" customHeight="1">
      <c r="A69" s="1" t="s">
        <v>265</v>
      </c>
      <c r="B69" s="1" t="s">
        <v>266</v>
      </c>
      <c r="C69" s="6" t="b">
        <v>1</v>
      </c>
      <c r="D69" s="1"/>
      <c r="E69" s="1"/>
    </row>
    <row r="70" spans="1:5" ht="23.1" customHeight="1">
      <c r="A70" s="1" t="s">
        <v>194</v>
      </c>
      <c r="B70" s="1" t="s">
        <v>265</v>
      </c>
      <c r="C70" s="6" t="b">
        <v>1</v>
      </c>
      <c r="D70" s="1"/>
      <c r="E70" s="1"/>
    </row>
    <row r="71" spans="1:5" ht="23.1" customHeight="1">
      <c r="A71" s="1" t="s">
        <v>266</v>
      </c>
      <c r="B71" s="1" t="s">
        <v>194</v>
      </c>
      <c r="C71" s="6" t="b">
        <v>1</v>
      </c>
      <c r="D71" s="1"/>
      <c r="E71" s="1"/>
    </row>
    <row r="72" spans="1:5" ht="23.1" customHeight="1">
      <c r="A72" s="1" t="s">
        <v>263</v>
      </c>
      <c r="B72" s="1" t="s">
        <v>262</v>
      </c>
      <c r="C72" s="6" t="b">
        <v>1</v>
      </c>
      <c r="D72" s="1"/>
      <c r="E72" s="1"/>
    </row>
    <row r="73" spans="1:5" ht="23.1" customHeight="1">
      <c r="A73" s="1" t="s">
        <v>253</v>
      </c>
      <c r="B73" s="1" t="s">
        <v>267</v>
      </c>
      <c r="C73" s="6" t="b">
        <v>1</v>
      </c>
      <c r="D73" s="1"/>
      <c r="E73" s="1"/>
    </row>
    <row r="74" spans="1:5" ht="23.1" customHeight="1">
      <c r="A74" s="1" t="s">
        <v>262</v>
      </c>
      <c r="B74" s="1" t="s">
        <v>267</v>
      </c>
      <c r="C74" s="6" t="b">
        <v>1</v>
      </c>
      <c r="D74" s="1"/>
      <c r="E74" s="1"/>
    </row>
    <row r="75" spans="1:5" ht="23.1" customHeight="1">
      <c r="A75" s="1" t="s">
        <v>262</v>
      </c>
      <c r="B75" s="1" t="s">
        <v>261</v>
      </c>
      <c r="C75" s="6" t="b">
        <v>1</v>
      </c>
      <c r="D75" s="1"/>
      <c r="E75" s="1"/>
    </row>
    <row r="76" spans="1:5" ht="23.1" customHeight="1">
      <c r="A76" s="1" t="s">
        <v>156</v>
      </c>
      <c r="B76" s="1" t="s">
        <v>262</v>
      </c>
      <c r="C76" s="6" t="b">
        <v>1</v>
      </c>
      <c r="D76" s="1"/>
      <c r="E76" s="1"/>
    </row>
    <row r="77" spans="1:5" ht="23.1" customHeight="1">
      <c r="A77" s="1" t="s">
        <v>206</v>
      </c>
      <c r="B77" s="1" t="s">
        <v>261</v>
      </c>
      <c r="C77" s="6" t="b">
        <v>1</v>
      </c>
      <c r="D77" s="1"/>
      <c r="E77" s="1"/>
    </row>
    <row r="78" spans="1:5" ht="23.1" customHeight="1">
      <c r="A78" s="1" t="s">
        <v>233</v>
      </c>
      <c r="B78" s="1" t="s">
        <v>268</v>
      </c>
      <c r="C78" s="6" t="b">
        <v>1</v>
      </c>
      <c r="D78" s="1"/>
      <c r="E78" s="1"/>
    </row>
    <row r="79" spans="1:5" ht="23.1" customHeight="1">
      <c r="A79" s="1" t="s">
        <v>258</v>
      </c>
      <c r="B79" s="1" t="s">
        <v>268</v>
      </c>
      <c r="C79" s="6" t="b">
        <v>1</v>
      </c>
      <c r="D79" s="1"/>
      <c r="E79" s="1"/>
    </row>
    <row r="80" spans="1:5" ht="23.1" customHeight="1">
      <c r="A80" s="1" t="s">
        <v>168</v>
      </c>
      <c r="B80" s="1" t="s">
        <v>269</v>
      </c>
      <c r="C80" s="6" t="b">
        <v>1</v>
      </c>
      <c r="D80" s="1"/>
      <c r="E80" s="1"/>
    </row>
    <row r="81" spans="1:5" ht="23.1" customHeight="1">
      <c r="A81" s="1" t="s">
        <v>218</v>
      </c>
      <c r="B81" s="1" t="s">
        <v>269</v>
      </c>
      <c r="C81" s="6" t="b">
        <v>1</v>
      </c>
      <c r="D81" s="1"/>
      <c r="E81" s="1"/>
    </row>
    <row r="82" spans="1:5" ht="23.1" customHeight="1">
      <c r="A82" s="1" t="s">
        <v>268</v>
      </c>
      <c r="B82" s="1" t="s">
        <v>176</v>
      </c>
      <c r="C82" s="6" t="b">
        <v>1</v>
      </c>
      <c r="D82" s="1"/>
      <c r="E82" s="1"/>
    </row>
    <row r="83" spans="1:5" ht="23.1" customHeight="1">
      <c r="A83" s="1" t="s">
        <v>219</v>
      </c>
      <c r="B83" s="1" t="s">
        <v>176</v>
      </c>
      <c r="C83" s="6" t="b">
        <v>1</v>
      </c>
      <c r="D83" s="1"/>
      <c r="E83" s="1"/>
    </row>
    <row r="84" spans="1:5" ht="23.1" customHeight="1">
      <c r="A84" s="1" t="s">
        <v>270</v>
      </c>
      <c r="B84" s="1" t="s">
        <v>176</v>
      </c>
      <c r="C84" s="6" t="b">
        <v>1</v>
      </c>
      <c r="D84" s="1"/>
      <c r="E84" s="1"/>
    </row>
    <row r="85" spans="1:5" ht="23.1" customHeight="1">
      <c r="A85" s="1" t="s">
        <v>270</v>
      </c>
      <c r="B85" s="1" t="s">
        <v>258</v>
      </c>
      <c r="C85" s="6" t="b">
        <v>1</v>
      </c>
      <c r="D85" s="1"/>
      <c r="E85" s="1"/>
    </row>
    <row r="86" spans="1:5" ht="23.1" customHeight="1">
      <c r="A86" s="1" t="s">
        <v>168</v>
      </c>
      <c r="B86" s="1" t="s">
        <v>271</v>
      </c>
      <c r="C86" s="6" t="b">
        <v>0</v>
      </c>
      <c r="D86" s="1"/>
      <c r="E86" s="1"/>
    </row>
    <row r="87" spans="1:5" ht="23.1" customHeight="1">
      <c r="A87" s="1" t="s">
        <v>272</v>
      </c>
      <c r="B87" s="1" t="s">
        <v>271</v>
      </c>
      <c r="C87" s="6" t="b">
        <v>1</v>
      </c>
      <c r="D87" s="1"/>
      <c r="E87" s="1"/>
    </row>
    <row r="88" spans="1:5" ht="23.1" customHeight="1">
      <c r="A88" s="1" t="s">
        <v>273</v>
      </c>
      <c r="B88" s="1" t="s">
        <v>271</v>
      </c>
      <c r="C88" s="6" t="b">
        <v>1</v>
      </c>
      <c r="D88" s="1"/>
      <c r="E88" s="1"/>
    </row>
    <row r="89" spans="1:5" ht="23.1" customHeight="1">
      <c r="A89" s="1" t="s">
        <v>273</v>
      </c>
      <c r="B89" s="1" t="s">
        <v>274</v>
      </c>
      <c r="C89" s="6" t="b">
        <v>0</v>
      </c>
      <c r="D89" s="1"/>
      <c r="E89" s="1"/>
    </row>
    <row r="90" spans="1:5" ht="23.1" customHeight="1">
      <c r="A90" s="1" t="s">
        <v>1316</v>
      </c>
      <c r="B90" s="1" t="s">
        <v>274</v>
      </c>
      <c r="C90" s="6" t="b">
        <v>1</v>
      </c>
      <c r="D90" s="1"/>
      <c r="E90" s="1"/>
    </row>
    <row r="91" spans="1:5" ht="23.1" customHeight="1">
      <c r="A91" s="1" t="s">
        <v>275</v>
      </c>
      <c r="B91" s="1" t="s">
        <v>276</v>
      </c>
      <c r="C91" s="6" t="b">
        <v>1</v>
      </c>
      <c r="D91" s="1"/>
      <c r="E91" s="1"/>
    </row>
    <row r="92" spans="1:5" ht="23.1" customHeight="1">
      <c r="A92" s="1" t="s">
        <v>275</v>
      </c>
      <c r="B92" s="1" t="s">
        <v>277</v>
      </c>
      <c r="C92" s="6" t="b">
        <v>0</v>
      </c>
      <c r="D92" s="1"/>
      <c r="E92" s="1"/>
    </row>
    <row r="93" spans="1:5" ht="23.1" customHeight="1">
      <c r="A93" s="1" t="s">
        <v>271</v>
      </c>
      <c r="B93" s="1" t="s">
        <v>277</v>
      </c>
      <c r="C93" s="6" t="b">
        <v>1</v>
      </c>
      <c r="D93" s="1"/>
      <c r="E93" s="1"/>
    </row>
    <row r="94" spans="1:5" ht="23.1" customHeight="1">
      <c r="A94" s="1" t="s">
        <v>274</v>
      </c>
      <c r="B94" s="1" t="s">
        <v>150</v>
      </c>
      <c r="C94" s="6" t="b">
        <v>1</v>
      </c>
      <c r="D94" s="1"/>
      <c r="E94" s="1"/>
    </row>
    <row r="95" spans="1:5" ht="23.1" customHeight="1">
      <c r="A95" s="1" t="s">
        <v>116</v>
      </c>
      <c r="B95" s="1" t="s">
        <v>278</v>
      </c>
      <c r="C95" s="6" t="b">
        <v>1</v>
      </c>
      <c r="D95" s="1"/>
      <c r="E95" s="1"/>
    </row>
    <row r="96" spans="1:5" ht="23.1" customHeight="1">
      <c r="A96" s="1" t="s">
        <v>274</v>
      </c>
      <c r="B96" s="1" t="s">
        <v>278</v>
      </c>
      <c r="C96" s="6" t="b">
        <v>1</v>
      </c>
      <c r="D96" s="1"/>
      <c r="E96" s="1"/>
    </row>
    <row r="97" spans="1:5" ht="23.1" customHeight="1">
      <c r="A97" s="1" t="s">
        <v>280</v>
      </c>
      <c r="B97" s="1" t="s">
        <v>279</v>
      </c>
      <c r="C97" s="6" t="b">
        <v>1</v>
      </c>
      <c r="D97" s="1"/>
      <c r="E97" s="1"/>
    </row>
    <row r="98" spans="1:5" ht="23.1" customHeight="1">
      <c r="A98" s="1" t="s">
        <v>280</v>
      </c>
      <c r="B98" s="1" t="s">
        <v>281</v>
      </c>
      <c r="C98" s="6" t="b">
        <v>1</v>
      </c>
      <c r="D98" s="1"/>
      <c r="E98" s="1"/>
    </row>
    <row r="99" spans="1:5" ht="23.1" customHeight="1">
      <c r="A99" s="1" t="s">
        <v>282</v>
      </c>
      <c r="B99" s="1" t="s">
        <v>281</v>
      </c>
      <c r="C99" s="6" t="b">
        <v>1</v>
      </c>
      <c r="D99" s="1"/>
      <c r="E99" s="1"/>
    </row>
    <row r="100" spans="1:5" ht="23.1" customHeight="1">
      <c r="A100" s="1" t="s">
        <v>284</v>
      </c>
      <c r="B100" s="1" t="s">
        <v>283</v>
      </c>
      <c r="C100" s="6" t="b">
        <v>1</v>
      </c>
      <c r="D100" s="1"/>
      <c r="E100" s="1"/>
    </row>
    <row r="101" spans="1:5" ht="23.1" customHeight="1">
      <c r="A101" s="1" t="s">
        <v>280</v>
      </c>
      <c r="B101" s="1" t="s">
        <v>287</v>
      </c>
      <c r="C101" s="6" t="b">
        <v>1</v>
      </c>
      <c r="D101" s="1"/>
      <c r="E101" s="1"/>
    </row>
    <row r="102" spans="1:5" ht="23.1" customHeight="1">
      <c r="A102" s="1" t="s">
        <v>67</v>
      </c>
      <c r="B102" s="1" t="s">
        <v>287</v>
      </c>
      <c r="C102" s="6" t="b">
        <v>1</v>
      </c>
      <c r="D102" s="1"/>
      <c r="E102" s="1"/>
    </row>
    <row r="103" spans="1:5" ht="23.1" customHeight="1">
      <c r="A103" s="1" t="s">
        <v>178</v>
      </c>
      <c r="B103" s="1" t="s">
        <v>287</v>
      </c>
      <c r="C103" s="6" t="b">
        <v>1</v>
      </c>
      <c r="D103" s="1"/>
      <c r="E103" s="1"/>
    </row>
    <row r="104" spans="1:5" ht="23.1" customHeight="1">
      <c r="A104" s="1" t="s">
        <v>285</v>
      </c>
      <c r="B104" s="1" t="s">
        <v>287</v>
      </c>
      <c r="C104" s="6" t="b">
        <v>1</v>
      </c>
      <c r="D104" s="1"/>
      <c r="E104" s="1"/>
    </row>
    <row r="105" spans="1:5" ht="23.1" customHeight="1">
      <c r="A105" s="1" t="s">
        <v>282</v>
      </c>
      <c r="B105" s="1" t="s">
        <v>289</v>
      </c>
      <c r="C105" s="6" t="b">
        <v>1</v>
      </c>
      <c r="D105" s="1"/>
      <c r="E105" s="1"/>
    </row>
    <row r="106" spans="1:5" ht="23.1" customHeight="1">
      <c r="A106" s="1" t="s">
        <v>283</v>
      </c>
      <c r="B106" s="1" t="s">
        <v>289</v>
      </c>
      <c r="C106" s="6" t="b">
        <v>1</v>
      </c>
      <c r="D106" s="1"/>
      <c r="E106" s="1"/>
    </row>
    <row r="107" spans="1:5" ht="23.1" customHeight="1">
      <c r="A107" s="1" t="s">
        <v>278</v>
      </c>
      <c r="B107" s="1" t="s">
        <v>288</v>
      </c>
      <c r="C107" s="6" t="b">
        <v>1</v>
      </c>
      <c r="D107" s="1"/>
      <c r="E107" s="1"/>
    </row>
    <row r="108" spans="1:5" ht="23.1" customHeight="1">
      <c r="A108" s="1" t="s">
        <v>290</v>
      </c>
      <c r="B108" s="1" t="s">
        <v>288</v>
      </c>
      <c r="C108" s="6" t="b">
        <v>1</v>
      </c>
      <c r="D108" s="1"/>
      <c r="E108" s="1"/>
    </row>
    <row r="109" spans="1:5" ht="23.1" customHeight="1">
      <c r="A109" s="1" t="s">
        <v>290</v>
      </c>
      <c r="B109" s="1" t="s">
        <v>144</v>
      </c>
      <c r="C109" s="6" t="b">
        <v>1</v>
      </c>
      <c r="D109" s="1"/>
      <c r="E109" s="1"/>
    </row>
    <row r="110" spans="1:5" ht="23.1" customHeight="1">
      <c r="A110" s="1" t="s">
        <v>291</v>
      </c>
      <c r="B110" s="1" t="s">
        <v>290</v>
      </c>
      <c r="C110" s="6" t="b">
        <v>1</v>
      </c>
      <c r="D110" s="1"/>
      <c r="E110" s="1"/>
    </row>
    <row r="111" spans="1:5" ht="23.1" customHeight="1">
      <c r="A111" s="1" t="s">
        <v>280</v>
      </c>
      <c r="B111" s="1" t="s">
        <v>292</v>
      </c>
      <c r="C111" s="6" t="b">
        <v>1</v>
      </c>
      <c r="D111" s="1"/>
      <c r="E111" s="1"/>
    </row>
    <row r="112" spans="1:5" ht="23.1" customHeight="1">
      <c r="A112" s="1" t="s">
        <v>72</v>
      </c>
      <c r="B112" s="1" t="s">
        <v>292</v>
      </c>
      <c r="C112" s="6" t="b">
        <v>1</v>
      </c>
      <c r="D112" s="1"/>
      <c r="E112" s="1"/>
    </row>
    <row r="113" spans="1:5" ht="23.1" customHeight="1">
      <c r="A113" s="1" t="s">
        <v>293</v>
      </c>
      <c r="B113" s="1" t="s">
        <v>292</v>
      </c>
      <c r="C113" s="6" t="b">
        <v>0</v>
      </c>
      <c r="D113" s="1"/>
      <c r="E113" s="1"/>
    </row>
    <row r="114" spans="1:5" ht="23.1" customHeight="1">
      <c r="A114" s="1" t="s">
        <v>293</v>
      </c>
      <c r="B114" s="1" t="s">
        <v>271</v>
      </c>
      <c r="C114" s="6" t="b">
        <v>1</v>
      </c>
      <c r="D114" s="1"/>
      <c r="E114" s="1"/>
    </row>
    <row r="115" spans="1:5" ht="23.1" customHeight="1">
      <c r="A115" s="1" t="s">
        <v>279</v>
      </c>
      <c r="B115" s="1" t="s">
        <v>294</v>
      </c>
      <c r="C115" s="6" t="b">
        <v>1</v>
      </c>
      <c r="D115" s="1"/>
      <c r="E115" s="1"/>
    </row>
    <row r="116" spans="1:5" ht="23.1" customHeight="1">
      <c r="A116" s="1" t="s">
        <v>218</v>
      </c>
      <c r="B116" s="1" t="s">
        <v>294</v>
      </c>
      <c r="C116" s="6" t="b">
        <v>1</v>
      </c>
      <c r="D116" s="1"/>
      <c r="E116" s="1"/>
    </row>
    <row r="117" spans="1:5" ht="23.1" customHeight="1">
      <c r="A117" s="1" t="s">
        <v>293</v>
      </c>
      <c r="B117" s="1" t="s">
        <v>294</v>
      </c>
      <c r="C117" s="6" t="b">
        <v>0</v>
      </c>
      <c r="D117" s="1"/>
      <c r="E117" s="1"/>
    </row>
    <row r="118" spans="1:5" ht="23.1" customHeight="1">
      <c r="A118" s="1" t="s">
        <v>286</v>
      </c>
      <c r="B118" s="1" t="s">
        <v>295</v>
      </c>
      <c r="C118" s="6" t="b">
        <v>1</v>
      </c>
      <c r="D118" s="1"/>
      <c r="E118" s="1"/>
    </row>
    <row r="119" spans="1:5" ht="23.1" customHeight="1">
      <c r="A119" s="1" t="s">
        <v>291</v>
      </c>
      <c r="B119" s="1" t="s">
        <v>296</v>
      </c>
      <c r="C119" s="6" t="b">
        <v>1</v>
      </c>
      <c r="D119" s="1"/>
      <c r="E119" s="1"/>
    </row>
    <row r="120" spans="1:5" ht="23.1" customHeight="1">
      <c r="A120" s="1" t="s">
        <v>283</v>
      </c>
      <c r="B120" s="1" t="s">
        <v>296</v>
      </c>
      <c r="C120" s="6" t="b">
        <v>0</v>
      </c>
      <c r="D120" s="1"/>
      <c r="E120" s="1"/>
    </row>
    <row r="121" spans="1:5" ht="23.1" customHeight="1">
      <c r="A121" s="1" t="s">
        <v>128</v>
      </c>
      <c r="B121" s="1" t="s">
        <v>296</v>
      </c>
      <c r="C121" s="6" t="b">
        <v>1</v>
      </c>
      <c r="D121" s="1"/>
      <c r="E121" s="1"/>
    </row>
    <row r="122" spans="1:5" ht="23.1" customHeight="1">
      <c r="A122" s="1" t="s">
        <v>299</v>
      </c>
      <c r="B122" s="1" t="s">
        <v>298</v>
      </c>
      <c r="C122" s="6" t="b">
        <v>1</v>
      </c>
      <c r="D122" s="1"/>
      <c r="E122" s="1"/>
    </row>
    <row r="123" spans="1:5" ht="23.1" customHeight="1">
      <c r="A123" s="1" t="s">
        <v>297</v>
      </c>
      <c r="B123" s="1" t="s">
        <v>298</v>
      </c>
      <c r="C123" s="6" t="b">
        <v>1</v>
      </c>
      <c r="D123" s="1"/>
      <c r="E123" s="1"/>
    </row>
    <row r="124" spans="1:5" ht="23.1" customHeight="1">
      <c r="A124" s="1" t="s">
        <v>300</v>
      </c>
      <c r="B124" s="1" t="s">
        <v>299</v>
      </c>
      <c r="C124" s="6" t="b">
        <v>1</v>
      </c>
      <c r="D124" s="1"/>
      <c r="E124" s="1"/>
    </row>
    <row r="125" spans="1:5" ht="23.1" customHeight="1">
      <c r="A125" s="1" t="s">
        <v>291</v>
      </c>
      <c r="B125" s="1" t="s">
        <v>297</v>
      </c>
      <c r="C125" s="6" t="b">
        <v>1</v>
      </c>
      <c r="D125" s="1"/>
      <c r="E125" s="1"/>
    </row>
    <row r="126" spans="1:5" ht="23.1" customHeight="1">
      <c r="A126" s="1" t="s">
        <v>300</v>
      </c>
      <c r="B126" s="1" t="s">
        <v>303</v>
      </c>
      <c r="C126" s="6" t="b">
        <v>1</v>
      </c>
      <c r="D126" s="1"/>
      <c r="E126" s="1"/>
    </row>
    <row r="127" spans="1:5" ht="23.1" customHeight="1">
      <c r="A127" s="1" t="s">
        <v>297</v>
      </c>
      <c r="B127" s="1" t="s">
        <v>303</v>
      </c>
      <c r="C127" s="6" t="b">
        <v>1</v>
      </c>
      <c r="D127" s="1"/>
      <c r="E127" s="1"/>
    </row>
    <row r="128" spans="1:5" ht="23.1" customHeight="1">
      <c r="A128" s="1" t="s">
        <v>301</v>
      </c>
      <c r="B128" s="1" t="s">
        <v>303</v>
      </c>
      <c r="C128" s="6" t="b">
        <v>1</v>
      </c>
      <c r="D128" s="1"/>
      <c r="E128" s="1"/>
    </row>
    <row r="129" spans="1:5" ht="23.1" customHeight="1">
      <c r="A129" s="1" t="s">
        <v>302</v>
      </c>
      <c r="B129" s="1" t="s">
        <v>301</v>
      </c>
      <c r="C129" s="6" t="b">
        <v>1</v>
      </c>
      <c r="D129" s="1"/>
      <c r="E129" s="1"/>
    </row>
    <row r="130" spans="1:5" ht="23.1" customHeight="1">
      <c r="A130" s="1" t="s">
        <v>148</v>
      </c>
      <c r="B130" s="1" t="s">
        <v>301</v>
      </c>
      <c r="C130" s="6" t="b">
        <v>1</v>
      </c>
      <c r="D130" s="1"/>
      <c r="E130" s="1"/>
    </row>
    <row r="131" spans="1:5" ht="23.1" customHeight="1">
      <c r="A131" s="1" t="s">
        <v>307</v>
      </c>
      <c r="B131" s="1" t="s">
        <v>302</v>
      </c>
      <c r="C131" s="6" t="b">
        <v>1</v>
      </c>
      <c r="D131" s="1"/>
      <c r="E131" s="1"/>
    </row>
    <row r="132" spans="1:5" ht="23.1" customHeight="1">
      <c r="A132" s="1" t="s">
        <v>306</v>
      </c>
      <c r="B132" s="1" t="s">
        <v>302</v>
      </c>
      <c r="C132" s="6" t="b">
        <v>1</v>
      </c>
      <c r="D132" s="1"/>
      <c r="E132" s="1"/>
    </row>
    <row r="133" spans="1:5" ht="23.1" customHeight="1">
      <c r="A133" s="1" t="s">
        <v>307</v>
      </c>
      <c r="B133" s="1" t="s">
        <v>306</v>
      </c>
      <c r="C133" s="6" t="b">
        <v>1</v>
      </c>
      <c r="D133" s="1"/>
      <c r="E133" s="1"/>
    </row>
    <row r="134" spans="1:5" ht="23.1" customHeight="1">
      <c r="A134" s="1" t="s">
        <v>308</v>
      </c>
      <c r="B134" s="1" t="s">
        <v>284</v>
      </c>
      <c r="C134" s="6" t="b">
        <v>0</v>
      </c>
      <c r="D134" s="1"/>
      <c r="E134" s="1"/>
    </row>
    <row r="135" spans="1:5" ht="23.1" customHeight="1">
      <c r="A135" s="1" t="s">
        <v>295</v>
      </c>
      <c r="B135" s="1" t="s">
        <v>308</v>
      </c>
      <c r="C135" s="6" t="b">
        <v>1</v>
      </c>
      <c r="D135" s="1"/>
      <c r="E135" s="1"/>
    </row>
    <row r="136" spans="1:5" ht="23.1" customHeight="1">
      <c r="A136" s="1" t="s">
        <v>307</v>
      </c>
      <c r="B136" s="1" t="s">
        <v>308</v>
      </c>
      <c r="C136" s="6" t="b">
        <v>1</v>
      </c>
      <c r="D136" s="1"/>
      <c r="E136" s="1"/>
    </row>
    <row r="137" spans="1:5" ht="23.1" customHeight="1">
      <c r="A137" s="1" t="s">
        <v>305</v>
      </c>
      <c r="B137" s="1" t="s">
        <v>306</v>
      </c>
      <c r="C137" s="6" t="b">
        <v>1</v>
      </c>
      <c r="D137" s="1"/>
      <c r="E137" s="1"/>
    </row>
    <row r="138" spans="1:5" ht="23.1" customHeight="1">
      <c r="A138" s="1" t="s">
        <v>295</v>
      </c>
      <c r="B138" s="1" t="s">
        <v>305</v>
      </c>
      <c r="C138" s="6" t="b">
        <v>1</v>
      </c>
      <c r="D138" s="1"/>
      <c r="E138" s="1"/>
    </row>
    <row r="139" spans="1:5" ht="23.1" customHeight="1">
      <c r="A139" s="1" t="s">
        <v>295</v>
      </c>
      <c r="B139" s="1" t="s">
        <v>306</v>
      </c>
      <c r="C139" s="6" t="b">
        <v>1</v>
      </c>
      <c r="D139" s="1"/>
      <c r="E139" s="1"/>
    </row>
    <row r="140" spans="1:5" ht="23.1" customHeight="1">
      <c r="A140" s="1" t="s">
        <v>309</v>
      </c>
      <c r="B140" s="1" t="s">
        <v>305</v>
      </c>
      <c r="C140" s="6" t="b">
        <v>1</v>
      </c>
      <c r="D140" s="1"/>
      <c r="E140" s="1"/>
    </row>
    <row r="141" spans="1:5" ht="23.1" customHeight="1">
      <c r="A141" s="1" t="s">
        <v>309</v>
      </c>
      <c r="B141" s="1" t="s">
        <v>304</v>
      </c>
      <c r="C141" s="6" t="b">
        <v>1</v>
      </c>
      <c r="D141" s="1"/>
      <c r="E141" s="1"/>
    </row>
    <row r="142" spans="1:5" ht="23.1" customHeight="1">
      <c r="A142" s="1" t="s">
        <v>302</v>
      </c>
      <c r="B142" s="1" t="s">
        <v>304</v>
      </c>
      <c r="C142" s="6" t="b">
        <v>1</v>
      </c>
      <c r="D142" s="1"/>
      <c r="E142" s="1"/>
    </row>
    <row r="143" spans="1:5" ht="23.1" customHeight="1">
      <c r="A143" s="1" t="s">
        <v>295</v>
      </c>
      <c r="B143" s="1" t="s">
        <v>309</v>
      </c>
      <c r="C143" s="6" t="b">
        <v>1</v>
      </c>
      <c r="D143" s="1"/>
      <c r="E143" s="1"/>
    </row>
    <row r="144" spans="1:5" ht="23.1" customHeight="1">
      <c r="A144" s="1" t="s">
        <v>310</v>
      </c>
      <c r="B144" s="1" t="s">
        <v>309</v>
      </c>
      <c r="C144" s="6" t="b">
        <v>1</v>
      </c>
      <c r="D144" s="1"/>
      <c r="E144" s="1"/>
    </row>
    <row r="145" spans="1:5" ht="23.1" customHeight="1">
      <c r="A145" s="1" t="s">
        <v>311</v>
      </c>
      <c r="B145" s="1" t="s">
        <v>309</v>
      </c>
      <c r="C145" s="6" t="b">
        <v>1</v>
      </c>
      <c r="D145" s="1"/>
      <c r="E145" s="1"/>
    </row>
    <row r="146" spans="1:5" ht="23.1" customHeight="1">
      <c r="A146" s="1" t="s">
        <v>310</v>
      </c>
      <c r="B146" s="1" t="s">
        <v>311</v>
      </c>
      <c r="C146" s="6" t="b">
        <v>1</v>
      </c>
      <c r="D146" s="1"/>
      <c r="E146" s="1"/>
    </row>
    <row r="147" spans="1:5" ht="23.1" customHeight="1">
      <c r="A147" s="1" t="s">
        <v>312</v>
      </c>
      <c r="B147" s="1" t="s">
        <v>311</v>
      </c>
      <c r="C147" s="6" t="b">
        <v>1</v>
      </c>
      <c r="D147" s="1"/>
      <c r="E147" s="1"/>
    </row>
    <row r="148" spans="1:5" ht="23.1" customHeight="1">
      <c r="A148" s="1" t="s">
        <v>313</v>
      </c>
      <c r="B148" s="1" t="s">
        <v>310</v>
      </c>
      <c r="C148" s="6" t="b">
        <v>1</v>
      </c>
      <c r="D148" s="1"/>
      <c r="E148" s="1"/>
    </row>
    <row r="149" spans="1:5" ht="23.1" customHeight="1">
      <c r="A149" s="1" t="s">
        <v>312</v>
      </c>
      <c r="B149" s="1" t="s">
        <v>313</v>
      </c>
      <c r="C149" s="6" t="b">
        <v>1</v>
      </c>
      <c r="D149" s="1"/>
      <c r="E149" s="1"/>
    </row>
    <row r="150" spans="1:5" ht="23.1" customHeight="1">
      <c r="A150" s="1" t="s">
        <v>302</v>
      </c>
      <c r="B150" s="1" t="s">
        <v>310</v>
      </c>
      <c r="C150" s="6" t="b">
        <v>1</v>
      </c>
      <c r="D150" s="1"/>
      <c r="E150" s="1"/>
    </row>
    <row r="151" spans="1:5" ht="23.1" customHeight="1">
      <c r="A151" s="1" t="s">
        <v>307</v>
      </c>
      <c r="B151" s="1" t="s">
        <v>128</v>
      </c>
      <c r="C151" s="6" t="b">
        <v>1</v>
      </c>
      <c r="D151" s="1"/>
      <c r="E151" s="1"/>
    </row>
    <row r="152" spans="1:5" ht="23.1" customHeight="1">
      <c r="A152" s="1" t="s">
        <v>285</v>
      </c>
      <c r="B152" s="1" t="s">
        <v>314</v>
      </c>
      <c r="C152" s="6" t="b">
        <v>1</v>
      </c>
      <c r="D152" s="1"/>
      <c r="E152" s="1"/>
    </row>
    <row r="153" spans="1:5" ht="23.1" customHeight="1">
      <c r="A153" s="1" t="s">
        <v>286</v>
      </c>
      <c r="B153" s="1" t="s">
        <v>314</v>
      </c>
      <c r="C153" s="6" t="b">
        <v>1</v>
      </c>
      <c r="D153" s="1"/>
      <c r="E153" s="1"/>
    </row>
    <row r="154" spans="1:5" ht="23.1" customHeight="1">
      <c r="A154" s="1" t="s">
        <v>284</v>
      </c>
      <c r="B154" s="1" t="s">
        <v>314</v>
      </c>
      <c r="C154" s="6" t="b">
        <v>1</v>
      </c>
      <c r="D154" s="1"/>
      <c r="E154" s="1"/>
    </row>
    <row r="155" spans="1:5" ht="23.1" customHeight="1">
      <c r="A155" s="1" t="s">
        <v>291</v>
      </c>
      <c r="B155" s="1" t="s">
        <v>316</v>
      </c>
      <c r="C155" s="6" t="b">
        <v>1</v>
      </c>
      <c r="D155" s="1"/>
      <c r="E155" s="1"/>
    </row>
    <row r="156" spans="1:5" ht="23.1" customHeight="1">
      <c r="A156" s="1" t="s">
        <v>315</v>
      </c>
      <c r="B156" s="1" t="s">
        <v>316</v>
      </c>
      <c r="C156" s="6" t="b">
        <v>1</v>
      </c>
      <c r="D156" s="1"/>
      <c r="E156" s="1"/>
    </row>
    <row r="157" spans="1:5" ht="23.1" customHeight="1">
      <c r="A157" s="1" t="s">
        <v>144</v>
      </c>
      <c r="B157" s="1" t="s">
        <v>316</v>
      </c>
      <c r="C157" s="6" t="b">
        <v>1</v>
      </c>
      <c r="D157" s="1"/>
      <c r="E157" s="1"/>
    </row>
    <row r="158" spans="1:5" ht="23.1" customHeight="1">
      <c r="A158" s="1" t="s">
        <v>298</v>
      </c>
      <c r="B158" s="1" t="s">
        <v>315</v>
      </c>
      <c r="C158" s="6" t="b">
        <v>1</v>
      </c>
      <c r="D158" s="1"/>
      <c r="E158" s="1"/>
    </row>
    <row r="159" spans="1:5" ht="23.1" customHeight="1">
      <c r="A159" s="1" t="s">
        <v>299</v>
      </c>
      <c r="B159" s="1" t="s">
        <v>126</v>
      </c>
      <c r="C159" s="6" t="b">
        <v>1</v>
      </c>
      <c r="D159" s="1"/>
      <c r="E159" s="1"/>
    </row>
    <row r="160" spans="1:5" ht="23.1" customHeight="1">
      <c r="A160" s="1" t="s">
        <v>315</v>
      </c>
      <c r="B160" s="1" t="s">
        <v>317</v>
      </c>
      <c r="C160" s="6" t="b">
        <v>1</v>
      </c>
      <c r="D160" s="1"/>
      <c r="E160" s="1"/>
    </row>
    <row r="161" spans="1:5" ht="23.1" customHeight="1">
      <c r="A161" s="1" t="s">
        <v>126</v>
      </c>
      <c r="B161" s="1" t="s">
        <v>317</v>
      </c>
      <c r="C161" s="6" t="b">
        <v>1</v>
      </c>
      <c r="D161" s="1"/>
      <c r="E161" s="1"/>
    </row>
    <row r="162" spans="1:5" ht="23.1" customHeight="1">
      <c r="A162" s="1" t="s">
        <v>202</v>
      </c>
      <c r="B162" s="1" t="s">
        <v>317</v>
      </c>
      <c r="C162" s="6" t="b">
        <v>1</v>
      </c>
      <c r="D162" s="1"/>
      <c r="E162" s="1"/>
    </row>
    <row r="163" spans="1:5" ht="23.1" customHeight="1">
      <c r="A163" s="1" t="s">
        <v>274</v>
      </c>
      <c r="B163" s="1" t="s">
        <v>319</v>
      </c>
      <c r="C163" s="6" t="b">
        <v>1</v>
      </c>
      <c r="D163" s="1"/>
      <c r="E163" s="1"/>
    </row>
    <row r="164" spans="1:5" ht="23.1" customHeight="1">
      <c r="A164" s="1" t="s">
        <v>275</v>
      </c>
      <c r="B164" s="1" t="s">
        <v>321</v>
      </c>
      <c r="C164" s="6" t="b">
        <v>1</v>
      </c>
      <c r="D164" s="1"/>
      <c r="E164" s="1"/>
    </row>
    <row r="165" spans="1:5" ht="23.1" customHeight="1">
      <c r="A165" s="1" t="s">
        <v>319</v>
      </c>
      <c r="B165" s="1" t="s">
        <v>321</v>
      </c>
      <c r="C165" s="6" t="b">
        <v>1</v>
      </c>
      <c r="D165" s="1"/>
      <c r="E165" s="1"/>
    </row>
    <row r="166" spans="1:5" ht="23.1" customHeight="1">
      <c r="A166" s="1" t="s">
        <v>184</v>
      </c>
      <c r="B166" s="1" t="s">
        <v>321</v>
      </c>
      <c r="C166" s="6" t="b">
        <v>1</v>
      </c>
      <c r="D166" s="1"/>
      <c r="E166" s="1"/>
    </row>
    <row r="167" spans="1:5" ht="23.1" customHeight="1">
      <c r="A167" s="1" t="s">
        <v>319</v>
      </c>
      <c r="B167" s="1" t="s">
        <v>320</v>
      </c>
      <c r="C167" s="6" t="b">
        <v>1</v>
      </c>
      <c r="D167" s="1"/>
      <c r="E167" s="1"/>
    </row>
    <row r="168" spans="1:5" ht="23.1" customHeight="1">
      <c r="A168" s="1" t="s">
        <v>322</v>
      </c>
      <c r="B168" s="1" t="s">
        <v>320</v>
      </c>
      <c r="C168" s="6" t="b">
        <v>1</v>
      </c>
      <c r="D168" s="1"/>
      <c r="E168" s="1"/>
    </row>
    <row r="169" spans="1:5" ht="23.1" customHeight="1">
      <c r="A169" s="1" t="s">
        <v>323</v>
      </c>
      <c r="B169" s="1" t="s">
        <v>322</v>
      </c>
      <c r="C169" s="6" t="b">
        <v>1</v>
      </c>
      <c r="D169" s="1"/>
      <c r="E169" s="1"/>
    </row>
    <row r="170" spans="1:5" ht="23.1" customHeight="1">
      <c r="A170" s="1" t="s">
        <v>315</v>
      </c>
      <c r="B170" s="1" t="s">
        <v>324</v>
      </c>
      <c r="C170" s="6" t="b">
        <v>1</v>
      </c>
      <c r="D170" s="1"/>
      <c r="E170" s="1"/>
    </row>
    <row r="171" spans="1:5" ht="23.1" customHeight="1">
      <c r="A171" s="1" t="s">
        <v>325</v>
      </c>
      <c r="B171" s="1" t="s">
        <v>324</v>
      </c>
      <c r="C171" s="6" t="b">
        <v>1</v>
      </c>
      <c r="D171" s="1"/>
      <c r="E171" s="1"/>
    </row>
    <row r="172" spans="1:5" ht="23.1" customHeight="1">
      <c r="A172" s="1" t="s">
        <v>202</v>
      </c>
      <c r="B172" s="1" t="s">
        <v>325</v>
      </c>
      <c r="C172" s="6" t="b">
        <v>1</v>
      </c>
      <c r="D172" s="1"/>
      <c r="E172" s="1"/>
    </row>
    <row r="173" spans="1:5" ht="23.1" customHeight="1">
      <c r="A173" s="1" t="s">
        <v>326</v>
      </c>
      <c r="B173" s="1" t="s">
        <v>327</v>
      </c>
      <c r="C173" s="6" t="b">
        <v>1</v>
      </c>
      <c r="D173" s="1"/>
      <c r="E173" s="1"/>
    </row>
    <row r="174" spans="1:5" ht="23.1" customHeight="1">
      <c r="A174" s="1" t="s">
        <v>323</v>
      </c>
      <c r="B174" s="1" t="s">
        <v>327</v>
      </c>
      <c r="C174" s="6" t="b">
        <v>1</v>
      </c>
      <c r="D174" s="1"/>
      <c r="E174" s="1"/>
    </row>
    <row r="175" spans="1:5" ht="23.1" customHeight="1">
      <c r="A175" s="1" t="s">
        <v>326</v>
      </c>
      <c r="B175" s="1" t="s">
        <v>146</v>
      </c>
      <c r="C175" s="6" t="b">
        <v>1</v>
      </c>
      <c r="D175" s="1"/>
      <c r="E175" s="1"/>
    </row>
    <row r="176" spans="1:5" ht="23.1" customHeight="1">
      <c r="A176" s="1" t="s">
        <v>316</v>
      </c>
      <c r="B176" s="1" t="s">
        <v>328</v>
      </c>
      <c r="C176" s="6" t="b">
        <v>1</v>
      </c>
      <c r="D176" s="1"/>
      <c r="E176" s="1"/>
    </row>
    <row r="177" spans="1:5" ht="23.1" customHeight="1">
      <c r="A177" s="1" t="s">
        <v>324</v>
      </c>
      <c r="B177" s="1" t="s">
        <v>328</v>
      </c>
      <c r="C177" s="6" t="b">
        <v>1</v>
      </c>
      <c r="D177" s="1"/>
      <c r="E177" s="1"/>
    </row>
    <row r="178" spans="1:5" ht="23.1" customHeight="1">
      <c r="A178" s="1" t="s">
        <v>326</v>
      </c>
      <c r="B178" s="1" t="s">
        <v>328</v>
      </c>
      <c r="C178" s="6" t="b">
        <v>1</v>
      </c>
      <c r="D178" s="1"/>
      <c r="E178" s="1"/>
    </row>
    <row r="179" spans="1:5" ht="23.1" customHeight="1">
      <c r="A179" s="1" t="s">
        <v>324</v>
      </c>
      <c r="B179" s="1" t="s">
        <v>318</v>
      </c>
      <c r="C179" s="6" t="b">
        <v>1</v>
      </c>
      <c r="D179" s="1"/>
      <c r="E179" s="1"/>
    </row>
    <row r="180" spans="1:5" ht="23.1" customHeight="1">
      <c r="A180" s="1" t="s">
        <v>325</v>
      </c>
      <c r="B180" s="1" t="s">
        <v>329</v>
      </c>
      <c r="C180" s="6" t="b">
        <v>1</v>
      </c>
      <c r="D180" s="1"/>
      <c r="E180" s="1"/>
    </row>
    <row r="181" spans="1:5" ht="23.1" customHeight="1">
      <c r="A181" s="1" t="s">
        <v>324</v>
      </c>
      <c r="B181" s="1" t="s">
        <v>329</v>
      </c>
      <c r="C181" s="6" t="b">
        <v>1</v>
      </c>
      <c r="D181" s="1"/>
      <c r="E181" s="1"/>
    </row>
    <row r="182" spans="1:5" ht="23.1" customHeight="1">
      <c r="A182" s="1" t="s">
        <v>330</v>
      </c>
      <c r="B182" s="1" t="s">
        <v>329</v>
      </c>
      <c r="C182" s="6" t="b">
        <v>1</v>
      </c>
      <c r="D182" s="1"/>
      <c r="E182" s="1"/>
    </row>
    <row r="183" spans="1:5" ht="23.1" customHeight="1">
      <c r="A183" s="1" t="s">
        <v>331</v>
      </c>
      <c r="B183" s="1" t="s">
        <v>330</v>
      </c>
      <c r="C183" s="6" t="b">
        <v>1</v>
      </c>
      <c r="D183" s="1"/>
      <c r="E183" s="1"/>
    </row>
    <row r="184" spans="1:5" ht="23.1" customHeight="1">
      <c r="A184" s="1" t="s">
        <v>325</v>
      </c>
      <c r="B184" s="1" t="s">
        <v>336</v>
      </c>
      <c r="C184" s="6" t="b">
        <v>1</v>
      </c>
      <c r="D184" s="1"/>
      <c r="E184" s="1"/>
    </row>
    <row r="185" spans="1:5" ht="23.1" customHeight="1">
      <c r="A185" s="1" t="s">
        <v>335</v>
      </c>
      <c r="B185" s="1" t="s">
        <v>336</v>
      </c>
      <c r="C185" s="6" t="b">
        <v>1</v>
      </c>
      <c r="D185" s="1"/>
      <c r="E185" s="1"/>
    </row>
    <row r="186" spans="1:5" ht="23.1" customHeight="1">
      <c r="A186" s="1" t="s">
        <v>333</v>
      </c>
      <c r="B186" s="1" t="s">
        <v>335</v>
      </c>
      <c r="C186" s="6" t="b">
        <v>1</v>
      </c>
      <c r="D186" s="1"/>
      <c r="E186" s="1"/>
    </row>
    <row r="187" spans="1:5" ht="23.1" customHeight="1">
      <c r="A187" s="1" t="s">
        <v>333</v>
      </c>
      <c r="B187" s="1" t="s">
        <v>332</v>
      </c>
      <c r="C187" s="6" t="b">
        <v>1</v>
      </c>
      <c r="D187" s="1"/>
      <c r="E187" s="1"/>
    </row>
    <row r="188" spans="1:5" ht="23.1" customHeight="1">
      <c r="A188" s="1" t="s">
        <v>329</v>
      </c>
      <c r="B188" s="1" t="s">
        <v>332</v>
      </c>
      <c r="C188" s="6" t="b">
        <v>1</v>
      </c>
      <c r="D188" s="1"/>
      <c r="E188" s="1"/>
    </row>
    <row r="189" spans="1:5" ht="23.1" customHeight="1">
      <c r="A189" s="1" t="s">
        <v>331</v>
      </c>
      <c r="B189" s="1" t="s">
        <v>334</v>
      </c>
      <c r="C189" s="6" t="b">
        <v>1</v>
      </c>
      <c r="D189" s="1"/>
      <c r="E189" s="1"/>
    </row>
    <row r="190" spans="1:5" ht="23.1" customHeight="1">
      <c r="A190" s="1" t="s">
        <v>318</v>
      </c>
      <c r="B190" s="1" t="s">
        <v>331</v>
      </c>
      <c r="C190" s="6" t="b">
        <v>1</v>
      </c>
      <c r="D190" s="1"/>
      <c r="E190" s="1"/>
    </row>
    <row r="191" spans="1:5" ht="23.1" customHeight="1">
      <c r="A191" s="1" t="s">
        <v>334</v>
      </c>
      <c r="B191" s="1" t="s">
        <v>333</v>
      </c>
      <c r="C191" s="6" t="b">
        <v>1</v>
      </c>
      <c r="D191" s="1"/>
      <c r="E191" s="1"/>
    </row>
    <row r="192" spans="1:5" ht="23.1" customHeight="1">
      <c r="A192" s="1" t="s">
        <v>336</v>
      </c>
      <c r="B192" s="1" t="s">
        <v>338</v>
      </c>
      <c r="C192" s="6" t="b">
        <v>1</v>
      </c>
      <c r="D192" s="1"/>
      <c r="E192" s="1"/>
    </row>
    <row r="193" spans="1:5" ht="23.1" customHeight="1">
      <c r="A193" s="1" t="s">
        <v>337</v>
      </c>
      <c r="B193" s="1" t="s">
        <v>338</v>
      </c>
      <c r="C193" s="6" t="b">
        <v>1</v>
      </c>
      <c r="D193" s="1"/>
      <c r="E193" s="1"/>
    </row>
    <row r="194" spans="1:5" ht="23.1" customHeight="1">
      <c r="A194" s="1" t="s">
        <v>333</v>
      </c>
      <c r="B194" s="1" t="s">
        <v>337</v>
      </c>
      <c r="C194" s="6" t="b">
        <v>1</v>
      </c>
      <c r="D194" s="1"/>
      <c r="E194" s="1"/>
    </row>
    <row r="195" spans="1:5" ht="23.1" customHeight="1">
      <c r="A195" s="1" t="s">
        <v>120</v>
      </c>
      <c r="B195" s="1" t="s">
        <v>279</v>
      </c>
      <c r="C195" s="6" t="b">
        <v>0</v>
      </c>
      <c r="D195" s="1"/>
      <c r="E195" s="1"/>
    </row>
    <row r="196" spans="1:5" ht="23.1" customHeight="1">
      <c r="A196" s="1" t="s">
        <v>158</v>
      </c>
      <c r="B196" s="1" t="s">
        <v>339</v>
      </c>
      <c r="C196" s="6" t="b">
        <v>1</v>
      </c>
      <c r="D196" s="1"/>
      <c r="E196" s="1"/>
    </row>
    <row r="197" spans="1:5" ht="23.1" customHeight="1">
      <c r="A197" s="1" t="s">
        <v>279</v>
      </c>
      <c r="B197" s="1" t="s">
        <v>339</v>
      </c>
      <c r="C197" s="6" t="b">
        <v>1</v>
      </c>
      <c r="D197" s="1"/>
      <c r="E197" s="1"/>
    </row>
    <row r="198" spans="1:5" ht="23.1" customHeight="1">
      <c r="A198" s="1" t="s">
        <v>227</v>
      </c>
      <c r="B198" s="1" t="s">
        <v>190</v>
      </c>
      <c r="C198" s="6" t="b">
        <v>1</v>
      </c>
      <c r="D198" s="1"/>
      <c r="E198" s="1"/>
    </row>
    <row r="199" spans="1:5" ht="23.1" customHeight="1">
      <c r="A199" s="1" t="s">
        <v>320</v>
      </c>
      <c r="B199" s="1" t="s">
        <v>340</v>
      </c>
      <c r="C199" s="6" t="b">
        <v>1</v>
      </c>
      <c r="D199" s="1"/>
      <c r="E199" s="1"/>
    </row>
    <row r="200" spans="1:5" ht="23.1" customHeight="1">
      <c r="A200" s="1" t="s">
        <v>104</v>
      </c>
      <c r="B200" s="1" t="s">
        <v>340</v>
      </c>
      <c r="C200" s="6" t="b">
        <v>1</v>
      </c>
      <c r="D200" s="1"/>
      <c r="E200" s="1"/>
    </row>
    <row r="201" spans="1:5" ht="23.1" customHeight="1">
      <c r="A201" s="1" t="s">
        <v>184</v>
      </c>
      <c r="B201" s="1" t="s">
        <v>340</v>
      </c>
      <c r="C201" s="6" t="b">
        <v>1</v>
      </c>
      <c r="D201" s="1"/>
      <c r="E201" s="1"/>
    </row>
    <row r="202" spans="1:5" ht="23.1" customHeight="1">
      <c r="A202" s="1" t="s">
        <v>269</v>
      </c>
      <c r="B202" s="1" t="s">
        <v>341</v>
      </c>
      <c r="C202" s="6" t="b">
        <v>1</v>
      </c>
      <c r="D202" s="1"/>
      <c r="E202" s="1"/>
    </row>
    <row r="203" spans="1:5" ht="23.1" customHeight="1">
      <c r="A203" s="1" t="s">
        <v>340</v>
      </c>
      <c r="B203" s="1" t="s">
        <v>341</v>
      </c>
      <c r="C203" s="6" t="b">
        <v>1</v>
      </c>
      <c r="D203" s="1"/>
      <c r="E203" s="1"/>
    </row>
    <row r="204" spans="1:5" ht="23.1" customHeight="1">
      <c r="A204" s="1" t="s">
        <v>342</v>
      </c>
      <c r="B204" s="1" t="s">
        <v>341</v>
      </c>
      <c r="C204" s="6" t="b">
        <v>1</v>
      </c>
      <c r="D204" s="1"/>
      <c r="E204" s="1"/>
    </row>
    <row r="205" spans="1:5" ht="23.1" customHeight="1">
      <c r="A205" s="1" t="s">
        <v>176</v>
      </c>
      <c r="B205" s="1" t="s">
        <v>345</v>
      </c>
      <c r="C205" s="6" t="b">
        <v>1</v>
      </c>
      <c r="D205" s="1"/>
      <c r="E205" s="1"/>
    </row>
    <row r="206" spans="1:5" ht="23.1" customHeight="1">
      <c r="A206" s="1" t="s">
        <v>269</v>
      </c>
      <c r="B206" s="1" t="s">
        <v>345</v>
      </c>
      <c r="C206" s="6" t="b">
        <v>1</v>
      </c>
      <c r="D206" s="1"/>
      <c r="E206" s="1"/>
    </row>
    <row r="207" spans="1:5" ht="23.1" customHeight="1">
      <c r="A207" s="1" t="s">
        <v>344</v>
      </c>
      <c r="B207" s="1" t="s">
        <v>345</v>
      </c>
      <c r="C207" s="6" t="b">
        <v>0</v>
      </c>
      <c r="D207" s="1"/>
      <c r="E207" s="1"/>
    </row>
    <row r="208" spans="1:5" ht="23.1" customHeight="1">
      <c r="A208" s="1" t="s">
        <v>276</v>
      </c>
      <c r="B208" s="1" t="s">
        <v>343</v>
      </c>
      <c r="C208" s="6" t="b">
        <v>1</v>
      </c>
      <c r="D208" s="1"/>
      <c r="E208" s="1"/>
    </row>
    <row r="209" spans="1:5" ht="23.1" customHeight="1">
      <c r="A209" s="1" t="s">
        <v>276</v>
      </c>
      <c r="B209" s="1" t="s">
        <v>166</v>
      </c>
      <c r="C209" s="6" t="b">
        <v>1</v>
      </c>
      <c r="D209" s="1"/>
      <c r="E209" s="1"/>
    </row>
    <row r="210" spans="1:5" ht="23.1" customHeight="1">
      <c r="A210" s="1" t="s">
        <v>342</v>
      </c>
      <c r="B210" s="1" t="s">
        <v>346</v>
      </c>
      <c r="C210" s="6" t="b">
        <v>1</v>
      </c>
      <c r="D210" s="1"/>
      <c r="E210" s="1"/>
    </row>
    <row r="211" spans="1:5" ht="23.1" customHeight="1">
      <c r="A211" s="1" t="s">
        <v>276</v>
      </c>
      <c r="B211" s="1" t="s">
        <v>346</v>
      </c>
      <c r="C211" s="6" t="b">
        <v>1</v>
      </c>
      <c r="D211" s="1"/>
      <c r="E211" s="1"/>
    </row>
    <row r="212" spans="1:5" ht="23.1" customHeight="1">
      <c r="A212" s="1" t="s">
        <v>343</v>
      </c>
      <c r="B212" s="1" t="s">
        <v>344</v>
      </c>
      <c r="C212" s="6" t="b">
        <v>1</v>
      </c>
      <c r="D212" s="1"/>
      <c r="E212" s="1"/>
    </row>
    <row r="213" spans="1:5" ht="23.1" customHeight="1">
      <c r="A213" s="1" t="s">
        <v>347</v>
      </c>
      <c r="B213" s="1" t="s">
        <v>270</v>
      </c>
      <c r="C213" s="6" t="b">
        <v>1</v>
      </c>
      <c r="D213" s="1"/>
      <c r="E213" s="1"/>
    </row>
    <row r="214" spans="1:5" ht="23.1" customHeight="1">
      <c r="A214" s="1" t="s">
        <v>176</v>
      </c>
      <c r="B214" s="1" t="s">
        <v>347</v>
      </c>
      <c r="C214" s="6" t="b">
        <v>1</v>
      </c>
      <c r="D214" s="1"/>
      <c r="E214" s="1"/>
    </row>
    <row r="215" spans="1:5" ht="23.1" customHeight="1">
      <c r="A215" s="1" t="s">
        <v>343</v>
      </c>
      <c r="B215" s="1" t="s">
        <v>347</v>
      </c>
      <c r="C215" s="6" t="b">
        <v>1</v>
      </c>
      <c r="D215" s="1"/>
      <c r="E215" s="1"/>
    </row>
    <row r="216" spans="1:5" ht="23.1" customHeight="1">
      <c r="A216" s="1" t="s">
        <v>346</v>
      </c>
      <c r="B216" s="1" t="s">
        <v>154</v>
      </c>
      <c r="C216" s="6" t="b">
        <v>1</v>
      </c>
      <c r="D216" s="1"/>
      <c r="E216" s="1"/>
    </row>
    <row r="217" spans="1:5" ht="23.1" customHeight="1">
      <c r="A217" s="1" t="s">
        <v>180</v>
      </c>
      <c r="B217" s="1" t="s">
        <v>78</v>
      </c>
      <c r="C217" s="6" t="b">
        <v>1</v>
      </c>
      <c r="D217" s="1"/>
      <c r="E217" s="1"/>
    </row>
    <row r="218" spans="1:5" ht="23.1" customHeight="1">
      <c r="A218" s="1" t="s">
        <v>154</v>
      </c>
      <c r="B218" s="1" t="s">
        <v>78</v>
      </c>
      <c r="C218" s="6" t="b">
        <v>1</v>
      </c>
      <c r="D218" s="1"/>
      <c r="E218" s="1"/>
    </row>
    <row r="219" spans="1:5" ht="23.1" customHeight="1">
      <c r="A219" s="1" t="s">
        <v>346</v>
      </c>
      <c r="B219" s="1" t="s">
        <v>348</v>
      </c>
      <c r="C219" s="6" t="b">
        <v>1</v>
      </c>
      <c r="D219" s="1"/>
      <c r="E219" s="1"/>
    </row>
    <row r="220" spans="1:5" ht="23.1" customHeight="1">
      <c r="A220" s="1" t="s">
        <v>349</v>
      </c>
      <c r="B220" s="1" t="s">
        <v>348</v>
      </c>
      <c r="C220" s="6" t="b">
        <v>1</v>
      </c>
      <c r="D220" s="1"/>
      <c r="E220" s="1"/>
    </row>
    <row r="221" spans="1:5" ht="23.1" customHeight="1">
      <c r="A221" s="1" t="s">
        <v>350</v>
      </c>
      <c r="B221" s="1" t="s">
        <v>349</v>
      </c>
      <c r="C221" s="6" t="b">
        <v>1</v>
      </c>
      <c r="D221" s="1"/>
      <c r="E221" s="1"/>
    </row>
    <row r="222" spans="1:5" ht="23.1" customHeight="1">
      <c r="A222" s="1" t="s">
        <v>351</v>
      </c>
      <c r="B222" s="1" t="s">
        <v>350</v>
      </c>
      <c r="C222" s="6" t="b">
        <v>1</v>
      </c>
      <c r="D222" s="1"/>
      <c r="E222" s="1"/>
    </row>
    <row r="223" spans="1:5" ht="23.1" customHeight="1">
      <c r="A223" s="1" t="s">
        <v>351</v>
      </c>
      <c r="B223" s="1" t="s">
        <v>260</v>
      </c>
      <c r="C223" s="6" t="b">
        <v>1</v>
      </c>
      <c r="D223" s="1"/>
      <c r="E223" s="1"/>
    </row>
    <row r="224" spans="1:5" ht="23.1" customHeight="1">
      <c r="A224" s="1" t="s">
        <v>258</v>
      </c>
      <c r="B224" s="1" t="s">
        <v>350</v>
      </c>
      <c r="C224" s="6" t="b">
        <v>1</v>
      </c>
      <c r="D224" s="1"/>
      <c r="E224" s="1"/>
    </row>
    <row r="225" spans="1:5" ht="23.1" customHeight="1">
      <c r="A225" s="1" t="s">
        <v>342</v>
      </c>
      <c r="B225" s="1" t="s">
        <v>353</v>
      </c>
      <c r="C225" s="6" t="b">
        <v>1</v>
      </c>
      <c r="D225" s="1"/>
      <c r="E225" s="1"/>
    </row>
    <row r="226" spans="1:5" ht="23.1" customHeight="1">
      <c r="A226" s="1" t="s">
        <v>341</v>
      </c>
      <c r="B226" s="1" t="s">
        <v>352</v>
      </c>
      <c r="C226" s="6" t="b">
        <v>1</v>
      </c>
      <c r="D226" s="1"/>
      <c r="E226" s="1"/>
    </row>
    <row r="227" spans="1:5" ht="23.1" customHeight="1">
      <c r="A227" s="1" t="s">
        <v>353</v>
      </c>
      <c r="B227" s="1" t="s">
        <v>352</v>
      </c>
      <c r="C227" s="6" t="b">
        <v>1</v>
      </c>
      <c r="D227" s="1"/>
      <c r="E227" s="1"/>
    </row>
    <row r="228" spans="1:5" ht="23.1" customHeight="1">
      <c r="A228" s="1" t="s">
        <v>323</v>
      </c>
      <c r="B228" s="1" t="s">
        <v>355</v>
      </c>
      <c r="C228" s="6" t="b">
        <v>1</v>
      </c>
      <c r="D228" s="1"/>
      <c r="E228" s="1"/>
    </row>
    <row r="229" spans="1:5" ht="23.1" customHeight="1">
      <c r="A229" s="1" t="s">
        <v>356</v>
      </c>
      <c r="B229" s="1" t="s">
        <v>355</v>
      </c>
      <c r="C229" s="6" t="b">
        <v>1</v>
      </c>
      <c r="D229" s="1"/>
      <c r="E229" s="1"/>
    </row>
    <row r="230" spans="1:5" ht="23.1" customHeight="1">
      <c r="A230" s="1" t="s">
        <v>318</v>
      </c>
      <c r="B230" s="1" t="s">
        <v>356</v>
      </c>
      <c r="C230" s="6" t="b">
        <v>1</v>
      </c>
      <c r="D230" s="1"/>
      <c r="E230" s="1"/>
    </row>
    <row r="231" spans="1:5" ht="23.1" customHeight="1">
      <c r="A231" s="1" t="s">
        <v>354</v>
      </c>
      <c r="B231" s="1" t="s">
        <v>74</v>
      </c>
      <c r="C231" s="6" t="b">
        <v>1</v>
      </c>
      <c r="D231" s="1"/>
      <c r="E231" s="1"/>
    </row>
    <row r="232" spans="1:5" ht="23.1" customHeight="1">
      <c r="A232" s="1" t="s">
        <v>309</v>
      </c>
      <c r="B232" s="1" t="s">
        <v>357</v>
      </c>
      <c r="C232" s="6" t="b">
        <v>1</v>
      </c>
      <c r="D232" s="1"/>
      <c r="E232" s="1"/>
    </row>
    <row r="233" spans="1:5" ht="23.1" customHeight="1">
      <c r="A233" s="1" t="s">
        <v>358</v>
      </c>
      <c r="B233" s="1" t="s">
        <v>357</v>
      </c>
      <c r="C233" s="6" t="b">
        <v>1</v>
      </c>
      <c r="D233" s="1"/>
      <c r="E233" s="1"/>
    </row>
    <row r="234" spans="1:5" ht="23.1" customHeight="1">
      <c r="A234" s="1" t="s">
        <v>204</v>
      </c>
      <c r="B234" s="1" t="s">
        <v>358</v>
      </c>
      <c r="C234" s="6" t="b">
        <v>1</v>
      </c>
      <c r="D234" s="1"/>
      <c r="E234" s="1"/>
    </row>
    <row r="235" spans="1:5" ht="23.1" customHeight="1">
      <c r="A235" s="1" t="s">
        <v>360</v>
      </c>
      <c r="B235" s="1" t="s">
        <v>359</v>
      </c>
      <c r="C235" s="6" t="b">
        <v>1</v>
      </c>
      <c r="D235" s="1"/>
      <c r="E235" s="1"/>
    </row>
    <row r="236" spans="1:5" ht="23.1" customHeight="1">
      <c r="A236" s="1" t="s">
        <v>358</v>
      </c>
      <c r="B236" s="1" t="s">
        <v>359</v>
      </c>
      <c r="C236" s="6" t="b">
        <v>1</v>
      </c>
      <c r="D236" s="1"/>
      <c r="E236" s="1"/>
    </row>
    <row r="237" spans="1:5" ht="23.1" customHeight="1">
      <c r="A237" s="1" t="s">
        <v>100</v>
      </c>
      <c r="B237" s="1" t="s">
        <v>360</v>
      </c>
      <c r="C237" s="6" t="b">
        <v>1</v>
      </c>
      <c r="D237" s="1"/>
      <c r="E237" s="1"/>
    </row>
    <row r="238" spans="1:5" ht="23.1" customHeight="1">
      <c r="A238" s="1" t="s">
        <v>354</v>
      </c>
      <c r="B238" s="1" t="s">
        <v>361</v>
      </c>
      <c r="C238" s="6" t="b">
        <v>1</v>
      </c>
      <c r="D238" s="1"/>
      <c r="E238" s="1"/>
    </row>
    <row r="239" spans="1:5" ht="23.1" customHeight="1">
      <c r="A239" s="1" t="s">
        <v>362</v>
      </c>
      <c r="B239" s="1" t="s">
        <v>361</v>
      </c>
      <c r="C239" s="6" t="b">
        <v>1</v>
      </c>
      <c r="D239" s="1"/>
      <c r="E239" s="1"/>
    </row>
    <row r="240" spans="1:5" ht="23.1" customHeight="1">
      <c r="A240" s="1" t="s">
        <v>363</v>
      </c>
      <c r="B240" s="1" t="s">
        <v>362</v>
      </c>
      <c r="C240" s="6" t="b">
        <v>1</v>
      </c>
      <c r="D240" s="1"/>
      <c r="E240" s="1"/>
    </row>
    <row r="241" spans="1:5" ht="23.1" customHeight="1">
      <c r="A241" s="1" t="s">
        <v>265</v>
      </c>
      <c r="B241" s="1" t="s">
        <v>366</v>
      </c>
      <c r="C241" s="6" t="b">
        <v>1</v>
      </c>
      <c r="D241" s="1"/>
      <c r="E241" s="1"/>
    </row>
    <row r="242" spans="1:5" ht="23.1" customHeight="1">
      <c r="A242" s="1" t="s">
        <v>363</v>
      </c>
      <c r="B242" s="1" t="s">
        <v>364</v>
      </c>
      <c r="C242" s="6" t="b">
        <v>1</v>
      </c>
      <c r="D242" s="1"/>
      <c r="E242" s="1"/>
    </row>
    <row r="243" spans="1:5" ht="23.1" customHeight="1">
      <c r="A243" s="1" t="s">
        <v>366</v>
      </c>
      <c r="B243" s="1" t="s">
        <v>365</v>
      </c>
      <c r="C243" s="6" t="b">
        <v>1</v>
      </c>
      <c r="D243" s="1"/>
      <c r="E243" s="1"/>
    </row>
    <row r="244" spans="1:5" ht="23.1" customHeight="1">
      <c r="A244" s="1" t="s">
        <v>364</v>
      </c>
      <c r="B244" s="1" t="s">
        <v>365</v>
      </c>
      <c r="C244" s="6" t="b">
        <v>1</v>
      </c>
      <c r="D244" s="1"/>
      <c r="E244" s="1"/>
    </row>
    <row r="245" spans="1:5" ht="23.1" customHeight="1">
      <c r="A245" s="1" t="s">
        <v>363</v>
      </c>
      <c r="B245" s="1" t="s">
        <v>367</v>
      </c>
      <c r="C245" s="6" t="b">
        <v>1</v>
      </c>
      <c r="D245" s="1"/>
      <c r="E245" s="1"/>
    </row>
    <row r="246" spans="1:5" ht="23.1" customHeight="1">
      <c r="A246" s="1" t="s">
        <v>368</v>
      </c>
      <c r="B246" s="1" t="s">
        <v>367</v>
      </c>
      <c r="C246" s="6" t="b">
        <v>1</v>
      </c>
      <c r="D246" s="1"/>
      <c r="E246" s="1"/>
    </row>
    <row r="247" spans="1:5" ht="23.1" customHeight="1">
      <c r="A247" s="1" t="s">
        <v>368</v>
      </c>
      <c r="B247" s="1" t="s">
        <v>369</v>
      </c>
      <c r="C247" s="6" t="b">
        <v>1</v>
      </c>
      <c r="D247" s="1"/>
      <c r="E247" s="1"/>
    </row>
    <row r="248" spans="1:5" ht="23.1" customHeight="1">
      <c r="A248" s="1" t="s">
        <v>360</v>
      </c>
      <c r="B248" s="1" t="s">
        <v>370</v>
      </c>
      <c r="C248" s="6" t="b">
        <v>1</v>
      </c>
      <c r="D248" s="1"/>
      <c r="E248" s="1"/>
    </row>
    <row r="249" spans="1:5" ht="23.1" customHeight="1">
      <c r="A249" s="1" t="s">
        <v>374</v>
      </c>
      <c r="B249" s="1" t="s">
        <v>373</v>
      </c>
      <c r="C249" s="6" t="b">
        <v>1</v>
      </c>
      <c r="D249" s="1"/>
      <c r="E249" s="1"/>
    </row>
    <row r="250" spans="1:5" ht="23.1" customHeight="1">
      <c r="A250" s="1" t="s">
        <v>372</v>
      </c>
      <c r="B250" s="1" t="s">
        <v>371</v>
      </c>
      <c r="C250" s="6" t="b">
        <v>1</v>
      </c>
      <c r="D250" s="1"/>
      <c r="E250" s="1"/>
    </row>
    <row r="251" spans="1:5" ht="23.1" customHeight="1">
      <c r="A251" s="1" t="s">
        <v>370</v>
      </c>
      <c r="B251" s="1" t="s">
        <v>371</v>
      </c>
      <c r="C251" s="6" t="b">
        <v>1</v>
      </c>
      <c r="D251" s="1"/>
      <c r="E251" s="1"/>
    </row>
    <row r="252" spans="1:5" ht="23.1" customHeight="1">
      <c r="A252" s="1" t="s">
        <v>372</v>
      </c>
      <c r="B252" s="1" t="s">
        <v>373</v>
      </c>
      <c r="C252" s="6" t="b">
        <v>1</v>
      </c>
      <c r="D252" s="1"/>
      <c r="E252" s="1"/>
    </row>
    <row r="253" spans="1:5" ht="23.1" customHeight="1">
      <c r="A253" s="1" t="s">
        <v>374</v>
      </c>
      <c r="B253" s="1" t="s">
        <v>164</v>
      </c>
      <c r="C253" s="6" t="b">
        <v>1</v>
      </c>
      <c r="D253" s="1"/>
      <c r="E253" s="1"/>
    </row>
    <row r="254" spans="1:5" ht="23.1" customHeight="1">
      <c r="A254" s="1" t="s">
        <v>374</v>
      </c>
      <c r="B254" s="1" t="s">
        <v>375</v>
      </c>
      <c r="C254" s="6" t="b">
        <v>1</v>
      </c>
      <c r="D254" s="1"/>
      <c r="E254" s="1"/>
    </row>
    <row r="255" spans="1:5" ht="23.1" customHeight="1">
      <c r="A255" s="1" t="s">
        <v>376</v>
      </c>
      <c r="B255" s="1" t="s">
        <v>375</v>
      </c>
      <c r="C255" s="6" t="b">
        <v>1</v>
      </c>
      <c r="D255" s="1"/>
      <c r="E255" s="1"/>
    </row>
    <row r="256" spans="1:5" ht="23.1" customHeight="1">
      <c r="A256" s="1" t="s">
        <v>380</v>
      </c>
      <c r="B256" s="1" t="s">
        <v>379</v>
      </c>
      <c r="C256" s="6" t="b">
        <v>1</v>
      </c>
      <c r="D256" s="1"/>
      <c r="E256" s="1"/>
    </row>
    <row r="257" spans="1:5" ht="23.1" customHeight="1">
      <c r="A257" s="1" t="s">
        <v>378</v>
      </c>
      <c r="B257" s="1" t="s">
        <v>379</v>
      </c>
      <c r="C257" s="6" t="b">
        <v>1</v>
      </c>
      <c r="D257" s="1"/>
      <c r="E257" s="1"/>
    </row>
    <row r="258" spans="1:5" ht="23.1" customHeight="1">
      <c r="A258" s="1" t="s">
        <v>377</v>
      </c>
      <c r="B258" s="1" t="s">
        <v>378</v>
      </c>
      <c r="C258" s="6" t="b">
        <v>1</v>
      </c>
      <c r="D258" s="1"/>
      <c r="E258" s="1"/>
    </row>
    <row r="259" spans="1:5" ht="23.1" customHeight="1">
      <c r="A259" s="1" t="s">
        <v>376</v>
      </c>
      <c r="B259" s="1" t="s">
        <v>377</v>
      </c>
      <c r="C259" s="6" t="b">
        <v>1</v>
      </c>
      <c r="D259" s="1"/>
      <c r="E259" s="1"/>
    </row>
    <row r="260" spans="1:5" ht="23.1" customHeight="1">
      <c r="A260" s="1" t="s">
        <v>380</v>
      </c>
      <c r="B260" s="1" t="s">
        <v>376</v>
      </c>
      <c r="C260" s="6" t="b">
        <v>1</v>
      </c>
      <c r="D260" s="1"/>
      <c r="E260" s="1"/>
    </row>
    <row r="261" spans="1:5" ht="23.1" customHeight="1">
      <c r="A261" s="1" t="s">
        <v>380</v>
      </c>
      <c r="B261" s="1" t="s">
        <v>381</v>
      </c>
      <c r="C261" s="6" t="b">
        <v>1</v>
      </c>
      <c r="D261" s="1"/>
      <c r="E261" s="1"/>
    </row>
    <row r="262" spans="1:5" ht="23.1" customHeight="1">
      <c r="A262" s="1" t="s">
        <v>383</v>
      </c>
      <c r="B262" s="1" t="s">
        <v>382</v>
      </c>
      <c r="C262" s="6" t="b">
        <v>1</v>
      </c>
      <c r="D262" s="1"/>
      <c r="E262" s="1"/>
    </row>
    <row r="263" spans="1:5" ht="23.1" customHeight="1">
      <c r="A263" s="1" t="s">
        <v>381</v>
      </c>
      <c r="B263" s="1" t="s">
        <v>382</v>
      </c>
      <c r="C263" s="6" t="b">
        <v>1</v>
      </c>
      <c r="D263" s="1"/>
      <c r="E263" s="1"/>
    </row>
    <row r="264" spans="1:5" ht="23.1" customHeight="1">
      <c r="A264" s="1" t="s">
        <v>383</v>
      </c>
      <c r="B264" s="1" t="s">
        <v>124</v>
      </c>
      <c r="C264" s="6" t="b">
        <v>1</v>
      </c>
      <c r="D264" s="1"/>
      <c r="E264" s="1"/>
    </row>
    <row r="265" spans="1:5" ht="23.1" customHeight="1">
      <c r="A265" s="1" t="s">
        <v>313</v>
      </c>
      <c r="B265" s="1" t="s">
        <v>80</v>
      </c>
      <c r="C265" s="6" t="b">
        <v>1</v>
      </c>
      <c r="D265" s="1"/>
      <c r="E265" s="1"/>
    </row>
    <row r="266" spans="1:5" ht="23.1" customHeight="1">
      <c r="A266" s="1" t="s">
        <v>312</v>
      </c>
      <c r="B266" s="1" t="s">
        <v>80</v>
      </c>
      <c r="C266" s="6" t="b">
        <v>1</v>
      </c>
      <c r="D266" s="1"/>
      <c r="E266" s="1"/>
    </row>
    <row r="267" spans="1:5" ht="23.1" customHeight="1">
      <c r="A267" s="1" t="s">
        <v>386</v>
      </c>
      <c r="B267" s="1" t="s">
        <v>300</v>
      </c>
      <c r="C267" s="6" t="b">
        <v>1</v>
      </c>
      <c r="D267" s="1"/>
      <c r="E267" s="1"/>
    </row>
    <row r="268" spans="1:5" ht="23.1" customHeight="1">
      <c r="A268" s="1" t="s">
        <v>385</v>
      </c>
      <c r="B268" s="1" t="s">
        <v>386</v>
      </c>
      <c r="C268" s="6" t="b">
        <v>1</v>
      </c>
      <c r="D268" s="1"/>
      <c r="E268" s="1"/>
    </row>
    <row r="269" spans="1:5" ht="23.1" customHeight="1">
      <c r="A269" s="1" t="s">
        <v>384</v>
      </c>
      <c r="B269" s="1" t="s">
        <v>385</v>
      </c>
      <c r="C269" s="6" t="b">
        <v>1</v>
      </c>
      <c r="D269" s="1"/>
      <c r="E269" s="1"/>
    </row>
    <row r="270" spans="1:5" ht="23.1" customHeight="1">
      <c r="A270" s="1" t="s">
        <v>80</v>
      </c>
      <c r="B270" s="1" t="s">
        <v>384</v>
      </c>
      <c r="C270" s="6" t="b">
        <v>1</v>
      </c>
      <c r="D270" s="1"/>
      <c r="E270" s="1"/>
    </row>
    <row r="271" spans="1:5" ht="23.1" customHeight="1">
      <c r="A271" s="1" t="s">
        <v>337</v>
      </c>
      <c r="B271" s="1" t="s">
        <v>390</v>
      </c>
      <c r="C271" s="6" t="b">
        <v>1</v>
      </c>
      <c r="D271" s="1"/>
      <c r="E271" s="1"/>
    </row>
    <row r="272" spans="1:5" ht="23.1" customHeight="1">
      <c r="A272" s="1" t="s">
        <v>385</v>
      </c>
      <c r="B272" s="1" t="s">
        <v>387</v>
      </c>
      <c r="C272" s="6" t="b">
        <v>1</v>
      </c>
      <c r="D272" s="1"/>
      <c r="E272" s="1"/>
    </row>
    <row r="273" spans="1:5" ht="23.1" customHeight="1">
      <c r="A273" s="1" t="s">
        <v>388</v>
      </c>
      <c r="B273" s="1" t="s">
        <v>389</v>
      </c>
      <c r="C273" s="6" t="b">
        <v>1</v>
      </c>
      <c r="D273" s="1"/>
      <c r="E273" s="1"/>
    </row>
    <row r="274" spans="1:5" ht="23.1" customHeight="1">
      <c r="A274" s="1" t="s">
        <v>387</v>
      </c>
      <c r="B274" s="1" t="s">
        <v>388</v>
      </c>
      <c r="C274" s="6" t="b">
        <v>1</v>
      </c>
      <c r="D274" s="1"/>
      <c r="E274" s="1"/>
    </row>
    <row r="275" spans="1:5" ht="23.1" customHeight="1">
      <c r="A275" s="1" t="s">
        <v>126</v>
      </c>
      <c r="B275" s="1" t="s">
        <v>388</v>
      </c>
      <c r="C275" s="6" t="b">
        <v>1</v>
      </c>
      <c r="D275" s="1"/>
      <c r="E275" s="1"/>
    </row>
    <row r="276" spans="1:5" ht="23.1" customHeight="1">
      <c r="A276" s="1" t="s">
        <v>389</v>
      </c>
      <c r="B276" s="1" t="s">
        <v>390</v>
      </c>
      <c r="C276" s="6" t="b">
        <v>1</v>
      </c>
      <c r="D276" s="1"/>
      <c r="E276" s="1"/>
    </row>
    <row r="277" spans="1:5" ht="23.1" customHeight="1">
      <c r="A277" s="1" t="s">
        <v>334</v>
      </c>
      <c r="B277" s="1" t="s">
        <v>152</v>
      </c>
      <c r="C277" s="6" t="b">
        <v>1</v>
      </c>
      <c r="D277" s="1"/>
      <c r="E277" s="1"/>
    </row>
    <row r="278" spans="1:5" ht="23.1" customHeight="1">
      <c r="A278" s="1" t="s">
        <v>126</v>
      </c>
      <c r="B278" s="1" t="s">
        <v>391</v>
      </c>
      <c r="C278" s="6" t="b">
        <v>1</v>
      </c>
      <c r="D278" s="1"/>
      <c r="E278" s="1"/>
    </row>
    <row r="279" spans="1:5" ht="23.1" customHeight="1">
      <c r="A279" s="1" t="s">
        <v>336</v>
      </c>
      <c r="B279" s="1" t="s">
        <v>391</v>
      </c>
      <c r="C279" s="6" t="b">
        <v>1</v>
      </c>
      <c r="D279" s="1"/>
      <c r="E279" s="1"/>
    </row>
    <row r="280" spans="1:5" ht="23.1" customHeight="1">
      <c r="A280" s="1" t="s">
        <v>152</v>
      </c>
      <c r="B280" s="1" t="s">
        <v>108</v>
      </c>
      <c r="C280" s="6" t="b">
        <v>1</v>
      </c>
      <c r="D280" s="1"/>
      <c r="E280" s="1"/>
    </row>
    <row r="281" spans="1:5" ht="23.1" customHeight="1">
      <c r="A281" s="1" t="s">
        <v>395</v>
      </c>
      <c r="B281" s="1" t="s">
        <v>108</v>
      </c>
      <c r="C281" s="6" t="b">
        <v>1</v>
      </c>
      <c r="D281" s="1"/>
      <c r="E281" s="1"/>
    </row>
    <row r="282" spans="1:5" ht="23.1" customHeight="1">
      <c r="A282" s="1" t="s">
        <v>162</v>
      </c>
      <c r="B282" s="1" t="s">
        <v>395</v>
      </c>
      <c r="C282" s="6" t="b">
        <v>1</v>
      </c>
      <c r="D282" s="1"/>
      <c r="E282" s="1"/>
    </row>
    <row r="283" spans="1:5" ht="23.1" customHeight="1">
      <c r="A283" s="1" t="s">
        <v>390</v>
      </c>
      <c r="B283" s="1" t="s">
        <v>392</v>
      </c>
      <c r="C283" s="6" t="b">
        <v>1</v>
      </c>
      <c r="D283" s="1"/>
      <c r="E283" s="1"/>
    </row>
    <row r="284" spans="1:5" ht="23.1" customHeight="1">
      <c r="A284" s="1" t="s">
        <v>393</v>
      </c>
      <c r="B284" s="1" t="s">
        <v>392</v>
      </c>
      <c r="C284" s="6" t="b">
        <v>1</v>
      </c>
      <c r="D284" s="1"/>
      <c r="E284" s="1"/>
    </row>
    <row r="285" spans="1:5" ht="23.1" customHeight="1">
      <c r="A285" s="1" t="s">
        <v>394</v>
      </c>
      <c r="B285" s="1" t="s">
        <v>393</v>
      </c>
      <c r="C285" s="6" t="b">
        <v>1</v>
      </c>
      <c r="D285" s="1"/>
      <c r="E285" s="1"/>
    </row>
    <row r="286" spans="1:5" ht="23.1" customHeight="1">
      <c r="A286" s="1" t="s">
        <v>394</v>
      </c>
      <c r="B286" s="1" t="s">
        <v>182</v>
      </c>
      <c r="C286" s="6" t="b">
        <v>1</v>
      </c>
      <c r="D286" s="1"/>
      <c r="E286" s="1"/>
    </row>
    <row r="287" spans="1:5" ht="23.1" customHeight="1">
      <c r="A287" s="1" t="s">
        <v>356</v>
      </c>
      <c r="B287" s="1" t="s">
        <v>396</v>
      </c>
      <c r="C287" s="6" t="b">
        <v>1</v>
      </c>
      <c r="D287" s="1"/>
      <c r="E287" s="1"/>
    </row>
    <row r="288" spans="1:5" ht="23.1" customHeight="1">
      <c r="A288" s="1" t="s">
        <v>355</v>
      </c>
      <c r="B288" s="1" t="s">
        <v>396</v>
      </c>
      <c r="C288" s="6" t="b">
        <v>1</v>
      </c>
      <c r="D288" s="1"/>
      <c r="E288" s="1"/>
    </row>
    <row r="289" spans="1:5" ht="23.1" customHeight="1">
      <c r="A289" s="1" t="s">
        <v>397</v>
      </c>
      <c r="B289" s="1" t="s">
        <v>396</v>
      </c>
      <c r="C289" s="6" t="b">
        <v>1</v>
      </c>
      <c r="D289" s="1"/>
      <c r="E289" s="1"/>
    </row>
    <row r="290" spans="1:5" ht="23.1" customHeight="1">
      <c r="A290" s="1" t="s">
        <v>399</v>
      </c>
      <c r="B290" s="1" t="s">
        <v>398</v>
      </c>
      <c r="C290" s="6" t="b">
        <v>1</v>
      </c>
      <c r="D290" s="1"/>
      <c r="E290" s="1"/>
    </row>
    <row r="291" spans="1:5" ht="23.1" customHeight="1">
      <c r="A291" s="1" t="s">
        <v>397</v>
      </c>
      <c r="B291" s="1" t="s">
        <v>398</v>
      </c>
      <c r="C291" s="6" t="b">
        <v>1</v>
      </c>
      <c r="D291" s="1"/>
      <c r="E291" s="1"/>
    </row>
    <row r="292" spans="1:5" ht="23.1" customHeight="1">
      <c r="A292" s="1" t="s">
        <v>399</v>
      </c>
      <c r="B292" s="1" t="s">
        <v>400</v>
      </c>
      <c r="C292" s="6" t="b">
        <v>1</v>
      </c>
      <c r="D292" s="1"/>
      <c r="E292" s="1"/>
    </row>
    <row r="293" spans="1:5" ht="23.1" customHeight="1">
      <c r="A293" s="1" t="s">
        <v>401</v>
      </c>
      <c r="B293" s="1" t="s">
        <v>400</v>
      </c>
      <c r="C293" s="6" t="b">
        <v>1</v>
      </c>
      <c r="D293" s="1"/>
      <c r="E293" s="1"/>
    </row>
    <row r="294" spans="1:5" ht="23.1" customHeight="1">
      <c r="A294" s="1" t="s">
        <v>402</v>
      </c>
      <c r="B294" s="1" t="s">
        <v>401</v>
      </c>
      <c r="C294" s="6" t="b">
        <v>1</v>
      </c>
      <c r="D294" s="1"/>
      <c r="E294" s="1"/>
    </row>
    <row r="295" spans="1:5" ht="23.1" customHeight="1">
      <c r="A295" s="1" t="s">
        <v>356</v>
      </c>
      <c r="B295" s="1" t="s">
        <v>402</v>
      </c>
      <c r="C295" s="6" t="b">
        <v>1</v>
      </c>
      <c r="D295" s="1"/>
      <c r="E295" s="1"/>
    </row>
    <row r="296" spans="1:5" ht="23.1" customHeight="1">
      <c r="A296" s="1" t="s">
        <v>182</v>
      </c>
      <c r="B296" s="1" t="s">
        <v>402</v>
      </c>
      <c r="C296" s="6" t="b">
        <v>1</v>
      </c>
      <c r="D296" s="1"/>
      <c r="E296" s="1"/>
    </row>
    <row r="297" spans="1:5" ht="23.1" customHeight="1">
      <c r="A297" s="1" t="s">
        <v>403</v>
      </c>
      <c r="B297" s="1" t="s">
        <v>182</v>
      </c>
      <c r="C297" s="6" t="b">
        <v>1</v>
      </c>
      <c r="D297" s="1"/>
      <c r="E297" s="1"/>
    </row>
    <row r="298" spans="1:5" ht="23.1" customHeight="1">
      <c r="A298" s="1" t="s">
        <v>361</v>
      </c>
      <c r="B298" s="1" t="s">
        <v>404</v>
      </c>
      <c r="C298" s="6" t="b">
        <v>1</v>
      </c>
      <c r="D298" s="1"/>
      <c r="E298" s="1"/>
    </row>
    <row r="299" spans="1:5" ht="23.1" customHeight="1">
      <c r="A299" s="1" t="s">
        <v>354</v>
      </c>
      <c r="B299" s="1" t="s">
        <v>405</v>
      </c>
      <c r="C299" s="6" t="b">
        <v>1</v>
      </c>
      <c r="D299" s="1"/>
      <c r="E299" s="1"/>
    </row>
    <row r="300" spans="1:5" ht="23.1" customHeight="1">
      <c r="A300" s="1" t="s">
        <v>403</v>
      </c>
      <c r="B300" s="1" t="s">
        <v>405</v>
      </c>
      <c r="C300" s="6" t="b">
        <v>1</v>
      </c>
      <c r="D300" s="1"/>
      <c r="E300" s="1"/>
    </row>
    <row r="301" spans="1:5" ht="23.1" customHeight="1">
      <c r="A301" s="1" t="s">
        <v>404</v>
      </c>
      <c r="B301" s="1" t="s">
        <v>405</v>
      </c>
      <c r="C301" s="6" t="b">
        <v>1</v>
      </c>
      <c r="D301" s="1"/>
      <c r="E301" s="1"/>
    </row>
    <row r="302" spans="1:5" ht="23.1" customHeight="1">
      <c r="A302" s="1" t="s">
        <v>403</v>
      </c>
      <c r="B302" s="1" t="s">
        <v>406</v>
      </c>
      <c r="C302" s="6" t="b">
        <v>1</v>
      </c>
      <c r="D302" s="1"/>
      <c r="E302" s="1"/>
    </row>
    <row r="303" spans="1:5" ht="23.1" customHeight="1">
      <c r="A303" s="1" t="s">
        <v>369</v>
      </c>
      <c r="B303" s="1" t="s">
        <v>406</v>
      </c>
      <c r="C303" s="6" t="b">
        <v>1</v>
      </c>
      <c r="D303" s="1"/>
      <c r="E303" s="1"/>
    </row>
    <row r="304" spans="1:5" ht="23.1" customHeight="1">
      <c r="A304" s="1" t="s">
        <v>255</v>
      </c>
      <c r="B304" s="1" t="s">
        <v>409</v>
      </c>
      <c r="C304" s="6" t="b">
        <v>1</v>
      </c>
      <c r="D304" s="1"/>
      <c r="E304" s="1"/>
    </row>
    <row r="305" spans="1:5" ht="23.1" customHeight="1">
      <c r="A305" s="1" t="s">
        <v>408</v>
      </c>
      <c r="B305" s="1" t="s">
        <v>409</v>
      </c>
      <c r="C305" s="6" t="b">
        <v>1</v>
      </c>
      <c r="D305" s="1"/>
      <c r="E305" s="1"/>
    </row>
    <row r="306" spans="1:5" ht="23.1" customHeight="1">
      <c r="A306" s="1" t="s">
        <v>407</v>
      </c>
      <c r="B306" s="1" t="s">
        <v>409</v>
      </c>
      <c r="C306" s="6" t="b">
        <v>1</v>
      </c>
      <c r="D306" s="1"/>
      <c r="E306" s="1"/>
    </row>
    <row r="307" spans="1:5" ht="23.1" customHeight="1">
      <c r="A307" s="1" t="s">
        <v>369</v>
      </c>
      <c r="B307" s="1" t="s">
        <v>407</v>
      </c>
      <c r="C307" s="6" t="b">
        <v>1</v>
      </c>
      <c r="D307" s="1"/>
      <c r="E307" s="1"/>
    </row>
    <row r="308" spans="1:5" ht="23.1" customHeight="1">
      <c r="A308" s="1" t="s">
        <v>266</v>
      </c>
      <c r="B308" s="1" t="s">
        <v>410</v>
      </c>
      <c r="C308" s="6" t="b">
        <v>1</v>
      </c>
      <c r="D308" s="1"/>
      <c r="E308" s="1"/>
    </row>
    <row r="309" spans="1:5" ht="23.1" customHeight="1">
      <c r="A309" s="1" t="s">
        <v>366</v>
      </c>
      <c r="B309" s="1" t="s">
        <v>411</v>
      </c>
      <c r="C309" s="6" t="b">
        <v>1</v>
      </c>
      <c r="D309" s="1"/>
      <c r="E309" s="1"/>
    </row>
    <row r="310" spans="1:5" ht="23.1" customHeight="1">
      <c r="A310" s="1" t="s">
        <v>410</v>
      </c>
      <c r="B310" s="1" t="s">
        <v>411</v>
      </c>
      <c r="C310" s="6" t="b">
        <v>1</v>
      </c>
      <c r="D310" s="1"/>
      <c r="E310" s="1"/>
    </row>
    <row r="311" spans="1:5" ht="23.1" customHeight="1">
      <c r="A311" s="1" t="s">
        <v>261</v>
      </c>
      <c r="B311" s="1" t="s">
        <v>415</v>
      </c>
      <c r="C311" s="6" t="b">
        <v>1</v>
      </c>
      <c r="D311" s="1"/>
      <c r="E311" s="1"/>
    </row>
    <row r="312" spans="1:5" ht="23.1" customHeight="1">
      <c r="A312" s="1" t="s">
        <v>413</v>
      </c>
      <c r="B312" s="1" t="s">
        <v>415</v>
      </c>
      <c r="C312" s="6" t="b">
        <v>1</v>
      </c>
      <c r="D312" s="1"/>
      <c r="E312" s="1"/>
    </row>
    <row r="313" spans="1:5" ht="23.1" customHeight="1">
      <c r="A313" s="1" t="s">
        <v>264</v>
      </c>
      <c r="B313" s="1" t="s">
        <v>415</v>
      </c>
      <c r="C313" s="6" t="b">
        <v>1</v>
      </c>
      <c r="D313" s="1"/>
      <c r="E313" s="1"/>
    </row>
    <row r="314" spans="1:5" ht="23.1" customHeight="1">
      <c r="A314" s="1" t="s">
        <v>413</v>
      </c>
      <c r="B314" s="1" t="s">
        <v>414</v>
      </c>
      <c r="C314" s="6" t="b">
        <v>1</v>
      </c>
      <c r="D314" s="1"/>
      <c r="E314" s="1"/>
    </row>
    <row r="315" spans="1:5" ht="23.1" customHeight="1">
      <c r="A315" s="1" t="s">
        <v>366</v>
      </c>
      <c r="B315" s="1" t="s">
        <v>414</v>
      </c>
      <c r="C315" s="6" t="b">
        <v>1</v>
      </c>
      <c r="D315" s="1"/>
      <c r="E315" s="1"/>
    </row>
    <row r="316" spans="1:5" ht="23.1" customHeight="1">
      <c r="A316" s="1" t="s">
        <v>416</v>
      </c>
      <c r="B316" s="1" t="s">
        <v>413</v>
      </c>
      <c r="C316" s="6" t="b">
        <v>0</v>
      </c>
      <c r="D316" s="1"/>
      <c r="E316" s="1"/>
    </row>
    <row r="317" spans="1:5" ht="23.1" customHeight="1">
      <c r="A317" s="1" t="s">
        <v>416</v>
      </c>
      <c r="B317" s="1" t="s">
        <v>412</v>
      </c>
      <c r="C317" s="6" t="b">
        <v>1</v>
      </c>
      <c r="D317" s="1"/>
      <c r="E317" s="1"/>
    </row>
    <row r="318" spans="1:5" ht="23.1" customHeight="1">
      <c r="A318" s="1" t="s">
        <v>349</v>
      </c>
      <c r="B318" s="1" t="s">
        <v>412</v>
      </c>
      <c r="C318" s="6" t="b">
        <v>1</v>
      </c>
      <c r="D318" s="1"/>
      <c r="E318" s="1"/>
    </row>
    <row r="319" spans="1:5" ht="23.1" customHeight="1">
      <c r="A319" s="1" t="s">
        <v>418</v>
      </c>
      <c r="B319" s="1" t="s">
        <v>419</v>
      </c>
      <c r="C319" s="6" t="b">
        <v>1</v>
      </c>
      <c r="D319" s="1"/>
      <c r="E319" s="1"/>
    </row>
    <row r="320" spans="1:5" ht="23.1" customHeight="1">
      <c r="A320" s="1" t="s">
        <v>417</v>
      </c>
      <c r="B320" s="1" t="s">
        <v>420</v>
      </c>
      <c r="C320" s="6" t="b">
        <v>1</v>
      </c>
      <c r="D320" s="1"/>
      <c r="E320" s="1"/>
    </row>
    <row r="321" spans="1:5" ht="23.1" customHeight="1">
      <c r="A321" s="1" t="s">
        <v>419</v>
      </c>
      <c r="B321" s="1" t="s">
        <v>420</v>
      </c>
      <c r="C321" s="6" t="b">
        <v>1</v>
      </c>
      <c r="D321" s="1"/>
      <c r="E321" s="1"/>
    </row>
    <row r="322" spans="1:5" ht="23.1" customHeight="1">
      <c r="A322" s="1" t="s">
        <v>421</v>
      </c>
      <c r="B322" s="1" t="s">
        <v>420</v>
      </c>
      <c r="C322" s="6" t="b">
        <v>1</v>
      </c>
      <c r="D322" s="1"/>
      <c r="E322" s="1"/>
    </row>
    <row r="323" spans="1:5" ht="23.1" customHeight="1">
      <c r="A323" s="1" t="s">
        <v>90</v>
      </c>
      <c r="B323" s="1" t="s">
        <v>422</v>
      </c>
      <c r="C323" s="6" t="b">
        <v>1</v>
      </c>
      <c r="D323" s="1"/>
      <c r="E323" s="1"/>
    </row>
    <row r="324" spans="1:5" ht="23.1" customHeight="1">
      <c r="A324" s="1" t="s">
        <v>421</v>
      </c>
      <c r="B324" s="1" t="s">
        <v>422</v>
      </c>
      <c r="C324" s="6" t="b">
        <v>1</v>
      </c>
      <c r="D324" s="1"/>
      <c r="E324" s="1"/>
    </row>
    <row r="325" spans="1:5" ht="23.1" customHeight="1">
      <c r="A325" s="1" t="s">
        <v>418</v>
      </c>
      <c r="B325" s="1" t="s">
        <v>423</v>
      </c>
      <c r="C325" s="6" t="b">
        <v>1</v>
      </c>
      <c r="D325" s="1"/>
      <c r="E325" s="1"/>
    </row>
    <row r="326" spans="1:5" ht="23.1" customHeight="1">
      <c r="A326" s="1" t="s">
        <v>424</v>
      </c>
      <c r="B326" s="1" t="s">
        <v>423</v>
      </c>
      <c r="C326" s="6" t="b">
        <v>1</v>
      </c>
      <c r="D326" s="1"/>
      <c r="E326" s="1"/>
    </row>
    <row r="327" spans="1:5" ht="23.1" customHeight="1">
      <c r="A327" s="1" t="s">
        <v>424</v>
      </c>
      <c r="B327" s="1" t="s">
        <v>425</v>
      </c>
      <c r="C327" s="6" t="b">
        <v>1</v>
      </c>
      <c r="D327" s="1"/>
      <c r="E327" s="1"/>
    </row>
    <row r="328" spans="1:5" ht="23.1" customHeight="1">
      <c r="A328" s="1" t="s">
        <v>421</v>
      </c>
      <c r="B328" s="1" t="s">
        <v>425</v>
      </c>
      <c r="C328" s="6" t="b">
        <v>1</v>
      </c>
      <c r="D328" s="1"/>
      <c r="E328" s="1"/>
    </row>
    <row r="329" spans="1:5" ht="23.1" customHeight="1">
      <c r="A329" s="1" t="s">
        <v>424</v>
      </c>
      <c r="B329" s="1" t="s">
        <v>208</v>
      </c>
      <c r="C329" s="6" t="b">
        <v>1</v>
      </c>
      <c r="D329" s="1"/>
      <c r="E329" s="1"/>
    </row>
    <row r="330" spans="1:5" ht="23.1" customHeight="1">
      <c r="A330" s="1" t="s">
        <v>426</v>
      </c>
      <c r="B330" s="1" t="s">
        <v>425</v>
      </c>
      <c r="C330" s="6" t="b">
        <v>1</v>
      </c>
      <c r="D330" s="1"/>
      <c r="E330" s="1"/>
    </row>
    <row r="331" spans="1:5" ht="23.1" customHeight="1">
      <c r="A331" s="1" t="s">
        <v>421</v>
      </c>
      <c r="B331" s="1" t="s">
        <v>426</v>
      </c>
      <c r="C331" s="6" t="b">
        <v>1</v>
      </c>
      <c r="D331" s="1"/>
      <c r="E331" s="1"/>
    </row>
    <row r="332" spans="1:5" ht="23.1" customHeight="1">
      <c r="A332" s="1" t="s">
        <v>430</v>
      </c>
      <c r="B332" s="1" t="s">
        <v>373</v>
      </c>
      <c r="C332" s="6" t="b">
        <v>1</v>
      </c>
      <c r="D332" s="1"/>
      <c r="E332" s="1"/>
    </row>
    <row r="333" spans="1:5" ht="23.1" customHeight="1">
      <c r="A333" s="1" t="s">
        <v>164</v>
      </c>
      <c r="B333" s="1" t="s">
        <v>430</v>
      </c>
      <c r="C333" s="6" t="b">
        <v>1</v>
      </c>
      <c r="D333" s="1"/>
      <c r="E333" s="1"/>
    </row>
    <row r="334" spans="1:5" ht="23.1" customHeight="1">
      <c r="A334" s="1" t="s">
        <v>429</v>
      </c>
      <c r="B334" s="1" t="s">
        <v>430</v>
      </c>
      <c r="C334" s="6" t="b">
        <v>1</v>
      </c>
      <c r="D334" s="1"/>
      <c r="E334" s="1"/>
    </row>
    <row r="335" spans="1:5" ht="23.1" customHeight="1">
      <c r="A335" s="1" t="s">
        <v>428</v>
      </c>
      <c r="B335" s="1" t="s">
        <v>429</v>
      </c>
      <c r="C335" s="6" t="b">
        <v>1</v>
      </c>
      <c r="D335" s="1"/>
      <c r="E335" s="1"/>
    </row>
    <row r="336" spans="1:5" ht="23.1" customHeight="1">
      <c r="A336" s="1" t="s">
        <v>426</v>
      </c>
      <c r="B336" s="1" t="s">
        <v>428</v>
      </c>
      <c r="C336" s="6" t="b">
        <v>1</v>
      </c>
      <c r="D336" s="1"/>
      <c r="E336" s="1"/>
    </row>
    <row r="337" spans="1:5" ht="23.1" customHeight="1">
      <c r="A337" s="1" t="s">
        <v>427</v>
      </c>
      <c r="B337" s="1" t="s">
        <v>426</v>
      </c>
      <c r="C337" s="6" t="b">
        <v>1</v>
      </c>
      <c r="D337" s="1"/>
      <c r="E337" s="1"/>
    </row>
    <row r="338" spans="1:5" ht="23.1" customHeight="1">
      <c r="A338" s="1" t="s">
        <v>427</v>
      </c>
      <c r="B338" s="1" t="s">
        <v>431</v>
      </c>
      <c r="C338" s="6" t="b">
        <v>0</v>
      </c>
      <c r="D338" s="1"/>
      <c r="E338" s="1"/>
    </row>
    <row r="339" spans="1:5" ht="23.1" customHeight="1">
      <c r="A339" s="1" t="s">
        <v>357</v>
      </c>
      <c r="B339" s="1" t="s">
        <v>431</v>
      </c>
      <c r="C339" s="6" t="b">
        <v>1</v>
      </c>
      <c r="D339" s="1"/>
      <c r="E339" s="1"/>
    </row>
    <row r="340" spans="1:5" ht="23.1" customHeight="1">
      <c r="A340" s="1" t="s">
        <v>188</v>
      </c>
      <c r="B340" s="1" t="s">
        <v>433</v>
      </c>
      <c r="C340" s="6" t="b">
        <v>1</v>
      </c>
      <c r="D340" s="1"/>
      <c r="E340" s="1"/>
    </row>
    <row r="341" spans="1:5" ht="23.1" customHeight="1">
      <c r="A341" s="1" t="s">
        <v>432</v>
      </c>
      <c r="B341" s="1" t="s">
        <v>433</v>
      </c>
      <c r="C341" s="6" t="b">
        <v>1</v>
      </c>
      <c r="D341" s="1"/>
      <c r="E341" s="1"/>
    </row>
    <row r="342" spans="1:5" ht="23.1" customHeight="1">
      <c r="A342" s="1" t="s">
        <v>286</v>
      </c>
      <c r="B342" s="1" t="s">
        <v>432</v>
      </c>
      <c r="C342" s="6" t="b">
        <v>1</v>
      </c>
      <c r="D342" s="1"/>
      <c r="E342" s="1"/>
    </row>
    <row r="343" spans="1:5" ht="23.1" customHeight="1">
      <c r="A343" s="1" t="s">
        <v>200</v>
      </c>
      <c r="B343" s="1" t="s">
        <v>434</v>
      </c>
      <c r="C343" s="6" t="b">
        <v>1</v>
      </c>
      <c r="D343" s="1"/>
      <c r="E343" s="1"/>
    </row>
    <row r="344" spans="1:5" ht="23.1" customHeight="1">
      <c r="A344" s="1" t="s">
        <v>286</v>
      </c>
      <c r="B344" s="1" t="s">
        <v>434</v>
      </c>
      <c r="C344" s="6" t="b">
        <v>1</v>
      </c>
      <c r="D344" s="1"/>
      <c r="E344" s="1"/>
    </row>
    <row r="345" spans="1:5" ht="23.1" customHeight="1">
      <c r="A345" s="1" t="s">
        <v>285</v>
      </c>
      <c r="B345" s="1" t="s">
        <v>434</v>
      </c>
      <c r="C345" s="6" t="b">
        <v>1</v>
      </c>
      <c r="D345" s="1"/>
      <c r="E345" s="1"/>
    </row>
    <row r="346" spans="1:5" ht="23.1" customHeight="1">
      <c r="A346" s="1" t="s">
        <v>417</v>
      </c>
      <c r="B346" s="1" t="s">
        <v>435</v>
      </c>
      <c r="C346" s="6" t="b">
        <v>1</v>
      </c>
      <c r="D346" s="1"/>
      <c r="E346" s="1"/>
    </row>
    <row r="347" spans="1:5" ht="23.1" customHeight="1">
      <c r="A347" s="1" t="s">
        <v>339</v>
      </c>
      <c r="B347" s="1" t="s">
        <v>435</v>
      </c>
      <c r="C347" s="6" t="b">
        <v>1</v>
      </c>
      <c r="D347" s="1"/>
      <c r="E347" s="1"/>
    </row>
    <row r="348" spans="1:5" ht="23.1" customHeight="1">
      <c r="A348" s="1" t="s">
        <v>437</v>
      </c>
      <c r="B348" s="1" t="s">
        <v>436</v>
      </c>
      <c r="C348" s="6" t="b">
        <v>1</v>
      </c>
      <c r="D348" s="1"/>
      <c r="E348" s="1"/>
    </row>
    <row r="349" spans="1:5" ht="23.1" customHeight="1">
      <c r="A349" s="1" t="s">
        <v>435</v>
      </c>
      <c r="B349" s="1" t="s">
        <v>436</v>
      </c>
      <c r="C349" s="6" t="b">
        <v>1</v>
      </c>
      <c r="D349" s="1"/>
      <c r="E349" s="1"/>
    </row>
    <row r="350" spans="1:5" ht="23.1" customHeight="1">
      <c r="A350" s="1" t="s">
        <v>437</v>
      </c>
      <c r="B350" s="1" t="s">
        <v>438</v>
      </c>
      <c r="C350" s="6" t="b">
        <v>1</v>
      </c>
      <c r="D350" s="1"/>
      <c r="E350" s="1"/>
    </row>
    <row r="351" spans="1:5" ht="23.1" customHeight="1">
      <c r="A351" s="1" t="s">
        <v>86</v>
      </c>
      <c r="B351" s="1" t="s">
        <v>439</v>
      </c>
      <c r="C351" s="6" t="b">
        <v>1</v>
      </c>
      <c r="D351" s="1"/>
      <c r="E351" s="1"/>
    </row>
    <row r="352" spans="1:5" ht="23.1" customHeight="1">
      <c r="A352" s="1" t="s">
        <v>438</v>
      </c>
      <c r="B352" s="1" t="s">
        <v>439</v>
      </c>
      <c r="C352" s="6" t="b">
        <v>1</v>
      </c>
      <c r="D352" s="1"/>
      <c r="E352" s="1"/>
    </row>
    <row r="353" spans="1:5" ht="23.1" customHeight="1">
      <c r="A353" s="1" t="s">
        <v>440</v>
      </c>
      <c r="B353" s="1" t="s">
        <v>438</v>
      </c>
      <c r="C353" s="6" t="b">
        <v>1</v>
      </c>
      <c r="D353" s="1"/>
      <c r="E353" s="1"/>
    </row>
    <row r="354" spans="1:5" ht="23.1" customHeight="1">
      <c r="A354" s="1" t="s">
        <v>441</v>
      </c>
      <c r="B354" s="1" t="s">
        <v>440</v>
      </c>
      <c r="C354" s="6" t="b">
        <v>1</v>
      </c>
      <c r="D354" s="1"/>
      <c r="E354" s="1"/>
    </row>
    <row r="355" spans="1:5" ht="23.1" customHeight="1">
      <c r="A355" s="1" t="s">
        <v>418</v>
      </c>
      <c r="B355" s="1" t="s">
        <v>442</v>
      </c>
      <c r="C355" s="6" t="b">
        <v>1</v>
      </c>
      <c r="D355" s="1"/>
      <c r="E355" s="1"/>
    </row>
    <row r="356" spans="1:5" ht="23.1" customHeight="1">
      <c r="A356" s="1" t="s">
        <v>84</v>
      </c>
      <c r="B356" s="1" t="s">
        <v>442</v>
      </c>
      <c r="C356" s="6" t="b">
        <v>1</v>
      </c>
      <c r="D356" s="1"/>
      <c r="E356" s="1"/>
    </row>
    <row r="357" spans="1:5" ht="23.1" customHeight="1">
      <c r="A357" s="1" t="s">
        <v>381</v>
      </c>
      <c r="B357" s="1" t="s">
        <v>443</v>
      </c>
      <c r="C357" s="6" t="b">
        <v>1</v>
      </c>
      <c r="D357" s="1"/>
      <c r="E357" s="1"/>
    </row>
    <row r="358" spans="1:5" ht="23.1" customHeight="1">
      <c r="A358" s="1" t="s">
        <v>394</v>
      </c>
      <c r="B358" s="1" t="s">
        <v>443</v>
      </c>
      <c r="C358" s="6" t="b">
        <v>1</v>
      </c>
      <c r="D358" s="1"/>
      <c r="E358" s="1"/>
    </row>
    <row r="359" spans="1:5" ht="23.1" customHeight="1">
      <c r="A359" s="1" t="s">
        <v>352</v>
      </c>
      <c r="B359" s="1" t="s">
        <v>444</v>
      </c>
      <c r="C359" s="6" t="b">
        <v>1</v>
      </c>
      <c r="D359" s="1"/>
      <c r="E359" s="1"/>
    </row>
    <row r="360" spans="1:5" ht="23.1" customHeight="1">
      <c r="A360" s="1" t="s">
        <v>398</v>
      </c>
      <c r="B360" s="1" t="s">
        <v>444</v>
      </c>
      <c r="C360" s="6" t="b">
        <v>1</v>
      </c>
      <c r="D360" s="1"/>
      <c r="E360" s="1"/>
    </row>
    <row r="361" spans="1:5" ht="23.1" customHeight="1">
      <c r="A361" s="1" t="s">
        <v>354</v>
      </c>
      <c r="B361" s="1" t="s">
        <v>444</v>
      </c>
      <c r="C361" s="6" t="b">
        <v>1</v>
      </c>
      <c r="D361" s="1"/>
      <c r="E361" s="1"/>
    </row>
    <row r="362" spans="1:5" ht="23.1" customHeight="1">
      <c r="A362" s="1" t="s">
        <v>441</v>
      </c>
      <c r="B362" s="1" t="s">
        <v>445</v>
      </c>
      <c r="C362" s="6" t="b">
        <v>1</v>
      </c>
      <c r="D362" s="1"/>
      <c r="E362" s="1"/>
    </row>
    <row r="363" spans="1:5" ht="23.1" customHeight="1">
      <c r="A363" s="1" t="s">
        <v>142</v>
      </c>
      <c r="B363" s="1" t="s">
        <v>445</v>
      </c>
      <c r="C363" s="6" t="b">
        <v>1</v>
      </c>
      <c r="D363" s="1"/>
      <c r="E363" s="1"/>
    </row>
    <row r="364" spans="1:5" ht="23.1" customHeight="1">
      <c r="A364" s="1" t="s">
        <v>192</v>
      </c>
      <c r="B364" s="1" t="s">
        <v>445</v>
      </c>
      <c r="C364" s="6" t="b">
        <v>1</v>
      </c>
      <c r="D364" s="1"/>
      <c r="E364" s="1"/>
    </row>
    <row r="365" spans="1:5" ht="23.1" customHeight="1">
      <c r="A365" s="1" t="s">
        <v>92</v>
      </c>
      <c r="B365" s="1" t="s">
        <v>445</v>
      </c>
      <c r="C365" s="6" t="b">
        <v>1</v>
      </c>
      <c r="D365" s="1"/>
      <c r="E365" s="1"/>
    </row>
    <row r="366" spans="1:5" ht="23.1" customHeight="1">
      <c r="A366" s="1" t="s">
        <v>446</v>
      </c>
      <c r="B366" s="1" t="s">
        <v>445</v>
      </c>
      <c r="C366" s="6" t="b">
        <v>1</v>
      </c>
      <c r="D366" s="1"/>
      <c r="E366" s="1"/>
    </row>
    <row r="367" spans="1:5" ht="23.1" customHeight="1">
      <c r="A367" s="1" t="s">
        <v>92</v>
      </c>
      <c r="B367" s="1" t="s">
        <v>446</v>
      </c>
      <c r="C367" s="6" t="b">
        <v>1</v>
      </c>
      <c r="D367" s="1"/>
      <c r="E367" s="1"/>
    </row>
    <row r="368" spans="1:5" ht="23.1" customHeight="1">
      <c r="A368" s="1" t="s">
        <v>445</v>
      </c>
      <c r="B368" s="1" t="s">
        <v>448</v>
      </c>
      <c r="C368" s="6" t="b">
        <v>1</v>
      </c>
      <c r="D368" s="1"/>
      <c r="E368" s="1"/>
    </row>
    <row r="369" spans="1:5" ht="23.1" customHeight="1">
      <c r="A369" s="1" t="s">
        <v>447</v>
      </c>
      <c r="B369" s="1" t="s">
        <v>449</v>
      </c>
      <c r="C369" s="6" t="b">
        <v>1</v>
      </c>
      <c r="D369" s="1"/>
      <c r="E369" s="1"/>
    </row>
    <row r="370" spans="1:5" ht="23.1" customHeight="1">
      <c r="A370" s="1" t="s">
        <v>448</v>
      </c>
      <c r="B370" s="1" t="s">
        <v>449</v>
      </c>
      <c r="C370" s="6" t="b">
        <v>1</v>
      </c>
      <c r="D370" s="1"/>
      <c r="E370" s="1"/>
    </row>
    <row r="371" spans="1:5" ht="23.1" customHeight="1">
      <c r="A371" s="1" t="s">
        <v>451</v>
      </c>
      <c r="B371" s="1" t="s">
        <v>450</v>
      </c>
      <c r="C371" s="6" t="b">
        <v>1</v>
      </c>
      <c r="D371" s="1"/>
      <c r="E371" s="1"/>
    </row>
    <row r="372" spans="1:5" ht="23.1" customHeight="1">
      <c r="A372" s="1" t="s">
        <v>449</v>
      </c>
      <c r="B372" s="1" t="s">
        <v>450</v>
      </c>
      <c r="C372" s="6" t="b">
        <v>1</v>
      </c>
      <c r="D372" s="1"/>
      <c r="E372" s="1"/>
    </row>
    <row r="373" spans="1:5" ht="23.1" customHeight="1">
      <c r="A373" s="1" t="s">
        <v>452</v>
      </c>
      <c r="B373" s="1" t="s">
        <v>450</v>
      </c>
      <c r="C373" s="6" t="b">
        <v>1</v>
      </c>
      <c r="D373" s="1"/>
      <c r="E373" s="1"/>
    </row>
    <row r="374" spans="1:5" ht="23.1" customHeight="1">
      <c r="A374" s="1" t="s">
        <v>448</v>
      </c>
      <c r="B374" s="1" t="s">
        <v>451</v>
      </c>
      <c r="C374" s="6" t="b">
        <v>1</v>
      </c>
      <c r="D374" s="1"/>
      <c r="E374" s="1"/>
    </row>
    <row r="375" spans="1:5" ht="23.1" customHeight="1">
      <c r="A375" s="1" t="s">
        <v>452</v>
      </c>
      <c r="B375" s="1" t="s">
        <v>442</v>
      </c>
      <c r="C375" s="6" t="b">
        <v>1</v>
      </c>
      <c r="D375" s="1"/>
      <c r="E375" s="1"/>
    </row>
    <row r="376" spans="1:5" ht="23.1" customHeight="1">
      <c r="A376" s="1" t="s">
        <v>212</v>
      </c>
      <c r="B376" s="1" t="s">
        <v>455</v>
      </c>
      <c r="C376" s="6" t="b">
        <v>1</v>
      </c>
      <c r="D376" s="1"/>
      <c r="E376" s="1"/>
    </row>
    <row r="377" spans="1:5" ht="23.1" customHeight="1">
      <c r="A377" s="1" t="s">
        <v>454</v>
      </c>
      <c r="B377" s="1" t="s">
        <v>455</v>
      </c>
      <c r="C377" s="6" t="b">
        <v>1</v>
      </c>
      <c r="D377" s="1"/>
      <c r="E377" s="1"/>
    </row>
    <row r="378" spans="1:5" ht="23.1" customHeight="1">
      <c r="A378" s="1" t="s">
        <v>452</v>
      </c>
      <c r="B378" s="1" t="s">
        <v>453</v>
      </c>
      <c r="C378" s="6" t="b">
        <v>1</v>
      </c>
      <c r="D378" s="1"/>
      <c r="E378" s="1"/>
    </row>
    <row r="379" spans="1:5" ht="23.1" customHeight="1">
      <c r="A379" s="1" t="s">
        <v>442</v>
      </c>
      <c r="B379" s="1" t="s">
        <v>454</v>
      </c>
      <c r="C379" s="6" t="b">
        <v>1</v>
      </c>
      <c r="D379" s="1"/>
      <c r="E379" s="1"/>
    </row>
    <row r="380" spans="1:5" ht="23.1" customHeight="1">
      <c r="A380" s="1" t="s">
        <v>453</v>
      </c>
      <c r="B380" s="1" t="s">
        <v>454</v>
      </c>
      <c r="C380" s="6" t="b">
        <v>1</v>
      </c>
      <c r="D380" s="1"/>
      <c r="E380" s="1"/>
    </row>
    <row r="381" spans="1:5" ht="23.1" customHeight="1">
      <c r="A381" s="1" t="s">
        <v>455</v>
      </c>
      <c r="B381" s="1" t="s">
        <v>457</v>
      </c>
      <c r="C381" s="6" t="b">
        <v>1</v>
      </c>
      <c r="D381" s="1"/>
      <c r="E381" s="1"/>
    </row>
    <row r="382" spans="1:5" ht="23.1" customHeight="1">
      <c r="A382" s="1" t="s">
        <v>375</v>
      </c>
      <c r="B382" s="1" t="s">
        <v>457</v>
      </c>
      <c r="C382" s="6" t="b">
        <v>1</v>
      </c>
      <c r="D382" s="1"/>
      <c r="E382" s="1"/>
    </row>
    <row r="383" spans="1:5" ht="23.1" customHeight="1">
      <c r="A383" s="1" t="s">
        <v>456</v>
      </c>
      <c r="B383" s="1" t="s">
        <v>457</v>
      </c>
      <c r="C383" s="6" t="b">
        <v>1</v>
      </c>
      <c r="D383" s="1"/>
      <c r="E383" s="1"/>
    </row>
    <row r="384" spans="1:5" ht="23.1" customHeight="1">
      <c r="A384" s="1" t="s">
        <v>458</v>
      </c>
      <c r="B384" s="1" t="s">
        <v>88</v>
      </c>
      <c r="C384" s="6" t="b">
        <v>1</v>
      </c>
      <c r="D384" s="1"/>
      <c r="E384" s="1"/>
    </row>
    <row r="385" spans="1:5" ht="23.1" customHeight="1">
      <c r="A385" s="1" t="s">
        <v>459</v>
      </c>
      <c r="B385" s="1" t="s">
        <v>458</v>
      </c>
      <c r="C385" s="6" t="b">
        <v>1</v>
      </c>
      <c r="D385" s="1"/>
      <c r="E385" s="1"/>
    </row>
    <row r="386" spans="1:5" ht="23.1" customHeight="1">
      <c r="A386" s="1" t="s">
        <v>462</v>
      </c>
      <c r="B386" s="1" t="s">
        <v>456</v>
      </c>
      <c r="C386" s="6" t="b">
        <v>1</v>
      </c>
      <c r="D386" s="1"/>
      <c r="E386" s="1"/>
    </row>
    <row r="387" spans="1:5" ht="23.1" customHeight="1">
      <c r="A387" s="1" t="s">
        <v>461</v>
      </c>
      <c r="B387" s="1" t="s">
        <v>462</v>
      </c>
      <c r="C387" s="6" t="b">
        <v>1</v>
      </c>
      <c r="D387" s="1"/>
      <c r="E387" s="1"/>
    </row>
    <row r="388" spans="1:5" ht="23.1" customHeight="1">
      <c r="A388" s="1" t="s">
        <v>459</v>
      </c>
      <c r="B388" s="1" t="s">
        <v>461</v>
      </c>
      <c r="C388" s="6" t="b">
        <v>1</v>
      </c>
      <c r="D388" s="1"/>
      <c r="E388" s="1"/>
    </row>
    <row r="389" spans="1:5" ht="23.1" customHeight="1">
      <c r="A389" s="1" t="s">
        <v>458</v>
      </c>
      <c r="B389" s="1" t="s">
        <v>456</v>
      </c>
      <c r="C389" s="6" t="b">
        <v>1</v>
      </c>
      <c r="D389" s="1"/>
      <c r="E389" s="1"/>
    </row>
    <row r="390" spans="1:5" ht="23.1" customHeight="1">
      <c r="A390" s="1" t="s">
        <v>460</v>
      </c>
      <c r="B390" s="1" t="s">
        <v>461</v>
      </c>
      <c r="C390" s="6" t="b">
        <v>1</v>
      </c>
      <c r="D390" s="1"/>
      <c r="E390" s="1"/>
    </row>
    <row r="391" spans="1:5" ht="23.1" customHeight="1">
      <c r="A391" s="1" t="s">
        <v>463</v>
      </c>
      <c r="B391" s="1" t="s">
        <v>460</v>
      </c>
      <c r="C391" s="6" t="b">
        <v>1</v>
      </c>
      <c r="D391" s="1"/>
      <c r="E391" s="1"/>
    </row>
    <row r="392" spans="1:5" ht="23.1" customHeight="1">
      <c r="A392" s="1" t="s">
        <v>453</v>
      </c>
      <c r="B392" s="1" t="s">
        <v>464</v>
      </c>
      <c r="C392" s="6" t="b">
        <v>1</v>
      </c>
      <c r="D392" s="1"/>
      <c r="E392" s="1"/>
    </row>
    <row r="393" spans="1:5" ht="23.1" customHeight="1">
      <c r="A393" s="1" t="s">
        <v>454</v>
      </c>
      <c r="B393" s="1" t="s">
        <v>464</v>
      </c>
      <c r="C393" s="6" t="b">
        <v>1</v>
      </c>
      <c r="D393" s="1"/>
      <c r="E393" s="1"/>
    </row>
    <row r="394" spans="1:5" ht="23.1" customHeight="1">
      <c r="A394" s="1" t="s">
        <v>463</v>
      </c>
      <c r="B394" s="1" t="s">
        <v>464</v>
      </c>
      <c r="C394" s="6" t="b">
        <v>1</v>
      </c>
      <c r="D394" s="1"/>
      <c r="E394" s="1"/>
    </row>
    <row r="395" spans="1:5" ht="23.1" customHeight="1">
      <c r="A395" s="1" t="s">
        <v>460</v>
      </c>
      <c r="B395" s="1" t="s">
        <v>467</v>
      </c>
      <c r="C395" s="6" t="b">
        <v>1</v>
      </c>
      <c r="D395" s="1"/>
      <c r="E395" s="1"/>
    </row>
    <row r="396" spans="1:5" ht="23.1" customHeight="1">
      <c r="A396" s="1" t="s">
        <v>466</v>
      </c>
      <c r="B396" s="1" t="s">
        <v>467</v>
      </c>
      <c r="C396" s="6" t="b">
        <v>1</v>
      </c>
      <c r="D396" s="1"/>
      <c r="E396" s="1"/>
    </row>
    <row r="397" spans="1:5" ht="23.1" customHeight="1">
      <c r="A397" s="1" t="s">
        <v>465</v>
      </c>
      <c r="B397" s="1" t="s">
        <v>467</v>
      </c>
      <c r="C397" s="6" t="b">
        <v>1</v>
      </c>
      <c r="D397" s="1"/>
      <c r="E397" s="1"/>
    </row>
    <row r="398" spans="1:5" ht="23.1" customHeight="1">
      <c r="A398" s="1" t="s">
        <v>443</v>
      </c>
      <c r="B398" s="1" t="s">
        <v>469</v>
      </c>
      <c r="C398" s="6" t="b">
        <v>1</v>
      </c>
      <c r="D398" s="1"/>
      <c r="E398" s="1"/>
    </row>
    <row r="399" spans="1:5" ht="23.1" customHeight="1">
      <c r="A399" s="1" t="s">
        <v>465</v>
      </c>
      <c r="B399" s="1" t="s">
        <v>468</v>
      </c>
      <c r="C399" s="6" t="b">
        <v>1</v>
      </c>
      <c r="D399" s="1"/>
      <c r="E399" s="1"/>
    </row>
    <row r="400" spans="1:5" ht="23.1" customHeight="1">
      <c r="A400" s="1" t="s">
        <v>470</v>
      </c>
      <c r="B400" s="1" t="s">
        <v>468</v>
      </c>
      <c r="C400" s="6" t="b">
        <v>1</v>
      </c>
      <c r="D400" s="1"/>
      <c r="E400" s="1"/>
    </row>
    <row r="401" spans="1:5" ht="23.1" customHeight="1">
      <c r="A401" s="1" t="s">
        <v>469</v>
      </c>
      <c r="B401" s="1" t="s">
        <v>470</v>
      </c>
      <c r="C401" s="6" t="b">
        <v>1</v>
      </c>
      <c r="D401" s="1"/>
      <c r="E401" s="1"/>
    </row>
    <row r="402" spans="1:5" ht="23.1" customHeight="1">
      <c r="A402" s="1" t="s">
        <v>471</v>
      </c>
      <c r="B402" s="1" t="s">
        <v>472</v>
      </c>
      <c r="C402" s="6" t="b">
        <v>1</v>
      </c>
      <c r="D402" s="1"/>
      <c r="E402" s="1"/>
    </row>
    <row r="403" spans="1:5" ht="23.1" customHeight="1">
      <c r="A403" s="1" t="s">
        <v>473</v>
      </c>
      <c r="B403" s="1" t="s">
        <v>477</v>
      </c>
      <c r="C403" s="6" t="b">
        <v>1</v>
      </c>
      <c r="D403" s="1"/>
      <c r="E403" s="1"/>
    </row>
    <row r="404" spans="1:5" ht="23.1" customHeight="1">
      <c r="A404" s="1" t="s">
        <v>472</v>
      </c>
      <c r="B404" s="1" t="s">
        <v>477</v>
      </c>
      <c r="C404" s="6" t="b">
        <v>1</v>
      </c>
      <c r="D404" s="1"/>
      <c r="E404" s="1"/>
    </row>
    <row r="405" spans="1:5" ht="23.1" customHeight="1">
      <c r="A405" s="1" t="s">
        <v>476</v>
      </c>
      <c r="B405" s="1" t="s">
        <v>477</v>
      </c>
      <c r="C405" s="6" t="b">
        <v>1</v>
      </c>
      <c r="D405" s="1"/>
      <c r="E405" s="1"/>
    </row>
    <row r="406" spans="1:5" ht="23.1" customHeight="1">
      <c r="A406" s="1" t="s">
        <v>475</v>
      </c>
      <c r="B406" s="1" t="s">
        <v>476</v>
      </c>
      <c r="C406" s="6" t="b">
        <v>1</v>
      </c>
      <c r="D406" s="1"/>
      <c r="E406" s="1"/>
    </row>
    <row r="407" spans="1:5" ht="23.1" customHeight="1">
      <c r="A407" s="1" t="s">
        <v>474</v>
      </c>
      <c r="B407" s="1" t="s">
        <v>475</v>
      </c>
      <c r="C407" s="6" t="b">
        <v>1</v>
      </c>
      <c r="D407" s="1"/>
      <c r="E407" s="1"/>
    </row>
    <row r="408" spans="1:5" ht="23.1" customHeight="1">
      <c r="A408" s="1" t="s">
        <v>473</v>
      </c>
      <c r="B408" s="1" t="s">
        <v>474</v>
      </c>
      <c r="C408" s="6" t="b">
        <v>1</v>
      </c>
      <c r="D408" s="1"/>
      <c r="E408" s="1"/>
    </row>
    <row r="409" spans="1:5" ht="23.1" customHeight="1">
      <c r="A409" s="1" t="s">
        <v>476</v>
      </c>
      <c r="B409" s="1" t="s">
        <v>132</v>
      </c>
      <c r="C409" s="6" t="b">
        <v>1</v>
      </c>
      <c r="D409" s="1"/>
      <c r="E409" s="1"/>
    </row>
    <row r="410" spans="1:5" ht="23.1" customHeight="1">
      <c r="A410" s="1" t="s">
        <v>447</v>
      </c>
      <c r="B410" s="1" t="s">
        <v>479</v>
      </c>
      <c r="C410" s="6" t="b">
        <v>1</v>
      </c>
      <c r="D410" s="1"/>
      <c r="E410" s="1"/>
    </row>
    <row r="411" spans="1:5" ht="23.1" customHeight="1">
      <c r="A411" s="1" t="s">
        <v>474</v>
      </c>
      <c r="B411" s="1" t="s">
        <v>479</v>
      </c>
      <c r="C411" s="6" t="b">
        <v>1</v>
      </c>
      <c r="D411" s="1"/>
      <c r="E411" s="1"/>
    </row>
    <row r="412" spans="1:5" ht="23.1" customHeight="1">
      <c r="A412" s="1" t="s">
        <v>446</v>
      </c>
      <c r="B412" s="1" t="s">
        <v>479</v>
      </c>
      <c r="C412" s="6" t="b">
        <v>1</v>
      </c>
      <c r="D412" s="1"/>
      <c r="E412" s="1"/>
    </row>
    <row r="413" spans="1:5" ht="23.1" customHeight="1">
      <c r="A413" s="1" t="s">
        <v>447</v>
      </c>
      <c r="B413" s="1" t="s">
        <v>478</v>
      </c>
      <c r="C413" s="6" t="b">
        <v>1</v>
      </c>
      <c r="D413" s="1"/>
      <c r="E413" s="1"/>
    </row>
    <row r="414" spans="1:5" ht="23.1" customHeight="1">
      <c r="A414" s="1" t="s">
        <v>471</v>
      </c>
      <c r="B414" s="1" t="s">
        <v>478</v>
      </c>
      <c r="C414" s="6" t="b">
        <v>1</v>
      </c>
      <c r="D414" s="1"/>
      <c r="E414" s="1"/>
    </row>
    <row r="415" spans="1:5" ht="23.1" customHeight="1">
      <c r="A415" s="1" t="s">
        <v>477</v>
      </c>
      <c r="B415" s="1" t="s">
        <v>478</v>
      </c>
      <c r="C415" s="6" t="b">
        <v>1</v>
      </c>
      <c r="D415" s="1"/>
      <c r="E415" s="1"/>
    </row>
    <row r="416" spans="1:5" ht="23.1" customHeight="1">
      <c r="A416" s="1" t="s">
        <v>471</v>
      </c>
      <c r="B416" s="1" t="s">
        <v>483</v>
      </c>
      <c r="C416" s="6" t="b">
        <v>1</v>
      </c>
      <c r="D416" s="1"/>
      <c r="E416" s="1"/>
    </row>
    <row r="417" spans="1:5" ht="23.1" customHeight="1">
      <c r="A417" s="1" t="s">
        <v>138</v>
      </c>
      <c r="B417" s="1" t="s">
        <v>482</v>
      </c>
      <c r="C417" s="6" t="b">
        <v>1</v>
      </c>
      <c r="D417" s="1"/>
      <c r="E417" s="1"/>
    </row>
    <row r="418" spans="1:5" ht="23.1" customHeight="1">
      <c r="A418" s="1" t="s">
        <v>483</v>
      </c>
      <c r="B418" s="1" t="s">
        <v>482</v>
      </c>
      <c r="C418" s="6" t="b">
        <v>1</v>
      </c>
      <c r="D418" s="1"/>
      <c r="E418" s="1"/>
    </row>
    <row r="419" spans="1:5" ht="23.1" customHeight="1">
      <c r="A419" s="1" t="s">
        <v>481</v>
      </c>
      <c r="B419" s="1" t="s">
        <v>482</v>
      </c>
      <c r="C419" s="6" t="b">
        <v>1</v>
      </c>
      <c r="D419" s="1"/>
      <c r="E419" s="1"/>
    </row>
    <row r="420" spans="1:5" ht="23.1" customHeight="1">
      <c r="A420" s="1" t="s">
        <v>480</v>
      </c>
      <c r="B420" s="1" t="s">
        <v>481</v>
      </c>
      <c r="C420" s="6" t="b">
        <v>1</v>
      </c>
      <c r="D420" s="1"/>
      <c r="E420" s="1"/>
    </row>
    <row r="421" spans="1:5" ht="23.1" customHeight="1">
      <c r="A421" s="1" t="s">
        <v>472</v>
      </c>
      <c r="B421" s="1" t="s">
        <v>480</v>
      </c>
      <c r="C421" s="6" t="b">
        <v>1</v>
      </c>
      <c r="D421" s="1"/>
      <c r="E421" s="1"/>
    </row>
    <row r="422" spans="1:5" ht="23.1" customHeight="1">
      <c r="A422" s="1" t="s">
        <v>483</v>
      </c>
      <c r="B422" s="1" t="s">
        <v>217</v>
      </c>
      <c r="C422" s="6" t="b">
        <v>1</v>
      </c>
      <c r="D422" s="1"/>
      <c r="E422" s="1"/>
    </row>
    <row r="423" spans="1:5" ht="23.1" customHeight="1">
      <c r="A423" s="1" t="s">
        <v>438</v>
      </c>
      <c r="B423" s="1" t="s">
        <v>486</v>
      </c>
      <c r="C423" s="6" t="b">
        <v>1</v>
      </c>
      <c r="D423" s="1"/>
      <c r="E423" s="1"/>
    </row>
    <row r="424" spans="1:5" ht="23.1" customHeight="1">
      <c r="A424" s="1" t="s">
        <v>485</v>
      </c>
      <c r="B424" s="1" t="s">
        <v>486</v>
      </c>
      <c r="C424" s="6" t="b">
        <v>1</v>
      </c>
      <c r="D424" s="1"/>
      <c r="E424" s="1"/>
    </row>
    <row r="425" spans="1:5" ht="23.1" customHeight="1">
      <c r="A425" s="1" t="s">
        <v>484</v>
      </c>
      <c r="B425" s="1" t="s">
        <v>485</v>
      </c>
      <c r="C425" s="6" t="b">
        <v>1</v>
      </c>
      <c r="D425" s="1"/>
      <c r="E425" s="1"/>
    </row>
    <row r="426" spans="1:5" ht="23.1" customHeight="1">
      <c r="A426" s="1" t="s">
        <v>480</v>
      </c>
      <c r="B426" s="1" t="s">
        <v>484</v>
      </c>
      <c r="C426" s="6" t="b">
        <v>1</v>
      </c>
      <c r="D426" s="1"/>
      <c r="E426" s="1"/>
    </row>
    <row r="427" spans="1:5" ht="23.1" customHeight="1">
      <c r="A427" s="1" t="s">
        <v>225</v>
      </c>
      <c r="B427" s="1" t="s">
        <v>98</v>
      </c>
      <c r="C427" s="6" t="b">
        <v>1</v>
      </c>
      <c r="D427" s="1"/>
      <c r="E427" s="1"/>
    </row>
    <row r="428" spans="1:5" ht="23.1" customHeight="1">
      <c r="A428" s="1" t="s">
        <v>487</v>
      </c>
      <c r="B428" s="1" t="s">
        <v>225</v>
      </c>
      <c r="C428" s="6" t="b">
        <v>1</v>
      </c>
      <c r="D428" s="1"/>
      <c r="E428" s="1"/>
    </row>
    <row r="429" spans="1:5" ht="23.1" customHeight="1">
      <c r="A429" s="1" t="s">
        <v>239</v>
      </c>
      <c r="B429" s="1" t="s">
        <v>487</v>
      </c>
      <c r="C429" s="6" t="b">
        <v>1</v>
      </c>
      <c r="D429" s="1"/>
      <c r="E429" s="1"/>
    </row>
    <row r="430" spans="1:5" ht="23.1" customHeight="1">
      <c r="A430" s="1" t="s">
        <v>488</v>
      </c>
      <c r="B430" s="1" t="s">
        <v>487</v>
      </c>
      <c r="C430" s="6" t="b">
        <v>1</v>
      </c>
      <c r="D430" s="1"/>
      <c r="E430" s="1"/>
    </row>
    <row r="431" spans="1:5" ht="23.1" customHeight="1">
      <c r="A431" s="1" t="s">
        <v>488</v>
      </c>
      <c r="B431" s="1" t="s">
        <v>98</v>
      </c>
      <c r="C431" s="6" t="b">
        <v>1</v>
      </c>
      <c r="D431" s="1"/>
      <c r="E431" s="1"/>
    </row>
    <row r="432" spans="1:5" ht="23.1" customHeight="1">
      <c r="A432" s="1" t="s">
        <v>488</v>
      </c>
      <c r="B432" s="1" t="s">
        <v>489</v>
      </c>
      <c r="C432" s="6" t="b">
        <v>1</v>
      </c>
      <c r="D432" s="1"/>
      <c r="E432" s="1"/>
    </row>
    <row r="433" spans="1:5" ht="23.1" customHeight="1">
      <c r="A433" s="1" t="s">
        <v>98</v>
      </c>
      <c r="B433" s="1" t="s">
        <v>491</v>
      </c>
      <c r="C433" s="6" t="b">
        <v>1</v>
      </c>
      <c r="D433" s="1"/>
      <c r="E433" s="1"/>
    </row>
    <row r="434" spans="1:5" ht="23.1" customHeight="1">
      <c r="A434" s="1" t="s">
        <v>489</v>
      </c>
      <c r="B434" s="1" t="s">
        <v>490</v>
      </c>
      <c r="C434" s="6" t="b">
        <v>1</v>
      </c>
      <c r="D434" s="1"/>
      <c r="E434" s="1"/>
    </row>
    <row r="435" spans="1:5" ht="23.1" customHeight="1">
      <c r="A435" s="1" t="s">
        <v>491</v>
      </c>
      <c r="B435" s="1" t="s">
        <v>490</v>
      </c>
      <c r="C435" s="6" t="b">
        <v>1</v>
      </c>
      <c r="D435" s="1"/>
      <c r="E435" s="1"/>
    </row>
    <row r="436" spans="1:5" ht="23.1" customHeight="1">
      <c r="A436" s="1" t="s">
        <v>492</v>
      </c>
      <c r="B436" s="1" t="s">
        <v>491</v>
      </c>
      <c r="C436" s="6" t="b">
        <v>1</v>
      </c>
      <c r="D436" s="1"/>
      <c r="E436" s="1"/>
    </row>
    <row r="437" spans="1:5" ht="23.1" customHeight="1">
      <c r="A437" s="1" t="s">
        <v>494</v>
      </c>
      <c r="B437" s="1" t="s">
        <v>493</v>
      </c>
      <c r="C437" s="6" t="b">
        <v>1</v>
      </c>
      <c r="D437" s="1"/>
      <c r="E437" s="1"/>
    </row>
    <row r="438" spans="1:5" ht="23.1" customHeight="1">
      <c r="A438" s="1" t="s">
        <v>492</v>
      </c>
      <c r="B438" s="1" t="s">
        <v>493</v>
      </c>
      <c r="C438" s="6" t="b">
        <v>1</v>
      </c>
      <c r="D438" s="1"/>
      <c r="E438" s="1"/>
    </row>
    <row r="439" spans="1:5" ht="23.1" customHeight="1">
      <c r="A439" s="1" t="s">
        <v>496</v>
      </c>
      <c r="B439" s="1" t="s">
        <v>495</v>
      </c>
      <c r="C439" s="6" t="b">
        <v>1</v>
      </c>
      <c r="D439" s="1"/>
      <c r="E439" s="1"/>
    </row>
    <row r="440" spans="1:5" ht="23.1" customHeight="1">
      <c r="A440" s="1" t="s">
        <v>494</v>
      </c>
      <c r="B440" s="1" t="s">
        <v>495</v>
      </c>
      <c r="C440" s="6" t="b">
        <v>1</v>
      </c>
      <c r="D440" s="1"/>
      <c r="E440" s="1"/>
    </row>
    <row r="441" spans="1:5" ht="23.1" customHeight="1">
      <c r="A441" s="1" t="s">
        <v>496</v>
      </c>
      <c r="B441" s="1" t="s">
        <v>497</v>
      </c>
      <c r="C441" s="6" t="b">
        <v>1</v>
      </c>
      <c r="D441" s="1"/>
      <c r="E441" s="1"/>
    </row>
    <row r="442" spans="1:5" ht="23.1" customHeight="1">
      <c r="A442" s="1" t="s">
        <v>498</v>
      </c>
      <c r="B442" s="1" t="s">
        <v>497</v>
      </c>
      <c r="C442" s="6" t="b">
        <v>1</v>
      </c>
      <c r="D442" s="1"/>
      <c r="E442" s="1"/>
    </row>
    <row r="443" spans="1:5" ht="23.1" customHeight="1">
      <c r="A443" s="1" t="s">
        <v>236</v>
      </c>
      <c r="B443" s="1" t="s">
        <v>501</v>
      </c>
      <c r="C443" s="6" t="b">
        <v>1</v>
      </c>
      <c r="D443" s="1"/>
      <c r="E443" s="1"/>
    </row>
    <row r="444" spans="1:5" ht="23.1" customHeight="1">
      <c r="A444" s="1" t="s">
        <v>499</v>
      </c>
      <c r="B444" s="1" t="s">
        <v>501</v>
      </c>
      <c r="C444" s="6" t="b">
        <v>1</v>
      </c>
      <c r="D444" s="1"/>
      <c r="E444" s="1"/>
    </row>
    <row r="445" spans="1:5" ht="23.1" customHeight="1">
      <c r="A445" s="1" t="s">
        <v>216</v>
      </c>
      <c r="B445" s="1" t="s">
        <v>501</v>
      </c>
      <c r="C445" s="6" t="b">
        <v>1</v>
      </c>
      <c r="D445" s="1"/>
      <c r="E445" s="1"/>
    </row>
    <row r="446" spans="1:5" ht="23.1" customHeight="1">
      <c r="A446" s="1" t="s">
        <v>500</v>
      </c>
      <c r="B446" s="1" t="s">
        <v>499</v>
      </c>
      <c r="C446" s="6" t="b">
        <v>1</v>
      </c>
      <c r="D446" s="1"/>
      <c r="E446" s="1"/>
    </row>
    <row r="447" spans="1:5" ht="23.1" customHeight="1">
      <c r="A447" s="1" t="s">
        <v>216</v>
      </c>
      <c r="B447" s="1" t="s">
        <v>500</v>
      </c>
      <c r="C447" s="6" t="b">
        <v>1</v>
      </c>
      <c r="D447" s="1"/>
      <c r="E447" s="1"/>
    </row>
    <row r="448" spans="1:5" ht="23.1" customHeight="1">
      <c r="A448" s="1" t="s">
        <v>498</v>
      </c>
      <c r="B448" s="1" t="s">
        <v>500</v>
      </c>
      <c r="C448" s="6" t="b">
        <v>1</v>
      </c>
      <c r="D448" s="1"/>
      <c r="E448" s="1"/>
    </row>
    <row r="449" spans="1:5" ht="23.1" customHeight="1">
      <c r="A449" s="1" t="s">
        <v>494</v>
      </c>
      <c r="B449" s="1" t="s">
        <v>502</v>
      </c>
      <c r="C449" s="6" t="b">
        <v>1</v>
      </c>
      <c r="D449" s="1"/>
      <c r="E449" s="1"/>
    </row>
    <row r="450" spans="1:5" ht="23.1" customHeight="1">
      <c r="A450" s="1" t="s">
        <v>503</v>
      </c>
      <c r="B450" s="1" t="s">
        <v>502</v>
      </c>
      <c r="C450" s="6" t="b">
        <v>1</v>
      </c>
      <c r="D450" s="1"/>
      <c r="E450" s="1"/>
    </row>
    <row r="451" spans="1:5" ht="23.1" customHeight="1">
      <c r="A451" s="1" t="s">
        <v>236</v>
      </c>
      <c r="B451" s="1" t="s">
        <v>503</v>
      </c>
      <c r="C451" s="6" t="b">
        <v>1</v>
      </c>
      <c r="D451" s="1"/>
      <c r="E451" s="1"/>
    </row>
    <row r="452" spans="1:5" ht="23.1" customHeight="1">
      <c r="A452" s="1" t="s">
        <v>225</v>
      </c>
      <c r="B452" s="1" t="s">
        <v>503</v>
      </c>
      <c r="C452" s="6" t="b">
        <v>1</v>
      </c>
      <c r="D452" s="1"/>
      <c r="E452" s="1"/>
    </row>
    <row r="453" spans="1:5" ht="23.1" customHeight="1">
      <c r="A453" s="1" t="s">
        <v>502</v>
      </c>
      <c r="B453" s="1" t="s">
        <v>98</v>
      </c>
      <c r="C453" s="6" t="b">
        <v>1</v>
      </c>
      <c r="D453" s="1"/>
      <c r="E453" s="1"/>
    </row>
    <row r="454" spans="1:5" ht="23.1" customHeight="1">
      <c r="A454" s="1" t="s">
        <v>504</v>
      </c>
      <c r="B454" s="1" t="s">
        <v>498</v>
      </c>
      <c r="C454" s="6" t="b">
        <v>1</v>
      </c>
      <c r="D454" s="1"/>
      <c r="E454" s="1"/>
    </row>
    <row r="455" spans="1:5" ht="23.1" customHeight="1">
      <c r="A455" s="1" t="s">
        <v>504</v>
      </c>
      <c r="B455" s="1" t="s">
        <v>496</v>
      </c>
      <c r="C455" s="6" t="b">
        <v>1</v>
      </c>
      <c r="D455" s="1"/>
      <c r="E455" s="1"/>
    </row>
    <row r="456" spans="1:5" ht="23.1" customHeight="1">
      <c r="A456" s="1" t="s">
        <v>505</v>
      </c>
      <c r="B456" s="1" t="s">
        <v>140</v>
      </c>
      <c r="C456" s="6" t="b">
        <v>1</v>
      </c>
      <c r="D456" s="1"/>
      <c r="E456" s="1"/>
    </row>
    <row r="457" spans="1:5" ht="23.1" customHeight="1">
      <c r="A457" s="1" t="s">
        <v>508</v>
      </c>
      <c r="B457" s="1" t="s">
        <v>140</v>
      </c>
      <c r="C457" s="6" t="b">
        <v>1</v>
      </c>
      <c r="D457" s="1"/>
      <c r="E457" s="1"/>
    </row>
    <row r="458" spans="1:5" ht="23.1" customHeight="1">
      <c r="A458" s="1" t="s">
        <v>496</v>
      </c>
      <c r="B458" s="1" t="s">
        <v>508</v>
      </c>
      <c r="C458" s="6" t="b">
        <v>1</v>
      </c>
      <c r="D458" s="1"/>
      <c r="E458" s="1"/>
    </row>
    <row r="459" spans="1:5" ht="23.1" customHeight="1">
      <c r="A459" s="1" t="s">
        <v>507</v>
      </c>
      <c r="B459" s="1" t="s">
        <v>508</v>
      </c>
      <c r="C459" s="6" t="b">
        <v>1</v>
      </c>
      <c r="D459" s="1"/>
      <c r="E459" s="1"/>
    </row>
    <row r="460" spans="1:5" ht="23.1" customHeight="1">
      <c r="A460" s="1" t="s">
        <v>506</v>
      </c>
      <c r="B460" s="1" t="s">
        <v>507</v>
      </c>
      <c r="C460" s="6" t="b">
        <v>1</v>
      </c>
      <c r="D460" s="1"/>
      <c r="E460" s="1"/>
    </row>
    <row r="461" spans="1:5" ht="23.1" customHeight="1">
      <c r="A461" s="1" t="s">
        <v>504</v>
      </c>
      <c r="B461" s="1" t="s">
        <v>505</v>
      </c>
      <c r="C461" s="6" t="b">
        <v>1</v>
      </c>
      <c r="D461" s="1"/>
      <c r="E461" s="1"/>
    </row>
    <row r="462" spans="1:5" ht="23.1" customHeight="1">
      <c r="A462" s="1" t="s">
        <v>506</v>
      </c>
      <c r="B462" s="1" t="s">
        <v>505</v>
      </c>
      <c r="C462" s="6" t="b">
        <v>1</v>
      </c>
      <c r="D462" s="1"/>
      <c r="E462" s="1"/>
    </row>
    <row r="463" spans="1:5" ht="23.1" customHeight="1">
      <c r="A463" s="1" t="s">
        <v>495</v>
      </c>
      <c r="B463" s="1" t="s">
        <v>509</v>
      </c>
      <c r="C463" s="6" t="b">
        <v>1</v>
      </c>
      <c r="D463" s="1"/>
      <c r="E463" s="1"/>
    </row>
    <row r="464" spans="1:5" ht="23.1" customHeight="1">
      <c r="A464" s="1" t="s">
        <v>507</v>
      </c>
      <c r="B464" s="1" t="s">
        <v>511</v>
      </c>
      <c r="C464" s="6" t="b">
        <v>1</v>
      </c>
      <c r="D464" s="1"/>
      <c r="E464" s="1"/>
    </row>
    <row r="465" spans="1:5" ht="23.1" customHeight="1">
      <c r="A465" s="1" t="s">
        <v>509</v>
      </c>
      <c r="B465" s="1" t="s">
        <v>511</v>
      </c>
      <c r="C465" s="6" t="b">
        <v>1</v>
      </c>
      <c r="D465" s="1"/>
      <c r="E465" s="1"/>
    </row>
    <row r="466" spans="1:5" ht="23.1" customHeight="1">
      <c r="A466" s="1" t="s">
        <v>510</v>
      </c>
      <c r="B466" s="1" t="s">
        <v>511</v>
      </c>
      <c r="C466" s="6" t="b">
        <v>1</v>
      </c>
      <c r="D466" s="1"/>
      <c r="E466" s="1"/>
    </row>
    <row r="467" spans="1:5" ht="23.1" customHeight="1">
      <c r="A467" s="1" t="s">
        <v>510</v>
      </c>
      <c r="B467" s="1" t="s">
        <v>512</v>
      </c>
      <c r="C467" s="6" t="b">
        <v>1</v>
      </c>
      <c r="D467" s="1"/>
      <c r="E467" s="1"/>
    </row>
    <row r="468" spans="1:5" ht="23.1" customHeight="1">
      <c r="A468" s="1" t="s">
        <v>172</v>
      </c>
      <c r="B468" s="1" t="s">
        <v>513</v>
      </c>
      <c r="C468" s="6" t="b">
        <v>1</v>
      </c>
      <c r="D468" s="1"/>
      <c r="E468" s="1"/>
    </row>
    <row r="469" spans="1:5" ht="23.1" customHeight="1">
      <c r="A469" s="1" t="s">
        <v>512</v>
      </c>
      <c r="B469" s="1" t="s">
        <v>513</v>
      </c>
      <c r="C469" s="6" t="b">
        <v>1</v>
      </c>
      <c r="D469" s="1"/>
      <c r="E469" s="1"/>
    </row>
    <row r="470" spans="1:5" ht="23.1" customHeight="1">
      <c r="A470" s="1" t="s">
        <v>514</v>
      </c>
      <c r="B470" s="1" t="s">
        <v>513</v>
      </c>
      <c r="C470" s="6" t="b">
        <v>1</v>
      </c>
      <c r="D470" s="1"/>
      <c r="E470" s="1"/>
    </row>
    <row r="471" spans="1:5" ht="23.1" customHeight="1">
      <c r="A471" s="1" t="s">
        <v>515</v>
      </c>
      <c r="B471" s="1" t="s">
        <v>514</v>
      </c>
      <c r="C471" s="6" t="b">
        <v>1</v>
      </c>
      <c r="D471" s="1"/>
      <c r="E471" s="1"/>
    </row>
    <row r="472" spans="1:5" ht="23.1" customHeight="1">
      <c r="A472" s="1" t="s">
        <v>490</v>
      </c>
      <c r="B472" s="1" t="s">
        <v>515</v>
      </c>
      <c r="C472" s="6" t="b">
        <v>1</v>
      </c>
      <c r="D472" s="1"/>
      <c r="E472" s="1"/>
    </row>
    <row r="473" spans="1:5" ht="23.1" customHeight="1">
      <c r="A473" s="1" t="s">
        <v>512</v>
      </c>
      <c r="B473" s="1" t="s">
        <v>516</v>
      </c>
      <c r="C473" s="6" t="b">
        <v>1</v>
      </c>
      <c r="D473" s="1"/>
      <c r="E473" s="1"/>
    </row>
    <row r="474" spans="1:5" ht="23.1" customHeight="1">
      <c r="A474" s="1" t="s">
        <v>517</v>
      </c>
      <c r="B474" s="1" t="s">
        <v>516</v>
      </c>
      <c r="C474" s="6" t="b">
        <v>1</v>
      </c>
      <c r="D474" s="1"/>
      <c r="E474" s="1"/>
    </row>
    <row r="475" spans="1:5" ht="23.1" customHeight="1">
      <c r="A475" s="1" t="s">
        <v>519</v>
      </c>
      <c r="B475" s="1" t="s">
        <v>518</v>
      </c>
      <c r="C475" s="6" t="b">
        <v>1</v>
      </c>
      <c r="D475" s="1"/>
      <c r="E475" s="1"/>
    </row>
    <row r="476" spans="1:5" ht="23.1" customHeight="1">
      <c r="A476" s="1" t="s">
        <v>517</v>
      </c>
      <c r="B476" s="1" t="s">
        <v>518</v>
      </c>
      <c r="C476" s="6" t="b">
        <v>1</v>
      </c>
      <c r="D476" s="1"/>
      <c r="E476" s="1"/>
    </row>
    <row r="477" spans="1:5" ht="23.1" customHeight="1">
      <c r="A477" s="1" t="s">
        <v>510</v>
      </c>
      <c r="B477" s="1" t="s">
        <v>520</v>
      </c>
      <c r="C477" s="6" t="b">
        <v>1</v>
      </c>
      <c r="D477" s="1"/>
      <c r="E477" s="1"/>
    </row>
    <row r="478" spans="1:5" ht="23.1" customHeight="1">
      <c r="A478" s="1" t="s">
        <v>521</v>
      </c>
      <c r="B478" s="1" t="s">
        <v>520</v>
      </c>
      <c r="C478" s="6" t="b">
        <v>1</v>
      </c>
      <c r="D478" s="1"/>
      <c r="E478" s="1"/>
    </row>
    <row r="479" spans="1:5" ht="23.1" customHeight="1">
      <c r="A479" s="1" t="s">
        <v>122</v>
      </c>
      <c r="B479" s="1" t="s">
        <v>521</v>
      </c>
      <c r="C479" s="6" t="b">
        <v>1</v>
      </c>
      <c r="D479" s="1"/>
      <c r="E479" s="1"/>
    </row>
    <row r="480" spans="1:5" ht="23.1" customHeight="1">
      <c r="A480" s="1" t="s">
        <v>522</v>
      </c>
      <c r="B480" s="1" t="s">
        <v>521</v>
      </c>
      <c r="C480" s="6" t="b">
        <v>1</v>
      </c>
      <c r="D480" s="1"/>
      <c r="E480" s="1"/>
    </row>
    <row r="481" spans="1:5" ht="23.1" customHeight="1">
      <c r="A481" s="1" t="s">
        <v>506</v>
      </c>
      <c r="B481" s="1" t="s">
        <v>522</v>
      </c>
      <c r="C481" s="6" t="b">
        <v>1</v>
      </c>
      <c r="D481" s="1"/>
      <c r="E481" s="1"/>
    </row>
    <row r="482" spans="1:5" ht="23.1" customHeight="1">
      <c r="A482" s="1" t="s">
        <v>519</v>
      </c>
      <c r="B482" s="1" t="s">
        <v>523</v>
      </c>
      <c r="C482" s="6" t="b">
        <v>1</v>
      </c>
      <c r="D482" s="1"/>
      <c r="E482" s="1"/>
    </row>
    <row r="483" spans="1:5" ht="23.1" customHeight="1">
      <c r="A483" s="1" t="s">
        <v>524</v>
      </c>
      <c r="B483" s="1" t="s">
        <v>523</v>
      </c>
      <c r="C483" s="6" t="b">
        <v>1</v>
      </c>
      <c r="D483" s="1"/>
      <c r="E483" s="1"/>
    </row>
    <row r="484" spans="1:5" ht="23.1" customHeight="1">
      <c r="A484" s="1" t="s">
        <v>525</v>
      </c>
      <c r="B484" s="1" t="s">
        <v>524</v>
      </c>
      <c r="C484" s="6" t="b">
        <v>1</v>
      </c>
      <c r="D484" s="1"/>
      <c r="E484" s="1"/>
    </row>
    <row r="485" spans="1:5" ht="23.1" customHeight="1">
      <c r="A485" s="1" t="s">
        <v>525</v>
      </c>
      <c r="B485" s="1" t="s">
        <v>526</v>
      </c>
      <c r="C485" s="6" t="b">
        <v>1</v>
      </c>
      <c r="D485" s="1"/>
      <c r="E485" s="1"/>
    </row>
    <row r="486" spans="1:5" ht="23.1" customHeight="1">
      <c r="A486" s="1" t="s">
        <v>130</v>
      </c>
      <c r="B486" s="1" t="s">
        <v>526</v>
      </c>
      <c r="C486" s="6" t="b">
        <v>1</v>
      </c>
      <c r="D486" s="1"/>
      <c r="E486" s="1"/>
    </row>
    <row r="487" spans="1:5" ht="23.1" customHeight="1">
      <c r="A487" s="1" t="s">
        <v>523</v>
      </c>
      <c r="B487" s="1" t="s">
        <v>527</v>
      </c>
      <c r="C487" s="6" t="b">
        <v>1</v>
      </c>
      <c r="D487" s="1"/>
      <c r="E487" s="1"/>
    </row>
    <row r="488" spans="1:5" ht="23.1" customHeight="1">
      <c r="A488" s="1" t="s">
        <v>528</v>
      </c>
      <c r="B488" s="1" t="s">
        <v>527</v>
      </c>
      <c r="C488" s="6" t="b">
        <v>1</v>
      </c>
      <c r="D488" s="1"/>
      <c r="E488" s="1"/>
    </row>
    <row r="489" spans="1:5" ht="23.1" customHeight="1">
      <c r="A489" s="1" t="s">
        <v>529</v>
      </c>
      <c r="B489" s="1" t="s">
        <v>528</v>
      </c>
      <c r="C489" s="6" t="b">
        <v>1</v>
      </c>
      <c r="D489" s="1"/>
      <c r="E489" s="1"/>
    </row>
    <row r="490" spans="1:5" ht="23.1" customHeight="1">
      <c r="A490" s="1" t="s">
        <v>527</v>
      </c>
      <c r="B490" s="1" t="s">
        <v>530</v>
      </c>
      <c r="C490" s="6" t="b">
        <v>1</v>
      </c>
      <c r="D490" s="1"/>
      <c r="E490" s="1"/>
    </row>
    <row r="491" spans="1:5" ht="23.1" customHeight="1">
      <c r="A491" s="1" t="s">
        <v>510</v>
      </c>
      <c r="B491" s="1" t="s">
        <v>532</v>
      </c>
      <c r="C491" s="6" t="b">
        <v>1</v>
      </c>
      <c r="D491" s="1"/>
      <c r="E491" s="1"/>
    </row>
    <row r="492" spans="1:5" ht="23.1" customHeight="1">
      <c r="A492" s="1" t="s">
        <v>519</v>
      </c>
      <c r="B492" s="1" t="s">
        <v>532</v>
      </c>
      <c r="C492" s="6" t="b">
        <v>1</v>
      </c>
      <c r="D492" s="1"/>
      <c r="E492" s="1"/>
    </row>
    <row r="493" spans="1:5" ht="23.1" customHeight="1">
      <c r="A493" s="1" t="s">
        <v>527</v>
      </c>
      <c r="B493" s="1" t="s">
        <v>535</v>
      </c>
      <c r="C493" s="6" t="b">
        <v>1</v>
      </c>
      <c r="D493" s="1"/>
      <c r="E493" s="1"/>
    </row>
    <row r="494" spans="1:5" ht="23.1" customHeight="1">
      <c r="A494" s="1" t="s">
        <v>533</v>
      </c>
      <c r="B494" s="1" t="s">
        <v>534</v>
      </c>
      <c r="C494" s="6" t="b">
        <v>1</v>
      </c>
      <c r="D494" s="1"/>
      <c r="E494" s="1"/>
    </row>
    <row r="495" spans="1:5" ht="23.1" customHeight="1">
      <c r="A495" s="1" t="s">
        <v>519</v>
      </c>
      <c r="B495" s="1" t="s">
        <v>533</v>
      </c>
      <c r="C495" s="6" t="b">
        <v>1</v>
      </c>
      <c r="D495" s="1"/>
      <c r="E495" s="1"/>
    </row>
    <row r="496" spans="1:5" ht="23.1" customHeight="1">
      <c r="A496" s="1" t="s">
        <v>531</v>
      </c>
      <c r="B496" s="1" t="s">
        <v>534</v>
      </c>
      <c r="C496" s="6" t="b">
        <v>1</v>
      </c>
      <c r="D496" s="1"/>
      <c r="E496" s="1"/>
    </row>
    <row r="497" spans="1:5" ht="23.1" customHeight="1">
      <c r="A497" s="1" t="s">
        <v>531</v>
      </c>
      <c r="B497" s="1" t="s">
        <v>532</v>
      </c>
      <c r="C497" s="6" t="b">
        <v>1</v>
      </c>
      <c r="D497" s="1"/>
      <c r="E497" s="1"/>
    </row>
    <row r="498" spans="1:5" ht="23.1" customHeight="1">
      <c r="A498" s="1" t="s">
        <v>536</v>
      </c>
      <c r="B498" s="1" t="s">
        <v>521</v>
      </c>
      <c r="C498" s="6" t="b">
        <v>1</v>
      </c>
      <c r="D498" s="1"/>
      <c r="E498" s="1"/>
    </row>
    <row r="499" spans="1:5" ht="23.1" customHeight="1">
      <c r="A499" s="1" t="s">
        <v>537</v>
      </c>
      <c r="B499" s="1" t="s">
        <v>540</v>
      </c>
      <c r="C499" s="6" t="b">
        <v>1</v>
      </c>
      <c r="D499" s="1"/>
      <c r="E499" s="1"/>
    </row>
    <row r="500" spans="1:5" ht="23.1" customHeight="1">
      <c r="A500" s="1" t="s">
        <v>536</v>
      </c>
      <c r="B500" s="1" t="s">
        <v>537</v>
      </c>
      <c r="C500" s="6" t="b">
        <v>1</v>
      </c>
      <c r="D500" s="1"/>
      <c r="E500" s="1"/>
    </row>
    <row r="501" spans="1:5" ht="23.1" customHeight="1">
      <c r="A501" s="1" t="s">
        <v>540</v>
      </c>
      <c r="B501" s="1" t="s">
        <v>539</v>
      </c>
      <c r="C501" s="6" t="b">
        <v>1</v>
      </c>
      <c r="D501" s="1"/>
      <c r="E501" s="1"/>
    </row>
    <row r="502" spans="1:5" ht="23.1" customHeight="1">
      <c r="A502" s="1" t="s">
        <v>538</v>
      </c>
      <c r="B502" s="1" t="s">
        <v>539</v>
      </c>
      <c r="C502" s="6" t="b">
        <v>1</v>
      </c>
      <c r="D502" s="1"/>
      <c r="E502" s="1"/>
    </row>
    <row r="503" spans="1:5" ht="23.1" customHeight="1">
      <c r="A503" s="1" t="s">
        <v>198</v>
      </c>
      <c r="B503" s="1" t="s">
        <v>538</v>
      </c>
      <c r="C503" s="6" t="b">
        <v>1</v>
      </c>
      <c r="D503" s="1"/>
      <c r="E503" s="1"/>
    </row>
    <row r="504" spans="1:5" ht="23.1" customHeight="1">
      <c r="A504" s="1" t="s">
        <v>198</v>
      </c>
      <c r="B504" s="1" t="s">
        <v>537</v>
      </c>
      <c r="C504" s="6" t="b">
        <v>1</v>
      </c>
      <c r="D504" s="1"/>
      <c r="E504" s="1"/>
    </row>
    <row r="505" spans="1:5" ht="23.1" customHeight="1">
      <c r="A505" s="1" t="s">
        <v>538</v>
      </c>
      <c r="B505" s="1" t="s">
        <v>537</v>
      </c>
      <c r="C505" s="6" t="b">
        <v>1</v>
      </c>
      <c r="D505" s="1"/>
      <c r="E505" s="1"/>
    </row>
    <row r="506" spans="1:5" ht="23.1" customHeight="1">
      <c r="A506" s="1" t="s">
        <v>540</v>
      </c>
      <c r="B506" s="1" t="s">
        <v>198</v>
      </c>
      <c r="C506" s="6" t="b">
        <v>1</v>
      </c>
      <c r="D506" s="1"/>
      <c r="E506" s="1"/>
    </row>
    <row r="507" spans="1:5" ht="23.1" customHeight="1">
      <c r="A507" s="1" t="s">
        <v>539</v>
      </c>
      <c r="B507" s="1" t="s">
        <v>198</v>
      </c>
      <c r="C507" s="6" t="b">
        <v>1</v>
      </c>
      <c r="D507" s="1"/>
      <c r="E507" s="1"/>
    </row>
    <row r="508" spans="1:5" ht="23.1" customHeight="1">
      <c r="A508" s="1" t="s">
        <v>539</v>
      </c>
      <c r="B508" s="1" t="s">
        <v>541</v>
      </c>
      <c r="C508" s="6" t="b">
        <v>1</v>
      </c>
      <c r="D508" s="1"/>
      <c r="E508" s="1"/>
    </row>
    <row r="509" spans="1:5" ht="23.1" customHeight="1">
      <c r="A509" s="1" t="s">
        <v>530</v>
      </c>
      <c r="B509" s="1" t="s">
        <v>541</v>
      </c>
      <c r="C509" s="6" t="b">
        <v>1</v>
      </c>
      <c r="D509" s="1"/>
      <c r="E509" s="1"/>
    </row>
    <row r="510" spans="1:5" ht="23.1" customHeight="1">
      <c r="A510" s="1" t="s">
        <v>534</v>
      </c>
      <c r="B510" s="1" t="s">
        <v>541</v>
      </c>
      <c r="C510" s="6" t="b">
        <v>1</v>
      </c>
      <c r="D510" s="1"/>
      <c r="E510" s="1"/>
    </row>
    <row r="511" spans="1:5" ht="23.1" customHeight="1">
      <c r="A511" s="1" t="s">
        <v>543</v>
      </c>
      <c r="B511" s="1" t="s">
        <v>542</v>
      </c>
      <c r="C511" s="6" t="b">
        <v>1</v>
      </c>
      <c r="D511" s="1"/>
      <c r="E511" s="1"/>
    </row>
    <row r="512" spans="1:5" ht="23.1" customHeight="1">
      <c r="A512" s="1" t="s">
        <v>530</v>
      </c>
      <c r="B512" s="1" t="s">
        <v>542</v>
      </c>
      <c r="C512" s="6" t="b">
        <v>1</v>
      </c>
      <c r="D512" s="1"/>
      <c r="E512" s="1"/>
    </row>
    <row r="513" spans="1:5" ht="23.1" customHeight="1">
      <c r="A513" s="1" t="s">
        <v>539</v>
      </c>
      <c r="B513" s="1" t="s">
        <v>548</v>
      </c>
      <c r="C513" s="6" t="b">
        <v>1</v>
      </c>
      <c r="D513" s="1"/>
      <c r="E513" s="1"/>
    </row>
    <row r="514" spans="1:5" ht="23.1" customHeight="1">
      <c r="A514" s="1" t="s">
        <v>547</v>
      </c>
      <c r="B514" s="1" t="s">
        <v>548</v>
      </c>
      <c r="C514" s="6" t="b">
        <v>1</v>
      </c>
      <c r="D514" s="1"/>
      <c r="E514" s="1"/>
    </row>
    <row r="515" spans="1:5" ht="23.1" customHeight="1">
      <c r="A515" s="1" t="s">
        <v>546</v>
      </c>
      <c r="B515" s="1" t="s">
        <v>547</v>
      </c>
      <c r="C515" s="6" t="b">
        <v>1</v>
      </c>
      <c r="D515" s="1"/>
      <c r="E515" s="1"/>
    </row>
    <row r="516" spans="1:5" ht="23.1" customHeight="1">
      <c r="A516" s="1" t="s">
        <v>545</v>
      </c>
      <c r="B516" s="1" t="s">
        <v>546</v>
      </c>
      <c r="C516" s="6" t="b">
        <v>1</v>
      </c>
      <c r="D516" s="1"/>
      <c r="E516" s="1"/>
    </row>
    <row r="517" spans="1:5" ht="23.1" customHeight="1">
      <c r="A517" s="1" t="s">
        <v>544</v>
      </c>
      <c r="B517" s="1" t="s">
        <v>545</v>
      </c>
      <c r="C517" s="6" t="b">
        <v>1</v>
      </c>
      <c r="D517" s="1"/>
      <c r="E517" s="1"/>
    </row>
    <row r="518" spans="1:5" ht="23.1" customHeight="1">
      <c r="A518" s="1" t="s">
        <v>544</v>
      </c>
      <c r="B518" s="1" t="s">
        <v>543</v>
      </c>
      <c r="C518" s="6" t="b">
        <v>1</v>
      </c>
      <c r="D518" s="1"/>
      <c r="E518" s="1"/>
    </row>
    <row r="519" spans="1:5" ht="23.1" customHeight="1">
      <c r="A519" s="1" t="s">
        <v>540</v>
      </c>
      <c r="B519" s="1" t="s">
        <v>549</v>
      </c>
      <c r="C519" s="6" t="b">
        <v>1</v>
      </c>
      <c r="D519" s="1"/>
      <c r="E519" s="1"/>
    </row>
    <row r="520" spans="1:5" ht="23.1" customHeight="1">
      <c r="A520" s="1" t="s">
        <v>546</v>
      </c>
      <c r="B520" s="1" t="s">
        <v>549</v>
      </c>
      <c r="C520" s="6" t="b">
        <v>1</v>
      </c>
      <c r="D520" s="1"/>
      <c r="E520" s="1"/>
    </row>
    <row r="521" spans="1:5" ht="23.1" customHeight="1">
      <c r="A521" s="1" t="s">
        <v>170</v>
      </c>
      <c r="B521" s="1" t="s">
        <v>550</v>
      </c>
      <c r="C521" s="6" t="b">
        <v>1</v>
      </c>
      <c r="D521" s="1"/>
      <c r="E521" s="1"/>
    </row>
    <row r="522" spans="1:5" ht="23.1" customHeight="1">
      <c r="A522" s="1" t="s">
        <v>543</v>
      </c>
      <c r="B522" s="1" t="s">
        <v>550</v>
      </c>
      <c r="C522" s="6" t="b">
        <v>1</v>
      </c>
      <c r="D522" s="1"/>
      <c r="E522" s="1"/>
    </row>
    <row r="523" spans="1:5" ht="23.1" customHeight="1">
      <c r="A523" s="1" t="s">
        <v>196</v>
      </c>
      <c r="B523" s="1" t="s">
        <v>551</v>
      </c>
      <c r="C523" s="6" t="b">
        <v>1</v>
      </c>
      <c r="D523" s="1"/>
      <c r="E523" s="1"/>
    </row>
    <row r="524" spans="1:5" ht="23.1" customHeight="1">
      <c r="A524" s="1" t="s">
        <v>545</v>
      </c>
      <c r="B524" s="1" t="s">
        <v>551</v>
      </c>
      <c r="C524" s="6" t="b">
        <v>1</v>
      </c>
      <c r="D524" s="1"/>
      <c r="E524" s="1"/>
    </row>
    <row r="525" spans="1:5" ht="23.1" customHeight="1">
      <c r="A525" s="1" t="s">
        <v>554</v>
      </c>
      <c r="B525" s="1" t="s">
        <v>553</v>
      </c>
      <c r="C525" s="6" t="b">
        <v>1</v>
      </c>
      <c r="D525" s="1"/>
      <c r="E525" s="1"/>
    </row>
    <row r="526" spans="1:5" ht="23.1" customHeight="1">
      <c r="A526" s="1" t="s">
        <v>196</v>
      </c>
      <c r="B526" s="1" t="s">
        <v>552</v>
      </c>
      <c r="C526" s="6" t="b">
        <v>1</v>
      </c>
      <c r="D526" s="1"/>
      <c r="E526" s="1"/>
    </row>
    <row r="527" spans="1:5" ht="23.1" customHeight="1">
      <c r="A527" s="1" t="s">
        <v>553</v>
      </c>
      <c r="B527" s="1" t="s">
        <v>552</v>
      </c>
      <c r="C527" s="6" t="b">
        <v>1</v>
      </c>
      <c r="D527" s="1"/>
      <c r="E527" s="1"/>
    </row>
    <row r="528" spans="1:5" ht="23.1" customHeight="1">
      <c r="A528" s="1" t="s">
        <v>555</v>
      </c>
      <c r="B528" s="1" t="s">
        <v>170</v>
      </c>
      <c r="C528" s="6" t="b">
        <v>1</v>
      </c>
      <c r="D528" s="1"/>
      <c r="E528" s="1"/>
    </row>
    <row r="529" spans="1:5" ht="23.1" customHeight="1">
      <c r="A529" s="1" t="s">
        <v>554</v>
      </c>
      <c r="B529" s="1" t="s">
        <v>555</v>
      </c>
      <c r="C529" s="6" t="b">
        <v>1</v>
      </c>
      <c r="D529" s="1"/>
      <c r="E529" s="1"/>
    </row>
    <row r="530" spans="1:5" ht="23.1" customHeight="1">
      <c r="A530" s="1" t="s">
        <v>556</v>
      </c>
      <c r="B530" s="1" t="s">
        <v>554</v>
      </c>
      <c r="C530" s="6" t="b">
        <v>1</v>
      </c>
      <c r="D530" s="1"/>
      <c r="E530" s="1"/>
    </row>
    <row r="531" spans="1:5" ht="23.1" customHeight="1">
      <c r="A531" s="1" t="s">
        <v>564</v>
      </c>
      <c r="B531" s="1" t="s">
        <v>96</v>
      </c>
      <c r="C531" s="6" t="b">
        <v>1</v>
      </c>
      <c r="D531" s="1"/>
      <c r="E531" s="1"/>
    </row>
    <row r="532" spans="1:5" ht="23.1" customHeight="1">
      <c r="A532" s="1" t="s">
        <v>555</v>
      </c>
      <c r="B532" s="1" t="s">
        <v>565</v>
      </c>
      <c r="C532" s="6" t="b">
        <v>1</v>
      </c>
      <c r="D532" s="1"/>
      <c r="E532" s="1"/>
    </row>
    <row r="533" spans="1:5" ht="23.1" customHeight="1">
      <c r="A533" s="1" t="s">
        <v>563</v>
      </c>
      <c r="B533" s="1" t="s">
        <v>561</v>
      </c>
      <c r="C533" s="6" t="b">
        <v>1</v>
      </c>
      <c r="D533" s="1"/>
      <c r="E533" s="1"/>
    </row>
    <row r="534" spans="1:5" ht="23.1" customHeight="1">
      <c r="A534" s="1" t="s">
        <v>564</v>
      </c>
      <c r="B534" s="1" t="s">
        <v>563</v>
      </c>
      <c r="C534" s="6" t="b">
        <v>1</v>
      </c>
      <c r="D534" s="1"/>
      <c r="E534" s="1"/>
    </row>
    <row r="535" spans="1:5" ht="23.1" customHeight="1">
      <c r="A535" s="1" t="s">
        <v>559</v>
      </c>
      <c r="B535" s="1" t="s">
        <v>564</v>
      </c>
      <c r="C535" s="6" t="b">
        <v>1</v>
      </c>
      <c r="D535" s="1"/>
      <c r="E535" s="1"/>
    </row>
    <row r="536" spans="1:5" ht="23.1" customHeight="1">
      <c r="A536" s="1" t="s">
        <v>562</v>
      </c>
      <c r="B536" s="1" t="s">
        <v>557</v>
      </c>
      <c r="C536" s="6" t="b">
        <v>1</v>
      </c>
      <c r="D536" s="1"/>
      <c r="E536" s="1"/>
    </row>
    <row r="537" spans="1:5" ht="23.1" customHeight="1">
      <c r="A537" s="1" t="s">
        <v>558</v>
      </c>
      <c r="B537" s="1" t="s">
        <v>559</v>
      </c>
      <c r="C537" s="6" t="b">
        <v>1</v>
      </c>
      <c r="D537" s="1"/>
      <c r="E537" s="1"/>
    </row>
    <row r="538" spans="1:5" ht="23.1" customHeight="1">
      <c r="A538" s="1" t="s">
        <v>558</v>
      </c>
      <c r="B538" s="1" t="s">
        <v>557</v>
      </c>
      <c r="C538" s="6" t="b">
        <v>1</v>
      </c>
      <c r="D538" s="1"/>
      <c r="E538" s="1"/>
    </row>
    <row r="539" spans="1:5" ht="23.1" customHeight="1">
      <c r="A539" s="1" t="s">
        <v>560</v>
      </c>
      <c r="B539" s="1" t="s">
        <v>561</v>
      </c>
      <c r="C539" s="6" t="b">
        <v>1</v>
      </c>
      <c r="D539" s="1"/>
      <c r="E539" s="1"/>
    </row>
    <row r="540" spans="1:5" ht="23.1" customHeight="1">
      <c r="A540" s="1" t="s">
        <v>565</v>
      </c>
      <c r="B540" s="1" t="s">
        <v>560</v>
      </c>
      <c r="C540" s="6" t="b">
        <v>1</v>
      </c>
      <c r="D540" s="1"/>
      <c r="E540" s="1"/>
    </row>
    <row r="541" spans="1:5" ht="23.1" customHeight="1">
      <c r="A541" s="1" t="s">
        <v>557</v>
      </c>
      <c r="B541" s="1" t="s">
        <v>560</v>
      </c>
      <c r="C541" s="6" t="b">
        <v>1</v>
      </c>
      <c r="D541" s="1"/>
      <c r="E541" s="1"/>
    </row>
    <row r="542" spans="1:5" ht="23.1" customHeight="1">
      <c r="A542" s="1" t="s">
        <v>558</v>
      </c>
      <c r="B542" s="1" t="s">
        <v>556</v>
      </c>
      <c r="C542" s="6" t="b">
        <v>1</v>
      </c>
      <c r="D542" s="1"/>
      <c r="E542" s="1"/>
    </row>
    <row r="543" spans="1:5" ht="23.1" customHeight="1">
      <c r="A543" s="1" t="s">
        <v>136</v>
      </c>
      <c r="B543" s="1" t="s">
        <v>566</v>
      </c>
      <c r="C543" s="6" t="b">
        <v>1</v>
      </c>
      <c r="D543" s="1"/>
      <c r="E543" s="1"/>
    </row>
    <row r="544" spans="1:5" ht="23.1" customHeight="1">
      <c r="A544" s="1" t="s">
        <v>522</v>
      </c>
      <c r="B544" s="1" t="s">
        <v>566</v>
      </c>
      <c r="C544" s="6" t="b">
        <v>1</v>
      </c>
      <c r="D544" s="1"/>
      <c r="E544" s="1"/>
    </row>
    <row r="545" spans="1:5" ht="23.1" customHeight="1">
      <c r="A545" s="1" t="s">
        <v>567</v>
      </c>
      <c r="B545" s="1" t="s">
        <v>549</v>
      </c>
      <c r="C545" s="6" t="b">
        <v>1</v>
      </c>
      <c r="D545" s="1"/>
      <c r="E545" s="1"/>
    </row>
    <row r="546" spans="1:5" ht="23.1" customHeight="1">
      <c r="A546" s="1" t="s">
        <v>568</v>
      </c>
      <c r="B546" s="1" t="s">
        <v>567</v>
      </c>
      <c r="C546" s="6" t="b">
        <v>1</v>
      </c>
      <c r="D546" s="1"/>
      <c r="E546" s="1"/>
    </row>
    <row r="547" spans="1:5" ht="23.1" customHeight="1">
      <c r="A547" s="1" t="s">
        <v>569</v>
      </c>
      <c r="B547" s="1" t="s">
        <v>568</v>
      </c>
      <c r="C547" s="6" t="b">
        <v>1</v>
      </c>
      <c r="D547" s="1"/>
      <c r="E547" s="1"/>
    </row>
    <row r="548" spans="1:5" ht="23.1" customHeight="1">
      <c r="A548" s="1" t="s">
        <v>572</v>
      </c>
      <c r="B548" s="1" t="s">
        <v>569</v>
      </c>
      <c r="C548" s="6" t="b">
        <v>1</v>
      </c>
      <c r="D548" s="1"/>
      <c r="E548" s="1"/>
    </row>
    <row r="549" spans="1:5" ht="23.1" customHeight="1">
      <c r="A549" s="1" t="s">
        <v>570</v>
      </c>
      <c r="B549" s="1" t="s">
        <v>569</v>
      </c>
      <c r="C549" s="6" t="b">
        <v>1</v>
      </c>
      <c r="D549" s="1"/>
      <c r="E549" s="1"/>
    </row>
    <row r="550" spans="1:5" ht="23.1" customHeight="1">
      <c r="A550" s="1" t="s">
        <v>571</v>
      </c>
      <c r="B550" s="1" t="s">
        <v>572</v>
      </c>
      <c r="C550" s="6" t="b">
        <v>1</v>
      </c>
      <c r="D550" s="1"/>
      <c r="E550" s="1"/>
    </row>
    <row r="551" spans="1:5" ht="23.1" customHeight="1">
      <c r="A551" s="1" t="s">
        <v>571</v>
      </c>
      <c r="B551" s="1" t="s">
        <v>570</v>
      </c>
      <c r="C551" s="6" t="b">
        <v>1</v>
      </c>
      <c r="D551" s="1"/>
      <c r="E551" s="1"/>
    </row>
    <row r="552" spans="1:5" ht="23.1" customHeight="1">
      <c r="A552" s="1" t="s">
        <v>569</v>
      </c>
      <c r="B552" s="1" t="s">
        <v>573</v>
      </c>
      <c r="C552" s="6" t="b">
        <v>1</v>
      </c>
      <c r="D552" s="1"/>
      <c r="E552" s="1"/>
    </row>
    <row r="553" spans="1:5" ht="23.1" customHeight="1">
      <c r="A553" s="1" t="s">
        <v>174</v>
      </c>
      <c r="B553" s="1" t="s">
        <v>573</v>
      </c>
      <c r="C553" s="6" t="b">
        <v>1</v>
      </c>
      <c r="D553" s="1"/>
      <c r="E553" s="1"/>
    </row>
    <row r="554" spans="1:5" ht="23.1" customHeight="1">
      <c r="A554" s="1" t="s">
        <v>576</v>
      </c>
      <c r="B554" s="1" t="s">
        <v>575</v>
      </c>
      <c r="C554" s="6" t="b">
        <v>1</v>
      </c>
      <c r="D554" s="1"/>
      <c r="E554" s="1"/>
    </row>
    <row r="555" spans="1:5" ht="23.1" customHeight="1">
      <c r="A555" s="1" t="s">
        <v>574</v>
      </c>
      <c r="B555" s="1" t="s">
        <v>575</v>
      </c>
      <c r="C555" s="6" t="b">
        <v>1</v>
      </c>
      <c r="D555" s="1"/>
      <c r="E555" s="1"/>
    </row>
    <row r="556" spans="1:5" ht="23.1" customHeight="1">
      <c r="A556" s="1" t="s">
        <v>567</v>
      </c>
      <c r="B556" s="1" t="s">
        <v>574</v>
      </c>
      <c r="C556" s="6" t="b">
        <v>1</v>
      </c>
      <c r="D556" s="1"/>
      <c r="E556" s="1"/>
    </row>
    <row r="557" spans="1:5" ht="23.1" customHeight="1">
      <c r="A557" s="1" t="s">
        <v>570</v>
      </c>
      <c r="B557" s="1" t="s">
        <v>576</v>
      </c>
      <c r="C557" s="6" t="b">
        <v>1</v>
      </c>
      <c r="D557" s="1"/>
      <c r="E557" s="1"/>
    </row>
    <row r="558" spans="1:5" ht="23.1" customHeight="1">
      <c r="A558" s="1" t="s">
        <v>556</v>
      </c>
      <c r="B558" s="1" t="s">
        <v>576</v>
      </c>
      <c r="C558" s="6" t="b">
        <v>1</v>
      </c>
      <c r="D558" s="1"/>
      <c r="E558" s="1"/>
    </row>
    <row r="559" spans="1:5" ht="23.1" customHeight="1">
      <c r="A559" s="1" t="s">
        <v>554</v>
      </c>
      <c r="B559" s="1" t="s">
        <v>574</v>
      </c>
      <c r="C559" s="6" t="b">
        <v>1</v>
      </c>
      <c r="D559" s="1"/>
      <c r="E559" s="1"/>
    </row>
    <row r="560" spans="1:5" ht="23.1" customHeight="1">
      <c r="A560" s="1" t="s">
        <v>572</v>
      </c>
      <c r="B560" s="1" t="s">
        <v>536</v>
      </c>
      <c r="C560" s="6" t="b">
        <v>1</v>
      </c>
      <c r="D560" s="1"/>
      <c r="E560" s="1"/>
    </row>
    <row r="561" spans="1:5" ht="23.1" customHeight="1">
      <c r="A561" s="1" t="s">
        <v>578</v>
      </c>
      <c r="B561" s="1" t="s">
        <v>577</v>
      </c>
      <c r="C561" s="6" t="b">
        <v>1</v>
      </c>
      <c r="D561" s="1"/>
      <c r="E561" s="1"/>
    </row>
    <row r="562" spans="1:5" ht="23.1" customHeight="1">
      <c r="A562" s="1" t="s">
        <v>576</v>
      </c>
      <c r="B562" s="1" t="s">
        <v>577</v>
      </c>
      <c r="C562" s="6" t="b">
        <v>1</v>
      </c>
      <c r="D562" s="1"/>
      <c r="E562" s="1"/>
    </row>
    <row r="563" spans="1:5" ht="23.1" customHeight="1">
      <c r="A563" s="1" t="s">
        <v>580</v>
      </c>
      <c r="B563" s="1" t="s">
        <v>581</v>
      </c>
      <c r="C563" s="6" t="b">
        <v>1</v>
      </c>
      <c r="D563" s="1"/>
      <c r="E563" s="1"/>
    </row>
    <row r="564" spans="1:5" ht="23.1" customHeight="1">
      <c r="A564" s="1" t="s">
        <v>571</v>
      </c>
      <c r="B564" s="1" t="s">
        <v>582</v>
      </c>
      <c r="C564" s="6" t="b">
        <v>1</v>
      </c>
      <c r="D564" s="1"/>
      <c r="E564" s="1"/>
    </row>
    <row r="565" spans="1:5" ht="23.1" customHeight="1">
      <c r="A565" s="1" t="s">
        <v>581</v>
      </c>
      <c r="B565" s="1" t="s">
        <v>582</v>
      </c>
      <c r="C565" s="6" t="b">
        <v>1</v>
      </c>
      <c r="D565" s="1"/>
      <c r="E565" s="1"/>
    </row>
    <row r="566" spans="1:5" ht="23.1" customHeight="1">
      <c r="A566" s="1" t="s">
        <v>580</v>
      </c>
      <c r="B566" s="1" t="s">
        <v>579</v>
      </c>
      <c r="C566" s="6" t="b">
        <v>1</v>
      </c>
      <c r="D566" s="1"/>
      <c r="E566" s="1"/>
    </row>
    <row r="567" spans="1:5" ht="23.1" customHeight="1">
      <c r="A567" s="1" t="s">
        <v>571</v>
      </c>
      <c r="B567" s="1" t="s">
        <v>579</v>
      </c>
      <c r="C567" s="6" t="b">
        <v>1</v>
      </c>
      <c r="D567" s="1"/>
      <c r="E567" s="1"/>
    </row>
    <row r="568" spans="1:5" ht="23.1" customHeight="1">
      <c r="A568" s="1" t="s">
        <v>582</v>
      </c>
      <c r="B568" s="1" t="s">
        <v>583</v>
      </c>
      <c r="C568" s="6" t="b">
        <v>1</v>
      </c>
      <c r="D568" s="1"/>
      <c r="E568" s="1"/>
    </row>
    <row r="569" spans="1:5" ht="23.1" customHeight="1">
      <c r="A569" s="1" t="s">
        <v>216</v>
      </c>
      <c r="B569" s="1" t="s">
        <v>583</v>
      </c>
      <c r="C569" s="6" t="b">
        <v>1</v>
      </c>
      <c r="D569" s="1"/>
      <c r="E569" s="1"/>
    </row>
    <row r="570" spans="1:5" ht="23.1" customHeight="1">
      <c r="A570" s="1" t="s">
        <v>586</v>
      </c>
      <c r="B570" s="1" t="s">
        <v>584</v>
      </c>
      <c r="C570" s="6" t="b">
        <v>1</v>
      </c>
      <c r="D570" s="1"/>
      <c r="E570" s="1"/>
    </row>
    <row r="571" spans="1:5" ht="23.1" customHeight="1">
      <c r="A571" s="1" t="s">
        <v>585</v>
      </c>
      <c r="B571" s="1" t="s">
        <v>584</v>
      </c>
      <c r="C571" s="6" t="b">
        <v>1</v>
      </c>
      <c r="D571" s="1"/>
      <c r="E571" s="1"/>
    </row>
    <row r="572" spans="1:5" ht="23.1" customHeight="1">
      <c r="A572" s="1" t="s">
        <v>583</v>
      </c>
      <c r="B572" s="1" t="s">
        <v>584</v>
      </c>
      <c r="C572" s="6" t="b">
        <v>1</v>
      </c>
      <c r="D572" s="1"/>
      <c r="E572" s="1"/>
    </row>
    <row r="573" spans="1:5" ht="23.1" customHeight="1">
      <c r="A573" s="1" t="s">
        <v>587</v>
      </c>
      <c r="B573" s="1" t="s">
        <v>584</v>
      </c>
      <c r="C573" s="6" t="b">
        <v>1</v>
      </c>
      <c r="D573" s="1"/>
      <c r="E573" s="1"/>
    </row>
    <row r="574" spans="1:5" ht="23.1" customHeight="1">
      <c r="A574" s="1" t="s">
        <v>580</v>
      </c>
      <c r="B574" s="1" t="s">
        <v>588</v>
      </c>
      <c r="C574" s="6" t="b">
        <v>1</v>
      </c>
      <c r="D574" s="1"/>
      <c r="E574" s="1"/>
    </row>
    <row r="575" spans="1:5" ht="23.1" customHeight="1">
      <c r="A575" s="1" t="s">
        <v>587</v>
      </c>
      <c r="B575" s="1" t="s">
        <v>588</v>
      </c>
      <c r="C575" s="6" t="b">
        <v>1</v>
      </c>
      <c r="D575" s="1"/>
      <c r="E575" s="1"/>
    </row>
    <row r="576" spans="1:5" ht="23.1" customHeight="1">
      <c r="A576" s="1" t="s">
        <v>217</v>
      </c>
      <c r="B576" s="1" t="s">
        <v>587</v>
      </c>
      <c r="C576" s="6" t="b">
        <v>1</v>
      </c>
      <c r="D576" s="1"/>
      <c r="E576" s="1"/>
    </row>
    <row r="577" spans="1:5" ht="23.1" customHeight="1">
      <c r="A577" s="1" t="s">
        <v>581</v>
      </c>
      <c r="B577" s="1" t="s">
        <v>589</v>
      </c>
      <c r="C577" s="6" t="b">
        <v>1</v>
      </c>
      <c r="D577" s="1"/>
      <c r="E577" s="1"/>
    </row>
    <row r="578" spans="1:5" ht="23.1" customHeight="1">
      <c r="A578" s="1" t="s">
        <v>110</v>
      </c>
      <c r="B578" s="1" t="s">
        <v>589</v>
      </c>
      <c r="C578" s="6" t="b">
        <v>1</v>
      </c>
      <c r="D578" s="1"/>
      <c r="E578" s="1"/>
    </row>
    <row r="579" spans="1:5" ht="23.1" customHeight="1">
      <c r="A579" s="1" t="s">
        <v>590</v>
      </c>
      <c r="B579" s="1" t="s">
        <v>289</v>
      </c>
      <c r="C579" s="6" t="b">
        <v>1</v>
      </c>
      <c r="D579" s="1"/>
      <c r="E579" s="1"/>
    </row>
    <row r="580" spans="1:5" ht="23.1" customHeight="1">
      <c r="A580" s="1" t="s">
        <v>288</v>
      </c>
      <c r="B580" s="1" t="s">
        <v>590</v>
      </c>
      <c r="C580" s="6" t="b">
        <v>0</v>
      </c>
      <c r="D580" s="1"/>
      <c r="E580" s="1"/>
    </row>
    <row r="581" spans="1:5" ht="23.1" customHeight="1">
      <c r="A581" s="1" t="s">
        <v>327</v>
      </c>
      <c r="B581" s="1" t="s">
        <v>590</v>
      </c>
      <c r="C581" s="6" t="b">
        <v>1</v>
      </c>
      <c r="D581" s="1"/>
      <c r="E581" s="1"/>
    </row>
    <row r="582" spans="1:5" ht="23.1" customHeight="1">
      <c r="A582" s="1" t="s">
        <v>430</v>
      </c>
      <c r="B582" s="1" t="s">
        <v>359</v>
      </c>
      <c r="C582" s="6" t="b">
        <v>0</v>
      </c>
      <c r="D582" s="1"/>
      <c r="E582" s="1"/>
    </row>
    <row r="583" spans="1:5" ht="23.1" customHeight="1">
      <c r="A583" s="1" t="s">
        <v>312</v>
      </c>
      <c r="B583" s="1" t="s">
        <v>359</v>
      </c>
      <c r="C583" s="6" t="b">
        <v>1</v>
      </c>
      <c r="D583" s="1"/>
      <c r="E583" s="1"/>
    </row>
    <row r="584" spans="1:5" ht="23.1" customHeight="1">
      <c r="A584" s="1" t="s">
        <v>168</v>
      </c>
      <c r="B584" s="1" t="s">
        <v>591</v>
      </c>
      <c r="C584" s="6" t="b">
        <v>1</v>
      </c>
      <c r="D584" s="1"/>
      <c r="E584" s="1"/>
    </row>
    <row r="585" spans="1:5" ht="23.1" customHeight="1">
      <c r="A585" s="1" t="s">
        <v>272</v>
      </c>
      <c r="B585" s="1" t="s">
        <v>591</v>
      </c>
      <c r="C585" s="6" t="b">
        <v>1</v>
      </c>
      <c r="D585" s="1"/>
      <c r="E585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Locations</vt:lpstr>
      <vt:lpstr>Connections</vt:lpstr>
      <vt:lpstr>Issues</vt:lpstr>
      <vt:lpstr>Landmarks</vt:lpstr>
      <vt:lpstr>Nodes</vt:lpstr>
      <vt:lpstr>Edges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Neil Paul</cp:lastModifiedBy>
  <dcterms:modified xsi:type="dcterms:W3CDTF">2026-10-06T21:00:16Z</dcterms:modified>
</cp:coreProperties>
</file>