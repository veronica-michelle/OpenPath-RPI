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verview" sheetId="1" r:id="rId4"/>
    <sheet name="Locations" sheetId="2" r:id="rId5"/>
    <sheet name="Connections" sheetId="3" r:id="rId6"/>
    <sheet name="Issues" sheetId="4" r:id="rId7"/>
    <sheet name="Landmarks" sheetId="5" r:id="rId8"/>
    <sheet name="Nodes" sheetId="6" r:id="rId9"/>
    <sheet name="Edges" sheetId="7" r:id="rId10"/>
  </sheets>
</workbook>
</file>

<file path=xl/sharedStrings.xml><?xml version="1.0" encoding="utf-8"?>
<sst xmlns="http://schemas.openxmlformats.org/spreadsheetml/2006/main" uniqueCount="1319">
  <si>
    <t>ATLAS data for OpenPath</t>
  </si>
  <si>
    <t>Useful starter data for your map and route prototype.</t>
  </si>
  <si>
    <t>Verify the pilot buildings, entrances, and connecting paths before offering accessibility routes.</t>
  </si>
  <si>
    <t>Inventory</t>
  </si>
  <si>
    <t>Count</t>
  </si>
  <si>
    <t>Meaning</t>
  </si>
  <si>
    <t>Landmarks</t>
  </si>
  <si>
    <t>Building and place labels. These are not documented entrance locations.</t>
  </si>
  <si>
    <t>Path points</t>
  </si>
  <si>
    <t>Intermediate points used to connect routes.</t>
  </si>
  <si>
    <t>Connections</t>
  </si>
  <si>
    <t>Connections treated as bidirectional in the ATLAS app.</t>
  </si>
  <si>
    <t>Legacy TRUE labels</t>
  </si>
  <si>
    <t>The source calls these accessible. Current conditions are unverified.</t>
  </si>
  <si>
    <t>Legacy FALSE labels</t>
  </si>
  <si>
    <t>The source calls these inaccessible. The reason is not recorded.</t>
  </si>
  <si>
    <t>Field-checked connections</t>
  </si>
  <si>
    <t>Manual status in Connections. Checked does not itself mean accessible.</t>
  </si>
  <si>
    <t>Confirmed accessible</t>
  </si>
  <si>
    <t>The new field starts unknown for every connection.</t>
  </si>
  <si>
    <t>Next steps for your team</t>
  </si>
  <si>
    <t>Role</t>
  </si>
  <si>
    <t>Step</t>
  </si>
  <si>
    <t>Action</t>
  </si>
  <si>
    <t>Data team</t>
  </si>
  <si>
    <t>Start with your two or three pilot buildings and one connecting outdoor route. Verify the actual entrances.</t>
  </si>
  <si>
    <t>Walk each pilot segment. Record stairs, ramps, surface, width, slope, access restrictions, date, and evidence.</t>
  </si>
  <si>
    <t>Backend</t>
  </si>
  <si>
    <t>Import Locations and Connections by ID. Keep the legacy flag separate from confirmed accessibility.</t>
  </si>
  <si>
    <t>Pathfinder</t>
  </si>
  <si>
    <t>Use the coordinates for prototype distances. Return “no verified route available” when the verified graph cannot connect the request.</t>
  </si>
  <si>
    <t>Frontend</t>
  </si>
  <si>
    <t>Plot the points and connections in Leaflet. Label unverified data and preserve GPS accuracy information.</t>
  </si>
  <si>
    <t>How the file is organized</t>
  </si>
  <si>
    <t>Locations</t>
  </si>
  <si>
    <t>All 448 points in one ID-based table. Landmarks are alphabetized and path points are sorted by number.</t>
  </si>
  <si>
    <t>All 584 edges. One obvious spelling mismatch is mapped to the existing landmark ID and logged.</t>
  </si>
  <si>
    <t>Issues</t>
  </si>
  <si>
    <t>Exact source rows, unresolved problems, code review notes, and long segments to inspect.</t>
  </si>
  <si>
    <t>Landmarks / Nodes / Edges</t>
  </si>
  <si>
    <t>Original source records and values, with the original row numbers retained.</t>
  </si>
  <si>
    <t>Before marking a connection checked</t>
  </si>
  <si>
    <t>Fill the applicable observations, verifier, date, and evidence. Set confirmed_accessible separately.</t>
  </si>
  <si>
    <t>Unknown is never equivalent to accessible. A legacy FALSE label does not prove that the segment has stairs.</t>
  </si>
  <si>
    <t>Implementation notes</t>
  </si>
  <si>
    <t>Distance units</t>
  </si>
  <si>
    <t>straight_line_m uses Haversine distance with Earth radius 6,371,000 m. It is not a surveyed path length.</t>
  </si>
  <si>
    <t>IDs</t>
  </si>
  <si>
    <t>Do not regenerate L IDs after sorting. Keep an explicit location-to-entrance mapping as entrances are verified.</t>
  </si>
  <si>
    <t>App compatibility</t>
  </si>
  <si>
    <t>The existing app is Kotlin/Android. Its CSV data transfers to your web project. The Android UI needs a web implementation.</t>
  </si>
  <si>
    <t>L001–L071 are assigned landmark IDs. Existing N IDs are kept. IDs stay fixed when sorted.</t>
  </si>
  <si>
    <t>node_id</t>
  </si>
  <si>
    <t>label</t>
  </si>
  <si>
    <t>kind</t>
  </si>
  <si>
    <t>latitude</t>
  </si>
  <si>
    <t>longitude</t>
  </si>
  <si>
    <t>edge_count</t>
  </si>
  <si>
    <t>legacy_true_count</t>
  </si>
  <si>
    <t>confirmed_entrance</t>
  </si>
  <si>
    <t>field_status</t>
  </si>
  <si>
    <t>verified_on</t>
  </si>
  <si>
    <t>verified_by</t>
  </si>
  <si>
    <t>notes</t>
  </si>
  <si>
    <t>source_sheet</t>
  </si>
  <si>
    <t>source_row</t>
  </si>
  <si>
    <t>L069</t>
  </si>
  <si>
    <t>86 Field</t>
  </si>
  <si>
    <t>landmark</t>
  </si>
  <si>
    <t>unknown</t>
  </si>
  <si>
    <t>unverified</t>
  </si>
  <si>
    <t>L013</t>
  </si>
  <si>
    <t>87 Gymnasium</t>
  </si>
  <si>
    <t>L058</t>
  </si>
  <si>
    <t>Academy Hall</t>
  </si>
  <si>
    <t>L033</t>
  </si>
  <si>
    <t>Admissions Office</t>
  </si>
  <si>
    <t>L035</t>
  </si>
  <si>
    <t>Alumni Sports and Recreation Center (Armory)</t>
  </si>
  <si>
    <t>L026</t>
  </si>
  <si>
    <t>Amos Eaton Hall</t>
  </si>
  <si>
    <t>L060</t>
  </si>
  <si>
    <t>Barton Hall</t>
  </si>
  <si>
    <t>L027</t>
  </si>
  <si>
    <t>Black Cultural Center</t>
  </si>
  <si>
    <t>L029</t>
  </si>
  <si>
    <t>Blaw-Knox 1&amp;2</t>
  </si>
  <si>
    <t>L070</t>
  </si>
  <si>
    <t>Blitman Commons</t>
  </si>
  <si>
    <t>L007</t>
  </si>
  <si>
    <t>Boiler House</t>
  </si>
  <si>
    <t>L064</t>
  </si>
  <si>
    <t>Boiler House 2</t>
  </si>
  <si>
    <t>L047</t>
  </si>
  <si>
    <t>Bray Hall</t>
  </si>
  <si>
    <t>L055</t>
  </si>
  <si>
    <t>Bryckwyck</t>
  </si>
  <si>
    <t>L049</t>
  </si>
  <si>
    <t>Burdett Residence Hall (BARH)</t>
  </si>
  <si>
    <t>L005</t>
  </si>
  <si>
    <t>Carnegie Building</t>
  </si>
  <si>
    <t>L046</t>
  </si>
  <si>
    <t>Cary Hall</t>
  </si>
  <si>
    <t>L061</t>
  </si>
  <si>
    <t>Center for Biotechnology and Interdisciplinary Studies</t>
  </si>
  <si>
    <t>L048</t>
  </si>
  <si>
    <t>Chapel and Cultural Center</t>
  </si>
  <si>
    <t>L020</t>
  </si>
  <si>
    <t>Cogswell Laboratory</t>
  </si>
  <si>
    <t>L057</t>
  </si>
  <si>
    <t>Colonie Apartments</t>
  </si>
  <si>
    <t>L038</t>
  </si>
  <si>
    <t>Commons Dining Hall</t>
  </si>
  <si>
    <t>L039</t>
  </si>
  <si>
    <t>Crockett Hall</t>
  </si>
  <si>
    <t>L017</t>
  </si>
  <si>
    <t>Darrin Communications Center</t>
  </si>
  <si>
    <t>L041</t>
  </si>
  <si>
    <t>Davison Hall</t>
  </si>
  <si>
    <t>L011</t>
  </si>
  <si>
    <t>E Complex</t>
  </si>
  <si>
    <t>L059</t>
  </si>
  <si>
    <t>East Campus Athletic Village</t>
  </si>
  <si>
    <t>L063</t>
  </si>
  <si>
    <t>Experimental Media and Performing Arts Center</t>
  </si>
  <si>
    <t>L023</t>
  </si>
  <si>
    <t>Folsom Library</t>
  </si>
  <si>
    <t>L024</t>
  </si>
  <si>
    <t>Greene Building</t>
  </si>
  <si>
    <t>L052</t>
  </si>
  <si>
    <t>Greenhouses and Grounds Barn</t>
  </si>
  <si>
    <t>L031</t>
  </si>
  <si>
    <t>H Building</t>
  </si>
  <si>
    <t>L045</t>
  </si>
  <si>
    <t>Hall Hall</t>
  </si>
  <si>
    <t>L067</t>
  </si>
  <si>
    <t>Harkness Field</t>
  </si>
  <si>
    <t>L032</t>
  </si>
  <si>
    <t>Heffner Alumni House</t>
  </si>
  <si>
    <t>L050</t>
  </si>
  <si>
    <t>Houston Field House</t>
  </si>
  <si>
    <t>L030</t>
  </si>
  <si>
    <t>J Building</t>
  </si>
  <si>
    <t>L018</t>
  </si>
  <si>
    <t>Jonsson Engineering Center</t>
  </si>
  <si>
    <t>L019</t>
  </si>
  <si>
    <t>Jonsson-Rowland Science Center</t>
  </si>
  <si>
    <t>L025</t>
  </si>
  <si>
    <t>Lally Hall</t>
  </si>
  <si>
    <t>L015</t>
  </si>
  <si>
    <t>Low Center for Industrial Innovation</t>
  </si>
  <si>
    <t>L021</t>
  </si>
  <si>
    <t>Materials Research Center</t>
  </si>
  <si>
    <t>L036</t>
  </si>
  <si>
    <t>Mueller Center</t>
  </si>
  <si>
    <t>L040</t>
  </si>
  <si>
    <t>Nason Hall</t>
  </si>
  <si>
    <t>L010</t>
  </si>
  <si>
    <t>North hall</t>
  </si>
  <si>
    <t>L043</t>
  </si>
  <si>
    <t>Nugent Hall</t>
  </si>
  <si>
    <t>L062</t>
  </si>
  <si>
    <t>Parking Garage</t>
  </si>
  <si>
    <t>L003</t>
  </si>
  <si>
    <t>Pittsburgh Building</t>
  </si>
  <si>
    <t>L034</t>
  </si>
  <si>
    <t>Public Safety</t>
  </si>
  <si>
    <t>L014</t>
  </si>
  <si>
    <t>Quadrangle Complex</t>
  </si>
  <si>
    <t>L054</t>
  </si>
  <si>
    <t>Radio Club W2SZ</t>
  </si>
  <si>
    <t>L051</t>
  </si>
  <si>
    <t>RAHPS A</t>
  </si>
  <si>
    <t>L056</t>
  </si>
  <si>
    <t>RAHPS B</t>
  </si>
  <si>
    <t>L002</t>
  </si>
  <si>
    <t>Rensselaer Union</t>
  </si>
  <si>
    <t>L012</t>
  </si>
  <si>
    <t>Ricketts Building</t>
  </si>
  <si>
    <t>L037</t>
  </si>
  <si>
    <t>Robison Pool</t>
  </si>
  <si>
    <t>L065</t>
  </si>
  <si>
    <t>RPI Ambulance</t>
  </si>
  <si>
    <t>L016</t>
  </si>
  <si>
    <t>RPI Playhouse</t>
  </si>
  <si>
    <t>L001</t>
  </si>
  <si>
    <t>Russell Sage Dining Hall</t>
  </si>
  <si>
    <t>L008</t>
  </si>
  <si>
    <t>Russell Sage Laboratory</t>
  </si>
  <si>
    <t>Russell Sage Laboratory (Accessibility Entrance)</t>
  </si>
  <si>
    <t>L068</t>
  </si>
  <si>
    <t>Samaritan Hospital</t>
  </si>
  <si>
    <t>L028</t>
  </si>
  <si>
    <t>Service Building</t>
  </si>
  <si>
    <t>L042</t>
  </si>
  <si>
    <t>Sharp Hall</t>
  </si>
  <si>
    <t>L053</t>
  </si>
  <si>
    <t>Stacwyck Apartments</t>
  </si>
  <si>
    <t>L066</t>
  </si>
  <si>
    <t>Stadium Field</t>
  </si>
  <si>
    <t>L009</t>
  </si>
  <si>
    <t>Troy Building</t>
  </si>
  <si>
    <t>L022</t>
  </si>
  <si>
    <t>Voorhees Computing Center</t>
  </si>
  <si>
    <t>L006</t>
  </si>
  <si>
    <t>Walker Laboratory (South Entrance)</t>
  </si>
  <si>
    <t>Walker Laboratory (East Entrance)</t>
  </si>
  <si>
    <t>L044</t>
  </si>
  <si>
    <t>Warren Hall</t>
  </si>
  <si>
    <t>L004</t>
  </si>
  <si>
    <t>West Hall</t>
  </si>
  <si>
    <t>L071</t>
  </si>
  <si>
    <t>Winslow Building</t>
  </si>
  <si>
    <t>No connection. Coordinates overlap N71. Confirm how to link this landmark.</t>
  </si>
  <si>
    <t>N71</t>
  </si>
  <si>
    <t>path_point</t>
  </si>
  <si>
    <t>Coordinates overlap Winslow Building. Confirm whether they identify the same place.</t>
  </si>
  <si>
    <t>Nodes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</si>
  <si>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</si>
  <si>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</si>
  <si>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</si>
  <si>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</si>
  <si>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</si>
  <si>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</si>
  <si>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</si>
  <si>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</si>
  <si>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</si>
  <si>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</si>
  <si>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</si>
  <si>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</si>
  <si>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</si>
  <si>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</si>
  <si>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</si>
  <si>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</si>
  <si>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</si>
  <si>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</si>
  <si>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</si>
  <si>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</si>
  <si>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</si>
  <si>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</si>
  <si>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</si>
  <si>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</si>
  <si>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</si>
  <si>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</si>
  <si>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</si>
  <si>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</si>
  <si>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</si>
  <si>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</si>
  <si>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</si>
  <si>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</si>
  <si>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</si>
  <si>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</si>
  <si>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</si>
  <si>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</si>
  <si>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</si>
  <si>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</si>
  <si>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</si>
  <si>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</si>
  <si>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</si>
  <si>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</si>
  <si>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</si>
  <si>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</si>
  <si>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</si>
  <si>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</si>
  <si>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</si>
  <si>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</si>
  <si>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</si>
  <si>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</si>
  <si>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</si>
  <si>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</si>
  <si>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</si>
  <si>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</si>
  <si>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</si>
  <si>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</si>
  <si>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</si>
  <si>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</si>
  <si>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</si>
  <si>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</si>
  <si>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</si>
  <si>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</si>
  <si>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</si>
  <si>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</si>
  <si>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</si>
  <si>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</si>
  <si>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</si>
  <si>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</si>
  <si>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</si>
  <si>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</si>
  <si>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</si>
  <si>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</si>
  <si>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</si>
  <si>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</si>
  <si>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</si>
  <si>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</si>
  <si>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</si>
  <si>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</si>
  <si>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</si>
  <si>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</si>
  <si>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</si>
  <si>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</si>
  <si>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</si>
  <si>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</si>
  <si>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</si>
  <si>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</si>
  <si>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</si>
  <si>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</si>
  <si>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</si>
  <si>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</si>
  <si>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</si>
  <si>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</si>
  <si>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</si>
  <si>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</si>
  <si>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</si>
  <si>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</si>
  <si>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</si>
  <si>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</si>
  <si>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</si>
  <si>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</si>
  <si>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</si>
  <si>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</si>
  <si>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</si>
  <si>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</si>
  <si>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</si>
  <si>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</si>
  <si>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</si>
  <si>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</si>
  <si>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</si>
  <si>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</si>
  <si>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</si>
  <si>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</si>
  <si>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</si>
  <si>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</si>
  <si>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</si>
  <si>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</si>
  <si>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</si>
  <si>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</si>
  <si>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</si>
  <si>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</si>
  <si>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</si>
  <si>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</si>
  <si>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</si>
  <si>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</si>
  <si>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</si>
  <si>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</si>
  <si>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</si>
  <si>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</si>
  <si>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</si>
  <si>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</si>
  <si>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</si>
  <si>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</si>
  <si>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</si>
  <si>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</si>
  <si>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</si>
  <si>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</si>
  <si>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</si>
  <si>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</si>
  <si>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</si>
  <si>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</si>
  <si>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</si>
  <si>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</si>
  <si>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</si>
  <si>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</si>
  <si>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</si>
  <si>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</si>
  <si>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</si>
  <si>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</si>
  <si>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</si>
  <si>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</si>
  <si>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</si>
  <si>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</si>
  <si>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</si>
  <si>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</si>
  <si>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</si>
  <si>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</si>
  <si>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</si>
  <si>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</si>
  <si>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</si>
  <si>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</si>
  <si>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</si>
  <si>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</si>
  <si>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</si>
  <si>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</si>
  <si>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</si>
  <si>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</si>
  <si>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</si>
  <si>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</si>
  <si>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</si>
  <si>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</si>
  <si>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</si>
  <si>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</si>
  <si>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</si>
  <si>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</si>
  <si>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</si>
  <si>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</si>
  <si>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</si>
  <si>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</si>
  <si>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</si>
  <si>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</si>
  <si>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</si>
  <si>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</si>
  <si>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</si>
  <si>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</si>
  <si>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</si>
  <si>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</si>
  <si>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</si>
  <si>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</si>
  <si>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</si>
  <si>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</si>
  <si>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</si>
  <si>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</si>
  <si>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</si>
  <si>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</si>
  <si>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</si>
  <si>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</si>
  <si>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</si>
  <si>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</si>
  <si>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</si>
  <si>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</si>
  <si>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</si>
  <si>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</si>
  <si>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</si>
  <si>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</si>
  <si>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</si>
  <si>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</si>
  <si>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</si>
  <si>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</si>
  <si>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</si>
  <si>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</si>
  <si>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</si>
  <si>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</si>
  <si>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</si>
  <si>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</si>
  <si>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</si>
  <si>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</si>
  <si>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</si>
  <si>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</si>
  <si>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</si>
  <si>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</si>
  <si>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</si>
  <si>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</si>
  <si>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</si>
  <si>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</si>
  <si>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</si>
  <si>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</si>
  <si>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</si>
  <si>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</si>
  <si>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</si>
  <si>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</si>
  <si>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</si>
  <si>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</si>
  <si>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</si>
  <si>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</si>
  <si>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</si>
  <si>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</si>
  <si>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</si>
  <si>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</si>
  <si>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</si>
  <si>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</si>
  <si>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</si>
  <si>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</si>
  <si>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</si>
  <si>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</si>
  <si>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</si>
  <si>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</si>
  <si>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</si>
  <si>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</si>
  <si>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</si>
  <si>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</si>
  <si>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</si>
  <si>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</si>
  <si>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</si>
  <si>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</si>
  <si>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</si>
  <si>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</si>
  <si>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</si>
  <si>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</si>
  <si>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</si>
  <si>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</si>
  <si>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</si>
  <si>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</si>
  <si>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</si>
  <si>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</si>
  <si>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</si>
  <si>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</si>
  <si>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</si>
  <si>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</si>
  <si>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</si>
  <si>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</si>
  <si>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</si>
  <si>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</si>
  <si>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</si>
  <si>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</si>
  <si>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</si>
  <si>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</si>
  <si>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</si>
  <si>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</si>
  <si>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</si>
  <si>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</si>
  <si>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</si>
  <si>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</si>
  <si>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</si>
  <si>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</si>
  <si>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</si>
  <si>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</si>
  <si>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</si>
  <si>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</si>
  <si>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</si>
  <si>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</si>
  <si>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</si>
  <si>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</si>
  <si>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</si>
  <si>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</si>
  <si>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</si>
  <si>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</si>
  <si>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</si>
  <si>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</si>
  <si>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</si>
  <si>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</si>
  <si>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</si>
  <si>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</si>
  <si>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</si>
  <si>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</si>
  <si>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</si>
  <si>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</si>
  <si>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</si>
  <si>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</si>
  <si>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</si>
  <si>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</si>
  <si>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</si>
  <si>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</si>
  <si>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</si>
  <si>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</si>
  <si>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</si>
  <si>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</si>
  <si>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</si>
  <si>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</si>
  <si>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</si>
  <si>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</si>
  <si>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</si>
  <si>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</si>
  <si>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</si>
  <si>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</si>
  <si>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</si>
  <si>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</si>
  <si>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</si>
  <si>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</si>
  <si>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</si>
  <si>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</si>
  <si>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</si>
  <si>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</si>
  <si>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</si>
  <si>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</si>
  <si>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</si>
  <si>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</si>
  <si>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</si>
  <si>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</si>
  <si>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</si>
  <si>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</si>
  <si>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</si>
  <si>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</si>
  <si>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</si>
  <si>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</si>
  <si>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</si>
  <si>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</si>
  <si>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</si>
  <si>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</si>
  <si>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</si>
  <si>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</si>
  <si>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</si>
  <si>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</si>
  <si>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</si>
  <si>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</si>
  <si>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</si>
  <si>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</si>
  <si>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</si>
  <si>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</si>
  <si>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</si>
  <si>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</si>
  <si>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</si>
  <si>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</si>
  <si>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</si>
  <si>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</si>
  <si>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</si>
  <si>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</si>
  <si>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</si>
  <si>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</si>
  <si>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</si>
  <si>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</si>
  <si>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</si>
  <si>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</si>
  <si>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</si>
  <si>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</si>
  <si>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</si>
  <si>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</si>
  <si>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Legacy TRUE/FALSE is the source claim. Field inputs are amber. Distances are endpoint estimates in meters.</t>
  </si>
  <si>
    <t>edge_id</t>
  </si>
  <si>
    <t>from_id</t>
  </si>
  <si>
    <t>to_id</t>
  </si>
  <si>
    <t>legacy_accessible</t>
  </si>
  <si>
    <t>straight_line_m</t>
  </si>
  <si>
    <t>confirmed_accessible</t>
  </si>
  <si>
    <t>has_stairs</t>
  </si>
  <si>
    <t>has_ramp</t>
  </si>
  <si>
    <t>surface</t>
  </si>
  <si>
    <t>width_m</t>
  </si>
  <si>
    <t>slope_pct</t>
  </si>
  <si>
    <t>access_notes</t>
  </si>
  <si>
    <t>evidence</t>
  </si>
  <si>
    <t>import_note</t>
  </si>
  <si>
    <t>from_lat</t>
  </si>
  <si>
    <t>from_lon</t>
  </si>
  <si>
    <t>to_lat</t>
  </si>
  <si>
    <t>to_lon</t>
  </si>
  <si>
    <t>E0001</t>
  </si>
  <si>
    <t>TRUE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</si>
  <si>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</si>
  <si>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</si>
  <si>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</si>
  <si>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</si>
  <si>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</si>
  <si>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</si>
  <si>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</si>
  <si>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</si>
  <si>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</si>
  <si>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</si>
  <si>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</si>
  <si>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</si>
  <si>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</si>
  <si>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</si>
  <si>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</si>
  <si>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</si>
  <si>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</si>
  <si>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</si>
  <si>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</si>
  <si>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</si>
  <si>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</si>
  <si>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</si>
  <si>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</si>
  <si>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</si>
  <si>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</si>
  <si>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</si>
  <si>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</si>
  <si>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</si>
  <si>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</si>
  <si>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</si>
  <si>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</si>
  <si>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</si>
  <si>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</si>
  <si>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</si>
  <si>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</si>
  <si>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</si>
  <si>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</si>
  <si>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</si>
  <si>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</si>
  <si>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</si>
  <si>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</si>
  <si>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</si>
  <si>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</si>
  <si>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</si>
  <si>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</si>
  <si>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</si>
  <si>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</si>
  <si>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</si>
  <si>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</si>
  <si>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</si>
  <si>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</si>
  <si>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</si>
  <si>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</si>
  <si>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</si>
  <si>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FALSE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</si>
  <si>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</si>
  <si>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</si>
  <si>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</si>
  <si>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</si>
  <si>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</si>
  <si>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</si>
  <si>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</si>
  <si>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</si>
  <si>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</si>
  <si>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</si>
  <si>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</si>
  <si>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</si>
  <si>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</si>
  <si>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</si>
  <si>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</si>
  <si>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</si>
  <si>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</si>
  <si>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</si>
  <si>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</si>
  <si>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</si>
  <si>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</si>
  <si>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</si>
  <si>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</si>
  <si>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</si>
  <si>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</si>
  <si>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</si>
  <si>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</si>
  <si>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</si>
  <si>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</si>
  <si>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</si>
  <si>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</si>
  <si>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</si>
  <si>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</si>
  <si>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</si>
  <si>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Mapped Russell Sage Dining Hall to Russell Sage Dining Hall (L001).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</si>
  <si>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</si>
  <si>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</si>
  <si>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</si>
  <si>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</si>
  <si>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</si>
  <si>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</si>
  <si>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</si>
  <si>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</si>
  <si>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</si>
  <si>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</si>
  <si>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</si>
  <si>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</si>
  <si>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</si>
  <si>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</si>
  <si>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</si>
  <si>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</si>
  <si>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</si>
  <si>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</si>
  <si>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</si>
  <si>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</si>
  <si>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</si>
  <si>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</si>
  <si>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</si>
  <si>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</si>
  <si>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</si>
  <si>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</si>
  <si>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</si>
  <si>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</si>
  <si>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</si>
  <si>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</si>
  <si>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</si>
  <si>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</si>
  <si>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</si>
  <si>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</si>
  <si>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</si>
  <si>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</si>
  <si>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</si>
  <si>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</si>
  <si>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</si>
  <si>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</si>
  <si>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</si>
  <si>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</si>
  <si>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</si>
  <si>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</si>
  <si>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</si>
  <si>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</si>
  <si>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</si>
  <si>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</si>
  <si>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</si>
  <si>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</si>
  <si>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</si>
  <si>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</si>
  <si>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</si>
  <si>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</si>
  <si>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</si>
  <si>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</si>
  <si>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</si>
  <si>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</si>
  <si>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</si>
  <si>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</si>
  <si>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</si>
  <si>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</si>
  <si>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</si>
  <si>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</si>
  <si>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</si>
  <si>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</si>
  <si>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</si>
  <si>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</si>
  <si>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</si>
  <si>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</si>
  <si>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</si>
  <si>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</si>
  <si>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</si>
  <si>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</si>
  <si>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</si>
  <si>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</si>
  <si>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</si>
  <si>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</si>
  <si>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</si>
  <si>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</si>
  <si>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</si>
  <si>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</si>
  <si>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</si>
  <si>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</si>
  <si>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</si>
  <si>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</si>
  <si>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</si>
  <si>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</si>
  <si>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</si>
  <si>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</si>
  <si>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</si>
  <si>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</si>
  <si>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</si>
  <si>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</si>
  <si>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</si>
  <si>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</si>
  <si>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</si>
  <si>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</si>
  <si>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</si>
  <si>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</si>
  <si>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</si>
  <si>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</si>
  <si>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</si>
  <si>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</si>
  <si>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</si>
  <si>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</si>
  <si>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</si>
  <si>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</si>
  <si>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</si>
  <si>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</si>
  <si>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</si>
  <si>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</si>
  <si>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</si>
  <si>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</si>
  <si>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</si>
  <si>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</si>
  <si>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</si>
  <si>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</si>
  <si>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</si>
  <si>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</si>
  <si>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</si>
  <si>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</si>
  <si>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</si>
  <si>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</si>
  <si>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</si>
  <si>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</si>
  <si>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</si>
  <si>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</si>
  <si>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</si>
  <si>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</si>
  <si>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</si>
  <si>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</si>
  <si>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</si>
  <si>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</si>
  <si>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</si>
  <si>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</si>
  <si>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</si>
  <si>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</si>
  <si>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</si>
  <si>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</si>
  <si>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</si>
  <si>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</si>
  <si>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</si>
  <si>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</si>
  <si>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</si>
  <si>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</si>
  <si>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</si>
  <si>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</si>
  <si>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</si>
  <si>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</si>
  <si>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</si>
  <si>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</si>
  <si>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</si>
  <si>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</si>
  <si>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</si>
  <si>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</si>
  <si>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</si>
  <si>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</si>
  <si>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</si>
  <si>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</si>
  <si>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</si>
  <si>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</si>
  <si>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</si>
  <si>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</si>
  <si>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</si>
  <si>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</si>
  <si>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</si>
  <si>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</si>
  <si>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</si>
  <si>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</si>
  <si>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</si>
  <si>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</si>
  <si>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</si>
  <si>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</si>
  <si>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</si>
  <si>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</si>
  <si>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</si>
  <si>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</si>
  <si>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</si>
  <si>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</si>
  <si>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</si>
  <si>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</si>
  <si>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</si>
  <si>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</si>
  <si>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</si>
  <si>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</si>
  <si>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</si>
  <si>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</si>
  <si>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</si>
  <si>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</si>
  <si>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</si>
  <si>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</si>
  <si>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</si>
  <si>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</si>
  <si>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</si>
  <si>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</si>
  <si>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</si>
  <si>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</si>
  <si>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</si>
  <si>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</si>
  <si>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</si>
  <si>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</si>
  <si>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</si>
  <si>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</si>
  <si>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</si>
  <si>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</si>
  <si>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</si>
  <si>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</si>
  <si>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</si>
  <si>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</si>
  <si>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</si>
  <si>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</si>
  <si>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</si>
  <si>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</si>
  <si>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</si>
  <si>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</si>
  <si>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</si>
  <si>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</si>
  <si>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</si>
  <si>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</si>
  <si>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</si>
  <si>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</si>
  <si>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</si>
  <si>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</si>
  <si>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</si>
  <si>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</si>
  <si>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</si>
  <si>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</si>
  <si>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</si>
  <si>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</si>
  <si>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</si>
  <si>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</si>
  <si>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</si>
  <si>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</si>
  <si>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</si>
  <si>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</si>
  <si>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</si>
  <si>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</si>
  <si>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</si>
  <si>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</si>
  <si>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</si>
  <si>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</si>
  <si>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</si>
  <si>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</si>
  <si>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</si>
  <si>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</si>
  <si>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</si>
  <si>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</si>
  <si>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</si>
  <si>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</si>
  <si>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</si>
  <si>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</si>
  <si>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</si>
  <si>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</si>
  <si>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</si>
  <si>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</si>
  <si>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</si>
  <si>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</si>
  <si>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</si>
  <si>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</si>
  <si>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</si>
  <si>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</si>
  <si>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</si>
  <si>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</si>
  <si>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</si>
  <si>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</si>
  <si>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</si>
  <si>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</si>
  <si>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</si>
  <si>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</si>
  <si>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</si>
  <si>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</si>
  <si>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</si>
  <si>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</si>
  <si>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</si>
  <si>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</si>
  <si>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</si>
  <si>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</si>
  <si>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</si>
  <si>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</si>
  <si>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</si>
  <si>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</si>
  <si>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</si>
  <si>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</si>
  <si>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</si>
  <si>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</si>
  <si>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</si>
  <si>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</si>
  <si>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</si>
  <si>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</si>
  <si>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</si>
  <si>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</si>
  <si>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</si>
  <si>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</si>
  <si>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</si>
  <si>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</si>
  <si>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</si>
  <si>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</si>
  <si>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</si>
  <si>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</si>
  <si>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</si>
  <si>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</si>
  <si>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</si>
  <si>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</si>
  <si>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</si>
  <si>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</si>
  <si>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</si>
  <si>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</si>
  <si>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</si>
  <si>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</si>
  <si>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</si>
  <si>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</si>
  <si>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</si>
  <si>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</si>
  <si>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</si>
  <si>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</si>
  <si>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</si>
  <si>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</si>
  <si>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</si>
  <si>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</si>
  <si>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</si>
  <si>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</si>
  <si>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</si>
  <si>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</si>
  <si>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</si>
  <si>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</si>
  <si>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</si>
  <si>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</si>
  <si>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</si>
  <si>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</si>
  <si>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</si>
  <si>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</si>
  <si>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</si>
  <si>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</si>
  <si>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</si>
  <si>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</si>
  <si>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</si>
  <si>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</si>
  <si>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</si>
  <si>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</si>
  <si>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</si>
  <si>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</si>
  <si>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</si>
  <si>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</si>
  <si>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</si>
  <si>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</si>
  <si>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</si>
  <si>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</si>
  <si>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</si>
  <si>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</si>
  <si>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</si>
  <si>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</si>
  <si>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</si>
  <si>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</si>
  <si>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</si>
  <si>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</si>
  <si>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</si>
  <si>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</si>
  <si>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</si>
  <si>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</si>
  <si>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</si>
  <si>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</si>
  <si>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</si>
  <si>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</si>
  <si>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</si>
  <si>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</si>
  <si>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</si>
  <si>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</si>
  <si>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</si>
  <si>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</si>
  <si>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</si>
  <si>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</si>
  <si>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</si>
  <si>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</si>
  <si>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</si>
  <si>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</si>
  <si>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</si>
  <si>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</si>
  <si>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</si>
  <si>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</si>
  <si>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</si>
  <si>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</si>
  <si>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</si>
  <si>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</si>
  <si>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</si>
  <si>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</si>
  <si>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</si>
  <si>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</si>
  <si>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</si>
  <si>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</si>
  <si>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</si>
  <si>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</si>
  <si>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</si>
  <si>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</si>
  <si>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</si>
  <si>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</si>
  <si>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</si>
  <si>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</si>
  <si>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</si>
  <si>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</si>
  <si>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</si>
  <si>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</si>
  <si>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</si>
  <si>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</si>
  <si>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</si>
  <si>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</si>
  <si>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</si>
  <si>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</si>
  <si>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</si>
  <si>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</si>
  <si>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</si>
  <si>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</si>
  <si>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</si>
  <si>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</si>
  <si>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</si>
  <si>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</si>
  <si>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</si>
  <si>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</si>
  <si>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</si>
  <si>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</si>
  <si>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</si>
  <si>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</si>
  <si>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</si>
  <si>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</si>
  <si>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</si>
  <si>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</si>
  <si>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</si>
  <si>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</si>
  <si>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</si>
  <si>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</si>
  <si>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</si>
  <si>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</si>
  <si>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</si>
  <si>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</si>
  <si>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</si>
  <si>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</si>
  <si>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</si>
  <si>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</si>
  <si>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</si>
  <si>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</si>
  <si>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</si>
  <si>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</si>
  <si>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</si>
  <si>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</si>
  <si>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</si>
  <si>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</si>
  <si>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</si>
  <si>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</si>
  <si>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</si>
  <si>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</si>
  <si>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</si>
  <si>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</si>
  <si>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</si>
  <si>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</si>
  <si>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</si>
  <si>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</si>
  <si>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</si>
  <si>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</si>
  <si>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</si>
  <si>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</si>
  <si>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</si>
  <si>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</si>
  <si>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</si>
  <si>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</si>
  <si>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</si>
  <si>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</si>
  <si>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</si>
  <si>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</si>
  <si>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</si>
  <si>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</si>
  <si>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</si>
  <si>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</si>
  <si>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</si>
  <si>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</si>
  <si>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</si>
  <si>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</si>
  <si>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</si>
  <si>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</si>
  <si>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</si>
  <si>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</si>
  <si>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</si>
  <si>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</si>
  <si>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</si>
  <si>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</si>
  <si>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</si>
  <si>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</si>
  <si>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</si>
  <si>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</si>
  <si>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</si>
  <si>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</si>
  <si>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</si>
  <si>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</si>
  <si>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</si>
  <si>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</si>
  <si>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</si>
  <si>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Issues and reuse notes</t>
  </si>
  <si>
    <t>Audit dated 2026-09-29. Connectivity assumes bidirectional edges, matching the source app.</t>
  </si>
  <si>
    <t>Issue ID</t>
  </si>
  <si>
    <t>Status</t>
  </si>
  <si>
    <t>Problem</t>
  </si>
  <si>
    <t>Evidence</t>
  </si>
  <si>
    <t>Source</t>
  </si>
  <si>
    <t>I01</t>
  </si>
  <si>
    <t>Fixed</t>
  </si>
  <si>
    <t>Misspelled endpoint</t>
  </si>
  <si>
    <t>Edges row 90 uses Russell Sage Dining Hall. Landmarks row 2 uses Russell Sage Dining Hall.</t>
  </si>
  <si>
    <t>Connections maps E0089 to L001. Original data is retained. This repairs a name, not a field observation.</t>
  </si>
  <si>
    <t>Edges!A90:C90; Landmarks!A2:C2</t>
  </si>
  <si>
    <t>I02</t>
  </si>
  <si>
    <t>Resolve</t>
  </si>
  <si>
    <t>Winslow has no connection</t>
  </si>
  <si>
    <t>Winslow Building has degree 0. Its coordinates are within 0.001 m of N71, which is connected.</t>
  </si>
  <si>
    <t>Confirm the landmark-to-node relationship and entrance on site. No edge or alias has been invented.</t>
  </si>
  <si>
    <t>Landmarks!A72:C72; Nodes!A2:C2</t>
  </si>
  <si>
    <t>I03</t>
  </si>
  <si>
    <t>Verify</t>
  </si>
  <si>
    <t>E Complex loses access</t>
  </si>
  <si>
    <t>Its only source connection is E0194 to N135, flagged FALSE. It is isolated when FALSE edges are excluded.</t>
  </si>
  <si>
    <t>Verify whether an alternate accessible entrance/path exists. Preserve the FALSE label until checked.</t>
  </si>
  <si>
    <t>Edges!A195:C195</t>
  </si>
  <si>
    <t>I04</t>
  </si>
  <si>
    <t>Accessibility has no evidence</t>
  </si>
  <si>
    <t>All 584 records lack inspection dates, verifier names, and reasons for their TRUE/FALSE labels.</t>
  </si>
  <si>
    <t>Verify the pilot segments. Leave confirmed_accessible unknown until the team has evidence.</t>
  </si>
  <si>
    <t>Edges!A1:C585</t>
  </si>
  <si>
    <t>I05</t>
  </si>
  <si>
    <t>Entrances are unspecified</t>
  </si>
  <si>
    <t>Landmarks provide only name, latitude, and longitude. No entrance IDs, floors, or door access details are recorded.</t>
  </si>
  <si>
    <t>Locate the actual usable entrances and connect them to the outdoor graph. Do not assume a building pin is a door.</t>
  </si>
  <si>
    <t>Landmarks!A1:C72</t>
  </si>
  <si>
    <t>I06</t>
  </si>
  <si>
    <t>Inspect</t>
  </si>
  <si>
    <t>Long straight segments</t>
  </si>
  <si>
    <t>18 source segments exceed 200 m between endpoints. Long segments are inspection candidates, not proven errors.</t>
  </si>
  <si>
    <t>Check the real path shape, intermediate turns, crossings, and barriers. Add intermediate points if needed.</t>
  </si>
  <si>
    <t>Long-segment table below</t>
  </si>
  <si>
    <t>I07</t>
  </si>
  <si>
    <t>Reference</t>
  </si>
  <si>
    <t>Android implementation</t>
  </si>
  <si>
    <t>Graph.kt reads local CSVs, applies Dijkstra, and treats edges as bidirectional. The UI and location code use Android APIs.</t>
  </si>
  <si>
    <t>Reuse the data model and algorithm ideas within your chosen web stack. Confirm direction restrictions in the field.</t>
  </si>
  <si>
    <t>Graph.kt: parseEdgesFromCSV / shortestPath; app/build.gradle.kts</t>
  </si>
  <si>
    <t>I08</t>
  </si>
  <si>
    <t>Handle</t>
  </si>
  <si>
    <t>No-route result is ambiguous</t>
  </si>
  <si>
    <t>shortestPath returns an empty Route for an unreachable destination. An empty Route also totals 0 distance.</t>
  </si>
  <si>
    <t>Return an explicit no-route result. Test disconnected destinations separately from start equals destination.</t>
  </si>
  <si>
    <t>Graph.kt: shortestPath / Route.totalDistance</t>
  </si>
  <si>
    <t>I09</t>
  </si>
  <si>
    <t>Nearest-point GPS snapping</t>
  </si>
  <si>
    <t>getClosestNode selects the geographically nearest node without a maximum-distance or connected-path test.</t>
  </si>
  <si>
    <t>Keep users within the supported area and use verified, reachable paths. Nearby points can lie across a barrier.</t>
  </si>
  <si>
    <t>Graph.kt: getClosestNode / startRoute</t>
  </si>
  <si>
    <t>I10</t>
  </si>
  <si>
    <t>Older source branch</t>
  </si>
  <si>
    <t>new_main points to a commit dated 2024-12-11. No campus inspection dates are supplied.</t>
  </si>
  <si>
    <t>Check current campus conditions. The commit date describes the code history, not a field survey.</t>
  </si>
  <si>
    <t>Repository commit listed below</t>
  </si>
  <si>
    <t>I11</t>
  </si>
  <si>
    <t>Checked</t>
  </si>
  <si>
    <t>Basic structure is consistent</t>
  </si>
  <si>
    <t>448 unique point names. No invalid coordinate ranges, duplicate undirected pairs, or self-loops. One original missing endpoint, fixed in Connections.</t>
  </si>
  <si>
    <t>Keep import validation for duplicate IDs, unresolved endpoints, and missing coordinates.</t>
  </si>
  <si>
    <t>All three original source tables</t>
  </si>
  <si>
    <t>I12</t>
  </si>
  <si>
    <t>Snapshot</t>
  </si>
  <si>
    <t>Graph connectivity</t>
  </si>
  <si>
    <t>Original: 446 connected points, plus Russell Sage Dining Hall and Winslow isolated. TRUE-only: 445, plus those two and E Complex.</t>
  </si>
  <si>
    <t>After the spelling fix: 447 connected points (70 landmarks). TRUE-only: 446 (69 landmarks). These are topology checks, not verified routes.</t>
  </si>
  <si>
    <t>Graph audit on source tables; one documented name fix</t>
  </si>
  <si>
    <t>Segments over 200 m to inspect</t>
  </si>
  <si>
    <t>Edge ID</t>
  </si>
  <si>
    <t>Source row</t>
  </si>
  <si>
    <t>From</t>
  </si>
  <si>
    <t>To</t>
  </si>
  <si>
    <t>Straight line (m)</t>
  </si>
  <si>
    <t>Review note</t>
  </si>
  <si>
    <t>Check turns, crossings, and barriers.</t>
  </si>
  <si>
    <t>Repository sources</t>
  </si>
  <si>
    <t>Branch commit</t>
  </si>
  <si>
    <t>https://github.com/rgtdthrd/RPI-Atlas/commit/ad4c20d72a5a9116513332047e3ffc1b6d84443e</t>
  </si>
  <si>
    <t>Routing code</t>
  </si>
  <si>
    <t>https://github.com/rgtdthrd/RPI-Atlas/blob/ad4c20d72a5a9116513332047e3ffc1b6d84443e/app/src/main/java/com/example/myapplication/Graph.kt</t>
  </si>
  <si>
    <t>Android setup</t>
  </si>
  <si>
    <t>https://github.com/rgtdthrd/RPI-Atlas/blob/ad4c20d72a5a9116513332047e3ffc1b6d84443e/app/build.gradle.kts</t>
  </si>
  <si>
    <t>App description</t>
  </si>
  <si>
    <t>https://github.com/rgtdthrd/RPI-Atlas/blob/ad4c20d72a5a9116513332047e3ffc1b6d84443e/README.md</t>
  </si>
  <si>
    <t>License</t>
  </si>
  <si>
    <t>https://github.com/rgtdthrd/RPI-Atlas/blob/ad4c20d72a5a9116513332047e3ffc1b6d84443e/LICENSE</t>
  </si>
  <si>
    <t>The repository includes an MIT license. Keep its copyright and license notice when copying repository material.</t>
  </si>
  <si>
    <t>Review method: spreadsheet audit, CSV comparison, and static code inspection. The Android app was not built or run.</t>
  </si>
  <si>
    <t>Name</t>
  </si>
  <si>
    <t>Latitude</t>
  </si>
  <si>
    <t>Longitude</t>
  </si>
  <si>
    <t>Original source</t>
  </si>
  <si>
    <t>ATLAS Graph Data.xlsx / Landmarks</t>
  </si>
  <si>
    <t>All original records and values in A:C are preserved.</t>
  </si>
  <si>
    <t>Repository comparison</t>
  </si>
  <si>
    <t>Walker Laboratory</t>
  </si>
  <si>
    <t>All 71 names match in order. Coordinate differences are below 0.001 m.</t>
  </si>
  <si>
    <t>Repository CSV</t>
  </si>
  <si>
    <t>https://github.com/rgtdthrd/RPI-Atlas/blob/ad4c20d72a5a9116513332047e3ffc1b6d84443e/app/src/main/res/raw/landmarkdata.csv</t>
  </si>
  <si>
    <t>Reviewed 2026-09-29. The branch commit is dated 2024-12-11.</t>
  </si>
  <si>
    <t>The commit date is not a campus inspection date.</t>
  </si>
  <si>
    <t>Source labels do not establish current accessibility.</t>
  </si>
  <si>
    <t>ATLAS Graph Data.xlsx / Nodes</t>
  </si>
  <si>
    <t>All 377 names match in order. Coordinate differences are below 0.001 m.</t>
  </si>
  <si>
    <t>https://github.com/rgtdthrd/RPI-Atlas/blob/ad4c20d72a5a9116513332047e3ffc1b6d84443e/app/src/main/res/raw/nodedata.csv</t>
  </si>
  <si>
    <t>Node 1 Name</t>
  </si>
  <si>
    <t>Node 2 Name</t>
  </si>
  <si>
    <t>Is Accessible</t>
  </si>
  <si>
    <t>ATLAS Graph Data.xlsx / Edges</t>
  </si>
  <si>
    <t>All 584 connections and flags match the repository CSV in order.</t>
  </si>
  <si>
    <t>https://github.com/rgtdthrd/RPI-Atlas/blob/ad4c20d72a5a9116513332047e3ffc1b6d84443e/app/src/main/res/raw/edgedata.csv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</si>
</sst>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0000000"/>
    <numFmt numFmtId="60" formatCode="yyyy&quot;-&quot;mm&quot;-&quot;dd"/>
    <numFmt numFmtId="61" formatCode="0.0"/>
  </numFmts>
  <fonts count="8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sz val="10"/>
      <color indexed="9"/>
      <name val="Arial"/>
    </font>
    <font>
      <b val="1"/>
      <sz val="16"/>
      <color indexed="9"/>
      <name val="Arial"/>
    </font>
    <font>
      <b val="1"/>
      <sz val="10"/>
      <color indexed="9"/>
      <name val="Arial"/>
    </font>
    <font>
      <b val="1"/>
      <sz val="10"/>
      <color indexed="10"/>
      <name val="Arial"/>
    </font>
    <font>
      <i val="1"/>
      <sz val="10"/>
      <color indexed="16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20"/>
        <bgColor auto="1"/>
      </patternFill>
    </fill>
  </fills>
  <borders count="2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thin">
        <color indexed="11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 style="thin">
        <color indexed="11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 style="thin">
        <color indexed="13"/>
      </bottom>
      <diagonal/>
    </border>
    <border>
      <left/>
      <right/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3"/>
      </top>
      <bottom style="thin">
        <color indexed="11"/>
      </bottom>
      <diagonal/>
    </border>
    <border>
      <left/>
      <right/>
      <top style="thin">
        <color indexed="13"/>
      </top>
      <bottom style="thin">
        <color indexed="11"/>
      </bottom>
      <diagonal/>
    </border>
    <border>
      <left style="thin">
        <color indexed="13"/>
      </left>
      <right/>
      <top style="thin">
        <color indexed="11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vertical="center"/>
    </xf>
    <xf numFmtId="0" fontId="3" fillId="2" borderId="5" applyNumberFormat="0" applyFont="1" applyFill="1" applyBorder="1" applyAlignment="1" applyProtection="0">
      <alignment vertical="center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3" fillId="2" borderId="7" applyNumberFormat="0" applyFont="1" applyFill="1" applyBorder="1" applyAlignment="1" applyProtection="0">
      <alignment vertical="center"/>
    </xf>
    <xf numFmtId="0" fontId="3" fillId="2" borderId="8" applyNumberFormat="0" applyFont="1" applyFill="1" applyBorder="1" applyAlignment="1" applyProtection="0">
      <alignment vertical="center"/>
    </xf>
    <xf numFmtId="49" fontId="5" fillId="2" borderId="9" applyNumberFormat="1" applyFont="1" applyFill="1" applyBorder="1" applyAlignment="1" applyProtection="0">
      <alignment vertical="center"/>
    </xf>
    <xf numFmtId="0" fontId="3" fillId="2" borderId="10" applyNumberFormat="0" applyFont="1" applyFill="1" applyBorder="1" applyAlignment="1" applyProtection="0">
      <alignment vertical="center"/>
    </xf>
    <xf numFmtId="49" fontId="3" fillId="2" borderId="4" applyNumberFormat="1" applyFont="1" applyFill="1" applyBorder="1" applyAlignment="1" applyProtection="0">
      <alignment vertical="center"/>
    </xf>
    <xf numFmtId="0" fontId="3" fillId="2" borderId="11" applyNumberFormat="0" applyFont="1" applyFill="1" applyBorder="1" applyAlignment="1" applyProtection="0">
      <alignment vertical="center"/>
    </xf>
    <xf numFmtId="0" fontId="3" fillId="2" borderId="12" applyNumberFormat="0" applyFont="1" applyFill="1" applyBorder="1" applyAlignment="1" applyProtection="0">
      <alignment vertical="center"/>
    </xf>
    <xf numFmtId="49" fontId="6" fillId="3" borderId="13" applyNumberFormat="1" applyFont="1" applyFill="1" applyBorder="1" applyAlignment="1" applyProtection="0">
      <alignment horizontal="center" vertical="center" wrapText="1"/>
    </xf>
    <xf numFmtId="49" fontId="6" fillId="3" borderId="14" applyNumberFormat="1" applyFont="1" applyFill="1" applyBorder="1" applyAlignment="1" applyProtection="0">
      <alignment horizontal="center" vertical="center" wrapText="1"/>
    </xf>
    <xf numFmtId="49" fontId="6" fillId="3" borderId="15" applyNumberFormat="1" applyFont="1" applyFill="1" applyBorder="1" applyAlignment="1" applyProtection="0">
      <alignment horizontal="center" vertical="center" wrapText="1"/>
    </xf>
    <xf numFmtId="0" fontId="0" borderId="16" applyNumberFormat="0" applyFont="1" applyFill="0" applyBorder="1" applyAlignment="1" applyProtection="0">
      <alignment vertical="bottom"/>
    </xf>
    <xf numFmtId="49" fontId="3" fillId="4" borderId="13" applyNumberFormat="1" applyFont="1" applyFill="1" applyBorder="1" applyAlignment="1" applyProtection="0">
      <alignment vertical="center"/>
    </xf>
    <xf numFmtId="3" fontId="3" fillId="4" borderId="14" applyNumberFormat="1" applyFont="1" applyFill="1" applyBorder="1" applyAlignment="1" applyProtection="0">
      <alignment vertical="center"/>
    </xf>
    <xf numFmtId="49" fontId="3" fillId="4" borderId="15" applyNumberFormat="1" applyFont="1" applyFill="1" applyBorder="1" applyAlignment="1" applyProtection="0">
      <alignment vertical="center"/>
    </xf>
    <xf numFmtId="49" fontId="3" fillId="2" borderId="13" applyNumberFormat="1" applyFont="1" applyFill="1" applyBorder="1" applyAlignment="1" applyProtection="0">
      <alignment vertical="center"/>
    </xf>
    <xf numFmtId="3" fontId="3" fillId="2" borderId="14" applyNumberFormat="1" applyFont="1" applyFill="1" applyBorder="1" applyAlignment="1" applyProtection="0">
      <alignment vertical="center"/>
    </xf>
    <xf numFmtId="49" fontId="3" fillId="2" borderId="15" applyNumberFormat="1" applyFont="1" applyFill="1" applyBorder="1" applyAlignment="1" applyProtection="0">
      <alignment vertical="center"/>
    </xf>
    <xf numFmtId="0" fontId="3" fillId="2" borderId="17" applyNumberFormat="0" applyFont="1" applyFill="1" applyBorder="1" applyAlignment="1" applyProtection="0">
      <alignment vertical="center"/>
    </xf>
    <xf numFmtId="0" fontId="3" fillId="2" borderId="18" applyNumberFormat="0" applyFont="1" applyFill="1" applyBorder="1" applyAlignment="1" applyProtection="0">
      <alignment vertical="center"/>
    </xf>
    <xf numFmtId="49" fontId="5" fillId="2" borderId="4" applyNumberFormat="1" applyFont="1" applyFill="1" applyBorder="1" applyAlignment="1" applyProtection="0">
      <alignment vertical="center"/>
    </xf>
    <xf numFmtId="0" fontId="3" fillId="4" borderId="14" applyNumberFormat="1" applyFont="1" applyFill="1" applyBorder="1" applyAlignment="1" applyProtection="0">
      <alignment vertical="center"/>
    </xf>
    <xf numFmtId="49" fontId="3" fillId="4" borderId="15" applyNumberFormat="1" applyFont="1" applyFill="1" applyBorder="1" applyAlignment="1" applyProtection="0">
      <alignment vertical="center" wrapText="1"/>
    </xf>
    <xf numFmtId="0" fontId="3" fillId="2" borderId="14" applyNumberFormat="1" applyFont="1" applyFill="1" applyBorder="1" applyAlignment="1" applyProtection="0">
      <alignment vertical="center"/>
    </xf>
    <xf numFmtId="49" fontId="3" fillId="2" borderId="15" applyNumberFormat="1" applyFont="1" applyFill="1" applyBorder="1" applyAlignment="1" applyProtection="0">
      <alignment vertical="center" wrapText="1"/>
    </xf>
    <xf numFmtId="0" fontId="3" fillId="2" borderId="4" applyNumberFormat="0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vertical="center" wrapText="1"/>
    </xf>
    <xf numFmtId="0" fontId="3" fillId="2" borderId="19" applyNumberFormat="0" applyFont="1" applyFill="1" applyBorder="1" applyAlignment="1" applyProtection="0">
      <alignment vertical="center"/>
    </xf>
    <xf numFmtId="0" fontId="3" fillId="2" borderId="20" applyNumberFormat="0" applyFont="1" applyFill="1" applyBorder="1" applyAlignment="1" applyProtection="0">
      <alignment vertical="center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2" borderId="22" applyNumberFormat="1" applyFont="1" applyFill="1" applyBorder="1" applyAlignment="1" applyProtection="0">
      <alignment vertical="center"/>
    </xf>
    <xf numFmtId="0" fontId="3" fillId="2" borderId="23" applyNumberFormat="0" applyFont="1" applyFill="1" applyBorder="1" applyAlignment="1" applyProtection="0">
      <alignment vertical="center"/>
    </xf>
    <xf numFmtId="0" fontId="0" borderId="24" applyNumberFormat="0" applyFont="1" applyFill="0" applyBorder="1" applyAlignment="1" applyProtection="0">
      <alignment vertical="bottom"/>
    </xf>
    <xf numFmtId="49" fontId="3" fillId="4" borderId="14" applyNumberFormat="1" applyFont="1" applyFill="1" applyBorder="1" applyAlignment="1" applyProtection="0">
      <alignment vertical="center"/>
    </xf>
    <xf numFmtId="59" fontId="3" fillId="4" borderId="14" applyNumberFormat="1" applyFont="1" applyFill="1" applyBorder="1" applyAlignment="1" applyProtection="0">
      <alignment vertical="center"/>
    </xf>
    <xf numFmtId="1" fontId="3" fillId="4" borderId="14" applyNumberFormat="1" applyFont="1" applyFill="1" applyBorder="1" applyAlignment="1" applyProtection="0">
      <alignment vertical="center"/>
    </xf>
    <xf numFmtId="49" fontId="3" fillId="5" borderId="14" applyNumberFormat="1" applyFont="1" applyFill="1" applyBorder="1" applyAlignment="1" applyProtection="0">
      <alignment vertical="center"/>
    </xf>
    <xf numFmtId="60" fontId="3" fillId="5" borderId="14" applyNumberFormat="1" applyFont="1" applyFill="1" applyBorder="1" applyAlignment="1" applyProtection="0">
      <alignment vertical="center"/>
    </xf>
    <xf numFmtId="0" fontId="3" fillId="5" borderId="14" applyNumberFormat="0" applyFont="1" applyFill="1" applyBorder="1" applyAlignment="1" applyProtection="0">
      <alignment vertical="center"/>
    </xf>
    <xf numFmtId="0" fontId="3" fillId="4" borderId="14" applyNumberFormat="0" applyFont="1" applyFill="1" applyBorder="1" applyAlignment="1" applyProtection="0">
      <alignment vertical="center" wrapText="1"/>
    </xf>
    <xf numFmtId="0" fontId="3" fillId="4" borderId="15" applyNumberFormat="1" applyFont="1" applyFill="1" applyBorder="1" applyAlignment="1" applyProtection="0">
      <alignment vertical="center"/>
    </xf>
    <xf numFmtId="49" fontId="3" fillId="2" borderId="14" applyNumberFormat="1" applyFont="1" applyFill="1" applyBorder="1" applyAlignment="1" applyProtection="0">
      <alignment vertical="center"/>
    </xf>
    <xf numFmtId="59" fontId="3" fillId="2" borderId="14" applyNumberFormat="1" applyFont="1" applyFill="1" applyBorder="1" applyAlignment="1" applyProtection="0">
      <alignment vertical="center"/>
    </xf>
    <xf numFmtId="1" fontId="3" fillId="2" borderId="14" applyNumberFormat="1" applyFont="1" applyFill="1" applyBorder="1" applyAlignment="1" applyProtection="0">
      <alignment vertical="center"/>
    </xf>
    <xf numFmtId="0" fontId="3" fillId="2" borderId="14" applyNumberFormat="0" applyFont="1" applyFill="1" applyBorder="1" applyAlignment="1" applyProtection="0">
      <alignment vertical="center" wrapText="1"/>
    </xf>
    <xf numFmtId="0" fontId="3" fillId="2" borderId="15" applyNumberFormat="1" applyFont="1" applyFill="1" applyBorder="1" applyAlignment="1" applyProtection="0">
      <alignment vertical="center"/>
    </xf>
    <xf numFmtId="49" fontId="5" fillId="2" borderId="14" applyNumberFormat="1" applyFont="1" applyFill="1" applyBorder="1" applyAlignment="1" applyProtection="0">
      <alignment vertical="center"/>
    </xf>
    <xf numFmtId="0" fontId="3" fillId="4" borderId="13" applyNumberFormat="0" applyFont="1" applyFill="1" applyBorder="1" applyAlignment="1" applyProtection="0">
      <alignment vertical="center"/>
    </xf>
    <xf numFmtId="49" fontId="5" fillId="4" borderId="14" applyNumberFormat="1" applyFont="1" applyFill="1" applyBorder="1" applyAlignment="1" applyProtection="0">
      <alignment vertical="center"/>
    </xf>
    <xf numFmtId="0" fontId="3" fillId="4" borderId="14" applyNumberFormat="0" applyFont="1" applyFill="1" applyBorder="1" applyAlignment="1" applyProtection="0">
      <alignment vertical="center"/>
    </xf>
    <xf numFmtId="0" fontId="3" fillId="4" borderId="15" applyNumberFormat="0" applyFont="1" applyFill="1" applyBorder="1" applyAlignment="1" applyProtection="0">
      <alignment vertical="center"/>
    </xf>
    <xf numFmtId="0" fontId="3" fillId="2" borderId="13" applyNumberFormat="0" applyFont="1" applyFill="1" applyBorder="1" applyAlignment="1" applyProtection="0">
      <alignment vertical="center"/>
    </xf>
    <xf numFmtId="0" fontId="3" fillId="2" borderId="14" applyNumberFormat="0" applyFont="1" applyFill="1" applyBorder="1" applyAlignment="1" applyProtection="0">
      <alignment vertical="center"/>
    </xf>
    <xf numFmtId="0" fontId="3" fillId="2" borderId="15" applyNumberFormat="0" applyFont="1" applyFill="1" applyBorder="1" applyAlignment="1" applyProtection="0">
      <alignment vertical="center"/>
    </xf>
    <xf numFmtId="49" fontId="3" fillId="4" borderId="14" applyNumberFormat="1" applyFont="1" applyFill="1" applyBorder="1" applyAlignment="1" applyProtection="0">
      <alignment vertical="center" wrapText="1"/>
    </xf>
    <xf numFmtId="49" fontId="3" fillId="2" borderId="14" applyNumberFormat="1" applyFont="1" applyFill="1" applyBorder="1" applyAlignment="1" applyProtection="0">
      <alignment vertical="center" wrapText="1"/>
    </xf>
    <xf numFmtId="0" fontId="0" borderId="25" applyNumberFormat="0" applyFont="1" applyFill="0" applyBorder="1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1" fontId="3" fillId="4" borderId="14" applyNumberFormat="1" applyFont="1" applyFill="1" applyBorder="1" applyAlignment="1" applyProtection="0">
      <alignment vertical="center"/>
    </xf>
    <xf numFmtId="2" fontId="3" fillId="5" borderId="14" applyNumberFormat="1" applyFont="1" applyFill="1" applyBorder="1" applyAlignment="1" applyProtection="0">
      <alignment vertical="center"/>
    </xf>
    <xf numFmtId="59" fontId="3" fillId="4" borderId="15" applyNumberFormat="1" applyFont="1" applyFill="1" applyBorder="1" applyAlignment="1" applyProtection="0">
      <alignment vertical="center"/>
    </xf>
    <xf numFmtId="61" fontId="3" fillId="2" borderId="14" applyNumberFormat="1" applyFont="1" applyFill="1" applyBorder="1" applyAlignment="1" applyProtection="0">
      <alignment vertical="center"/>
    </xf>
    <xf numFmtId="59" fontId="3" fillId="2" borderId="15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3" fillId="4" borderId="13" applyNumberFormat="1" applyFont="1" applyFill="1" applyBorder="1" applyAlignment="1" applyProtection="0">
      <alignment vertical="center" wrapText="1"/>
    </xf>
    <xf numFmtId="49" fontId="3" fillId="2" borderId="13" applyNumberFormat="1" applyFont="1" applyFill="1" applyBorder="1" applyAlignment="1" applyProtection="0">
      <alignment vertical="center" wrapText="1"/>
    </xf>
    <xf numFmtId="0" fontId="3" fillId="4" borderId="14" applyNumberFormat="1" applyFont="1" applyFill="1" applyBorder="1" applyAlignment="1" applyProtection="0">
      <alignment vertical="center" wrapText="1"/>
    </xf>
    <xf numFmtId="61" fontId="3" fillId="4" borderId="14" applyNumberFormat="1" applyFont="1" applyFill="1" applyBorder="1" applyAlignment="1" applyProtection="0">
      <alignment vertical="center" wrapText="1"/>
    </xf>
    <xf numFmtId="0" fontId="3" fillId="2" borderId="14" applyNumberFormat="1" applyFont="1" applyFill="1" applyBorder="1" applyAlignment="1" applyProtection="0">
      <alignment vertical="center" wrapText="1"/>
    </xf>
    <xf numFmtId="61" fontId="3" fillId="2" borderId="14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3" fillId="2" borderId="27" applyNumberFormat="0" applyFont="1" applyFill="1" applyBorder="1" applyAlignment="1" applyProtection="0">
      <alignment vertical="center"/>
    </xf>
    <xf numFmtId="49" fontId="5" fillId="2" borderId="3" applyNumberFormat="1" applyFont="1" applyFill="1" applyBorder="1" applyAlignment="1" applyProtection="0">
      <alignment vertical="center"/>
    </xf>
    <xf numFmtId="0" fontId="3" fillId="2" borderId="16" applyNumberFormat="0" applyFont="1" applyFill="1" applyBorder="1" applyAlignment="1" applyProtection="0">
      <alignment vertical="center"/>
    </xf>
    <xf numFmtId="49" fontId="3" fillId="2" borderId="6" applyNumberFormat="1" applyFont="1" applyFill="1" applyBorder="1" applyAlignment="1" applyProtection="0">
      <alignment vertical="center"/>
    </xf>
    <xf numFmtId="0" fontId="3" fillId="2" borderId="6" applyNumberFormat="0" applyFont="1" applyFill="1" applyBorder="1" applyAlignment="1" applyProtection="0">
      <alignment vertical="center"/>
    </xf>
    <xf numFmtId="49" fontId="5" fillId="2" borderId="6" applyNumberFormat="1" applyFont="1" applyFill="1" applyBorder="1" applyAlignment="1" applyProtection="0">
      <alignment vertical="center"/>
    </xf>
    <xf numFmtId="49" fontId="3" fillId="2" borderId="6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4">
    <dxf>
      <font>
        <b val="1"/>
        <color rgb="ff9c2d1b"/>
      </font>
      <fill>
        <patternFill patternType="solid">
          <fgColor indexed="17"/>
          <bgColor indexed="18"/>
        </patternFill>
      </fill>
    </dxf>
    <dxf>
      <font>
        <color rgb="ff855600"/>
      </font>
      <fill>
        <patternFill patternType="solid">
          <fgColor indexed="17"/>
          <bgColor indexed="20"/>
        </patternFill>
      </fill>
    </dxf>
    <dxf>
      <font>
        <b val="1"/>
        <color rgb="ff9c2d1b"/>
      </font>
      <fill>
        <patternFill patternType="solid">
          <fgColor indexed="17"/>
          <bgColor indexed="18"/>
        </patternFill>
      </fill>
    </dxf>
    <dxf>
      <font>
        <b val="1"/>
        <color rgb="ff9c2d1b"/>
      </font>
      <fill>
        <patternFill patternType="solid">
          <fgColor indexed="17"/>
          <bgColor indexed="18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20334a"/>
      <rgbColor rgb="ffffffff"/>
      <rgbColor rgb="ffaaaaaa"/>
      <rgbColor rgb="ffa5b5c6"/>
      <rgbColor rgb="ff729fb3"/>
      <rgbColor rgb="ff2d4b68"/>
      <rgbColor rgb="ffd0dfe5"/>
      <rgbColor rgb="ff5c6876"/>
      <rgbColor rgb="00000000"/>
      <rgbColor rgb="fffce5dd"/>
      <rgbColor rgb="ff9c2d1b"/>
      <rgbColor rgb="fffff2cc"/>
      <rgbColor rgb="ff8556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3"/>
  <sheetViews>
    <sheetView workbookViewId="0" showGridLines="0" defaultGridColor="1"/>
  </sheetViews>
  <sheetFormatPr defaultColWidth="8.83333" defaultRowHeight="14.25" customHeight="1" outlineLevelRow="0" outlineLevelCol="0"/>
  <cols>
    <col min="1" max="1" width="31" style="1" customWidth="1"/>
    <col min="2" max="2" width="17" style="1" customWidth="1"/>
    <col min="3" max="3" width="109" style="1" customWidth="1"/>
    <col min="4" max="5" width="8.85156" style="1" customWidth="1"/>
    <col min="6" max="16384" width="8.85156" style="1" customWidth="1"/>
  </cols>
  <sheetData>
    <row r="1" ht="23.1" customHeight="1">
      <c r="A1" s="2"/>
      <c r="B1" s="3"/>
      <c r="C1" s="3"/>
      <c r="D1" s="4"/>
      <c r="E1" s="5"/>
    </row>
    <row r="2" ht="23.1" customHeight="1">
      <c r="A2" t="s" s="6">
        <v>0</v>
      </c>
      <c r="B2" s="7"/>
      <c r="C2" s="7"/>
      <c r="D2" s="8"/>
      <c r="E2" s="9"/>
    </row>
    <row r="3" ht="23.1" customHeight="1">
      <c r="A3" s="10"/>
      <c r="B3" s="11"/>
      <c r="C3" s="11"/>
      <c r="D3" s="8"/>
      <c r="E3" s="9"/>
    </row>
    <row r="4" ht="23.1" customHeight="1">
      <c r="A4" t="s" s="12">
        <v>1</v>
      </c>
      <c r="B4" s="13"/>
      <c r="C4" s="13"/>
      <c r="D4" s="8"/>
      <c r="E4" s="9"/>
    </row>
    <row r="5" ht="23.1" customHeight="1">
      <c r="A5" t="s" s="14">
        <v>2</v>
      </c>
      <c r="B5" s="7"/>
      <c r="C5" s="7"/>
      <c r="D5" s="8"/>
      <c r="E5" s="9"/>
    </row>
    <row r="6" ht="23.1" customHeight="1">
      <c r="A6" s="15"/>
      <c r="B6" s="16"/>
      <c r="C6" s="16"/>
      <c r="D6" s="8"/>
      <c r="E6" s="9"/>
    </row>
    <row r="7" ht="36" customHeight="1">
      <c r="A7" t="s" s="17">
        <v>3</v>
      </c>
      <c r="B7" t="s" s="18">
        <v>4</v>
      </c>
      <c r="C7" t="s" s="19">
        <v>5</v>
      </c>
      <c r="D7" s="20"/>
      <c r="E7" s="9"/>
    </row>
    <row r="8" ht="23.1" customHeight="1">
      <c r="A8" t="s" s="21">
        <v>6</v>
      </c>
      <c r="B8" s="22">
        <f>_xlfn.COUNTIFS('Locations'!C6:C455,"landmark")</f>
        <v>73</v>
      </c>
      <c r="C8" t="s" s="23">
        <v>7</v>
      </c>
      <c r="D8" s="20"/>
      <c r="E8" s="9"/>
    </row>
    <row r="9" ht="23.1" customHeight="1">
      <c r="A9" t="s" s="24">
        <v>8</v>
      </c>
      <c r="B9" s="25">
        <f>_xlfn.COUNTIFS('Locations'!C6:C455,"path_point")</f>
        <v>377</v>
      </c>
      <c r="C9" t="s" s="26">
        <v>9</v>
      </c>
      <c r="D9" s="20"/>
      <c r="E9" s="9"/>
    </row>
    <row r="10" ht="23.1" customHeight="1">
      <c r="A10" t="s" s="21">
        <v>10</v>
      </c>
      <c r="B10" s="22">
        <f>COUNTA('Connections'!A6:A589)</f>
        <v>584</v>
      </c>
      <c r="C10" t="s" s="23">
        <v>11</v>
      </c>
      <c r="D10" s="20"/>
      <c r="E10" s="9"/>
    </row>
    <row r="11" ht="23.1" customHeight="1">
      <c r="A11" t="s" s="24">
        <v>12</v>
      </c>
      <c r="B11" s="25">
        <f>_xlfn.COUNTIFS('Connections'!D6:D589,"TRUE")</f>
        <v>570</v>
      </c>
      <c r="C11" t="s" s="26">
        <v>13</v>
      </c>
      <c r="D11" s="20"/>
      <c r="E11" s="9"/>
    </row>
    <row r="12" ht="23.1" customHeight="1">
      <c r="A12" t="s" s="21">
        <v>14</v>
      </c>
      <c r="B12" s="22">
        <f>_xlfn.COUNTIFS('Connections'!D6:D589,"FALSE")</f>
        <v>14</v>
      </c>
      <c r="C12" t="s" s="23">
        <v>15</v>
      </c>
      <c r="D12" s="20"/>
      <c r="E12" s="9"/>
    </row>
    <row r="13" ht="23.1" customHeight="1">
      <c r="A13" t="s" s="24">
        <v>16</v>
      </c>
      <c r="B13" s="25">
        <f>_xlfn.COUNTIFS('Connections'!F6:F589,"checked")</f>
        <v>0</v>
      </c>
      <c r="C13" t="s" s="26">
        <v>17</v>
      </c>
      <c r="D13" s="20"/>
      <c r="E13" s="9"/>
    </row>
    <row r="14" ht="23.1" customHeight="1">
      <c r="A14" t="s" s="21">
        <v>18</v>
      </c>
      <c r="B14" s="22">
        <f>_xlfn.COUNTIFS('Connections'!G6:G589,"yes")</f>
        <v>0</v>
      </c>
      <c r="C14" t="s" s="23">
        <v>19</v>
      </c>
      <c r="D14" s="20"/>
      <c r="E14" s="9"/>
    </row>
    <row r="15" ht="23.1" customHeight="1">
      <c r="A15" s="27"/>
      <c r="B15" s="28"/>
      <c r="C15" s="28"/>
      <c r="D15" s="8"/>
      <c r="E15" s="9"/>
    </row>
    <row r="16" ht="23.1" customHeight="1">
      <c r="A16" t="s" s="29">
        <v>20</v>
      </c>
      <c r="B16" s="7"/>
      <c r="C16" s="7"/>
      <c r="D16" s="8"/>
      <c r="E16" s="9"/>
    </row>
    <row r="17" ht="23.1" customHeight="1">
      <c r="A17" s="15"/>
      <c r="B17" s="16"/>
      <c r="C17" s="16"/>
      <c r="D17" s="8"/>
      <c r="E17" s="9"/>
    </row>
    <row r="18" ht="36" customHeight="1">
      <c r="A18" t="s" s="17">
        <v>21</v>
      </c>
      <c r="B18" t="s" s="18">
        <v>22</v>
      </c>
      <c r="C18" t="s" s="19">
        <v>23</v>
      </c>
      <c r="D18" s="20"/>
      <c r="E18" s="9"/>
    </row>
    <row r="19" ht="33.95" customHeight="1">
      <c r="A19" t="s" s="21">
        <v>24</v>
      </c>
      <c r="B19" s="30">
        <v>1</v>
      </c>
      <c r="C19" t="s" s="31">
        <v>25</v>
      </c>
      <c r="D19" s="20"/>
      <c r="E19" s="9"/>
    </row>
    <row r="20" ht="33.95" customHeight="1">
      <c r="A20" t="s" s="24">
        <v>24</v>
      </c>
      <c r="B20" s="32">
        <v>2</v>
      </c>
      <c r="C20" t="s" s="33">
        <v>26</v>
      </c>
      <c r="D20" s="20"/>
      <c r="E20" s="9"/>
    </row>
    <row r="21" ht="33.95" customHeight="1">
      <c r="A21" t="s" s="21">
        <v>27</v>
      </c>
      <c r="B21" s="30">
        <v>3</v>
      </c>
      <c r="C21" t="s" s="31">
        <v>28</v>
      </c>
      <c r="D21" s="20"/>
      <c r="E21" s="9"/>
    </row>
    <row r="22" ht="33.95" customHeight="1">
      <c r="A22" t="s" s="24">
        <v>29</v>
      </c>
      <c r="B22" s="32">
        <v>4</v>
      </c>
      <c r="C22" t="s" s="33">
        <v>30</v>
      </c>
      <c r="D22" s="20"/>
      <c r="E22" s="9"/>
    </row>
    <row r="23" ht="33.95" customHeight="1">
      <c r="A23" t="s" s="21">
        <v>31</v>
      </c>
      <c r="B23" s="30">
        <v>5</v>
      </c>
      <c r="C23" t="s" s="31">
        <v>32</v>
      </c>
      <c r="D23" s="20"/>
      <c r="E23" s="9"/>
    </row>
    <row r="24" ht="23.1" customHeight="1">
      <c r="A24" s="27"/>
      <c r="B24" s="28"/>
      <c r="C24" s="28"/>
      <c r="D24" s="8"/>
      <c r="E24" s="9"/>
    </row>
    <row r="25" ht="23.1" customHeight="1">
      <c r="A25" t="s" s="29">
        <v>33</v>
      </c>
      <c r="B25" s="7"/>
      <c r="C25" s="7"/>
      <c r="D25" s="8"/>
      <c r="E25" s="9"/>
    </row>
    <row r="26" ht="23.1" customHeight="1">
      <c r="A26" s="34"/>
      <c r="B26" s="7"/>
      <c r="C26" s="7"/>
      <c r="D26" s="8"/>
      <c r="E26" s="9"/>
    </row>
    <row r="27" ht="23.1" customHeight="1">
      <c r="A27" t="s" s="14">
        <v>34</v>
      </c>
      <c r="B27" s="7"/>
      <c r="C27" t="s" s="35">
        <v>35</v>
      </c>
      <c r="D27" s="8"/>
      <c r="E27" s="9"/>
    </row>
    <row r="28" ht="23.1" customHeight="1">
      <c r="A28" t="s" s="14">
        <v>10</v>
      </c>
      <c r="B28" s="7"/>
      <c r="C28" t="s" s="35">
        <v>36</v>
      </c>
      <c r="D28" s="8"/>
      <c r="E28" s="9"/>
    </row>
    <row r="29" ht="23.1" customHeight="1">
      <c r="A29" t="s" s="14">
        <v>37</v>
      </c>
      <c r="B29" s="7"/>
      <c r="C29" t="s" s="35">
        <v>38</v>
      </c>
      <c r="D29" s="8"/>
      <c r="E29" s="9"/>
    </row>
    <row r="30" ht="23.1" customHeight="1">
      <c r="A30" t="s" s="14">
        <v>39</v>
      </c>
      <c r="B30" s="7"/>
      <c r="C30" t="s" s="35">
        <v>40</v>
      </c>
      <c r="D30" s="8"/>
      <c r="E30" s="9"/>
    </row>
    <row r="31" ht="23.1" customHeight="1">
      <c r="A31" s="34"/>
      <c r="B31" s="7"/>
      <c r="C31" s="7"/>
      <c r="D31" s="8"/>
      <c r="E31" s="9"/>
    </row>
    <row r="32" ht="23.1" customHeight="1">
      <c r="A32" t="s" s="29">
        <v>41</v>
      </c>
      <c r="B32" s="7"/>
      <c r="C32" s="7"/>
      <c r="D32" s="8"/>
      <c r="E32" s="9"/>
    </row>
    <row r="33" ht="23.1" customHeight="1">
      <c r="A33" s="34"/>
      <c r="B33" s="7"/>
      <c r="C33" s="7"/>
      <c r="D33" s="8"/>
      <c r="E33" s="9"/>
    </row>
    <row r="34" ht="23.1" customHeight="1">
      <c r="A34" t="s" s="14">
        <v>42</v>
      </c>
      <c r="B34" s="7"/>
      <c r="C34" s="7"/>
      <c r="D34" s="8"/>
      <c r="E34" s="9"/>
    </row>
    <row r="35" ht="23.1" customHeight="1">
      <c r="A35" t="s" s="14">
        <v>43</v>
      </c>
      <c r="B35" s="7"/>
      <c r="C35" s="7"/>
      <c r="D35" s="8"/>
      <c r="E35" s="9"/>
    </row>
    <row r="36" ht="23.1" customHeight="1">
      <c r="A36" s="34"/>
      <c r="B36" s="7"/>
      <c r="C36" s="7"/>
      <c r="D36" s="8"/>
      <c r="E36" s="9"/>
    </row>
    <row r="37" ht="23.1" customHeight="1">
      <c r="A37" t="s" s="29">
        <v>44</v>
      </c>
      <c r="B37" s="7"/>
      <c r="C37" s="7"/>
      <c r="D37" s="8"/>
      <c r="E37" s="9"/>
    </row>
    <row r="38" ht="23.1" customHeight="1">
      <c r="A38" s="34"/>
      <c r="B38" s="7"/>
      <c r="C38" s="7"/>
      <c r="D38" s="8"/>
      <c r="E38" s="9"/>
    </row>
    <row r="39" ht="33.95" customHeight="1">
      <c r="A39" t="s" s="14">
        <v>45</v>
      </c>
      <c r="B39" s="7"/>
      <c r="C39" t="s" s="36">
        <v>46</v>
      </c>
      <c r="D39" s="8"/>
      <c r="E39" s="9"/>
    </row>
    <row r="40" ht="33.95" customHeight="1">
      <c r="A40" t="s" s="14">
        <v>47</v>
      </c>
      <c r="B40" s="7"/>
      <c r="C40" t="s" s="36">
        <v>48</v>
      </c>
      <c r="D40" s="8"/>
      <c r="E40" s="9"/>
    </row>
    <row r="41" ht="33.95" customHeight="1">
      <c r="A41" t="s" s="14">
        <v>49</v>
      </c>
      <c r="B41" s="7"/>
      <c r="C41" t="s" s="36">
        <v>50</v>
      </c>
      <c r="D41" s="8"/>
      <c r="E41" s="9"/>
    </row>
    <row r="42" ht="23.1" customHeight="1">
      <c r="A42" s="34"/>
      <c r="B42" s="7"/>
      <c r="C42" s="7"/>
      <c r="D42" s="8"/>
      <c r="E42" s="9"/>
    </row>
    <row r="43" ht="23.1" customHeight="1">
      <c r="A43" s="37"/>
      <c r="B43" s="38"/>
      <c r="C43" s="38"/>
      <c r="D43" s="39"/>
      <c r="E43" s="4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O456"/>
  <sheetViews>
    <sheetView workbookViewId="0" showGridLines="0" defaultGridColor="1"/>
  </sheetViews>
  <sheetFormatPr defaultColWidth="8.83333" defaultRowHeight="14.25" customHeight="1" outlineLevelRow="0" outlineLevelCol="0"/>
  <cols>
    <col min="1" max="1" width="14" style="41" customWidth="1"/>
    <col min="2" max="2" width="64" style="41" customWidth="1"/>
    <col min="3" max="3" width="18" style="41" customWidth="1"/>
    <col min="4" max="5" width="20" style="41" customWidth="1"/>
    <col min="6" max="6" width="14" style="41" customWidth="1"/>
    <col min="7" max="7" width="18" style="41" customWidth="1"/>
    <col min="8" max="8" width="22" style="41" customWidth="1"/>
    <col min="9" max="9" width="18" style="41" customWidth="1"/>
    <col min="10" max="10" width="17" style="41" customWidth="1"/>
    <col min="11" max="11" width="22" style="41" customWidth="1"/>
    <col min="12" max="12" width="66" style="41" customWidth="1"/>
    <col min="13" max="13" width="19" style="41" customWidth="1"/>
    <col min="14" max="14" width="15" style="41" customWidth="1"/>
    <col min="15" max="15" width="8.85156" style="41" customWidth="1"/>
    <col min="16" max="16384" width="8.85156" style="41" customWidth="1"/>
  </cols>
  <sheetData>
    <row r="1" ht="23.1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5"/>
    </row>
    <row r="2" ht="23.1" customHeight="1">
      <c r="A2" t="s" s="6">
        <v>34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9"/>
    </row>
    <row r="3" ht="23.1" customHeight="1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9"/>
    </row>
    <row r="4" ht="23.1" customHeight="1">
      <c r="A4" t="s" s="42">
        <v>51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9"/>
    </row>
    <row r="5" ht="36" customHeight="1">
      <c r="A5" t="s" s="17">
        <v>52</v>
      </c>
      <c r="B5" t="s" s="18">
        <v>53</v>
      </c>
      <c r="C5" t="s" s="18">
        <v>54</v>
      </c>
      <c r="D5" t="s" s="18">
        <v>55</v>
      </c>
      <c r="E5" t="s" s="18">
        <v>56</v>
      </c>
      <c r="F5" t="s" s="18">
        <v>57</v>
      </c>
      <c r="G5" t="s" s="18">
        <v>58</v>
      </c>
      <c r="H5" t="s" s="18">
        <v>59</v>
      </c>
      <c r="I5" t="s" s="18">
        <v>60</v>
      </c>
      <c r="J5" t="s" s="18">
        <v>61</v>
      </c>
      <c r="K5" t="s" s="18">
        <v>62</v>
      </c>
      <c r="L5" t="s" s="18">
        <v>63</v>
      </c>
      <c r="M5" t="s" s="18">
        <v>64</v>
      </c>
      <c r="N5" t="s" s="19">
        <v>65</v>
      </c>
      <c r="O5" s="44"/>
    </row>
    <row r="6" ht="23.1" customHeight="1">
      <c r="A6" t="s" s="21">
        <v>66</v>
      </c>
      <c r="B6" t="s" s="45">
        <v>67</v>
      </c>
      <c r="C6" t="s" s="45">
        <v>68</v>
      </c>
      <c r="D6" s="46">
        <v>42.7303527304942</v>
      </c>
      <c r="E6" s="46">
        <v>-73.6799496283524</v>
      </c>
      <c r="F6" s="47">
        <f>_xlfn.COUNTIFS('Connections'!$B$6:$B$589,A6)+_xlfn.COUNTIFS('Connections'!$C$6:$C$589,A6)</f>
        <v>1</v>
      </c>
      <c r="G6" s="47">
        <f>_xlfn.COUNTIFS('Connections'!$B$6:$B$589,A6,'Connections'!$D$6:$D$589,"TRUE")+_xlfn.COUNTIFS('Connections'!$C$6:$C$589,A6,'Connections'!$D$6:$D$589,"TRUE")</f>
        <v>1</v>
      </c>
      <c r="H6" t="s" s="48">
        <v>69</v>
      </c>
      <c r="I6" t="s" s="48">
        <v>70</v>
      </c>
      <c r="J6" s="49"/>
      <c r="K6" s="50"/>
      <c r="L6" s="51"/>
      <c r="M6" t="s" s="45">
        <v>6</v>
      </c>
      <c r="N6" s="52">
        <v>70</v>
      </c>
      <c r="O6" s="44"/>
    </row>
    <row r="7" ht="23.1" customHeight="1">
      <c r="A7" t="s" s="24">
        <v>71</v>
      </c>
      <c r="B7" t="s" s="53">
        <v>72</v>
      </c>
      <c r="C7" t="s" s="53">
        <v>68</v>
      </c>
      <c r="D7" s="54">
        <v>42.7307847736595</v>
      </c>
      <c r="E7" s="54">
        <v>-73.6788642890883</v>
      </c>
      <c r="F7" s="55">
        <f>_xlfn.COUNTIFS('Connections'!$B$6:$B$589,A7)+_xlfn.COUNTIFS('Connections'!$C$6:$C$589,A7)</f>
        <v>1</v>
      </c>
      <c r="G7" s="55">
        <f>_xlfn.COUNTIFS('Connections'!$B$6:$B$589,A7,'Connections'!$D$6:$D$589,"TRUE")+_xlfn.COUNTIFS('Connections'!$C$6:$C$589,A7,'Connections'!$D$6:$D$589,"TRUE")</f>
        <v>1</v>
      </c>
      <c r="H7" t="s" s="48">
        <v>69</v>
      </c>
      <c r="I7" t="s" s="48">
        <v>70</v>
      </c>
      <c r="J7" s="49"/>
      <c r="K7" s="50"/>
      <c r="L7" s="56"/>
      <c r="M7" t="s" s="53">
        <v>6</v>
      </c>
      <c r="N7" s="57">
        <v>14</v>
      </c>
      <c r="O7" s="44"/>
    </row>
    <row r="8" ht="23.1" customHeight="1">
      <c r="A8" t="s" s="21">
        <v>73</v>
      </c>
      <c r="B8" t="s" s="45">
        <v>74</v>
      </c>
      <c r="C8" t="s" s="45">
        <v>68</v>
      </c>
      <c r="D8" s="46">
        <v>42.7274495940891</v>
      </c>
      <c r="E8" s="46">
        <v>-73.6786514525317</v>
      </c>
      <c r="F8" s="47">
        <f>_xlfn.COUNTIFS('Connections'!$B$6:$B$589,A8)+_xlfn.COUNTIFS('Connections'!$C$6:$C$589,A8)</f>
        <v>1</v>
      </c>
      <c r="G8" s="47">
        <f>_xlfn.COUNTIFS('Connections'!$B$6:$B$589,A8,'Connections'!$D$6:$D$589,"TRUE")+_xlfn.COUNTIFS('Connections'!$C$6:$C$589,A8,'Connections'!$D$6:$D$589,"TRUE")</f>
        <v>1</v>
      </c>
      <c r="H8" t="s" s="48">
        <v>69</v>
      </c>
      <c r="I8" t="s" s="48">
        <v>70</v>
      </c>
      <c r="J8" s="49"/>
      <c r="K8" s="50"/>
      <c r="L8" s="51"/>
      <c r="M8" t="s" s="45">
        <v>6</v>
      </c>
      <c r="N8" s="52">
        <v>59</v>
      </c>
      <c r="O8" s="44"/>
    </row>
    <row r="9" ht="23.1" customHeight="1">
      <c r="A9" t="s" s="24">
        <v>75</v>
      </c>
      <c r="B9" t="s" s="53">
        <v>76</v>
      </c>
      <c r="C9" t="s" s="53">
        <v>68</v>
      </c>
      <c r="D9" s="54">
        <v>42.7306562926605</v>
      </c>
      <c r="E9" s="54">
        <v>-73.67553824117169</v>
      </c>
      <c r="F9" s="55">
        <f>_xlfn.COUNTIFS('Connections'!$B$6:$B$589,A9)+_xlfn.COUNTIFS('Connections'!$C$6:$C$589,A9)</f>
        <v>1</v>
      </c>
      <c r="G9" s="55">
        <f>_xlfn.COUNTIFS('Connections'!$B$6:$B$589,A9,'Connections'!$D$6:$D$589,"TRUE")+_xlfn.COUNTIFS('Connections'!$C$6:$C$589,A9,'Connections'!$D$6:$D$589,"TRUE")</f>
        <v>1</v>
      </c>
      <c r="H9" t="s" s="48">
        <v>69</v>
      </c>
      <c r="I9" t="s" s="48">
        <v>70</v>
      </c>
      <c r="J9" s="49"/>
      <c r="K9" s="50"/>
      <c r="L9" s="56"/>
      <c r="M9" t="s" s="53">
        <v>6</v>
      </c>
      <c r="N9" s="57">
        <v>34</v>
      </c>
      <c r="O9" s="44"/>
    </row>
    <row r="10" ht="23.1" customHeight="1">
      <c r="A10" t="s" s="21">
        <v>77</v>
      </c>
      <c r="B10" t="s" s="45">
        <v>78</v>
      </c>
      <c r="C10" t="s" s="45">
        <v>68</v>
      </c>
      <c r="D10" s="46">
        <v>42.7284653662746</v>
      </c>
      <c r="E10" s="46">
        <v>-73.67697292873009</v>
      </c>
      <c r="F10" s="47">
        <f>_xlfn.COUNTIFS('Connections'!$B$6:$B$589,A10)+_xlfn.COUNTIFS('Connections'!$C$6:$C$589,A10)</f>
        <v>2</v>
      </c>
      <c r="G10" s="47">
        <f>_xlfn.COUNTIFS('Connections'!$B$6:$B$589,A10,'Connections'!$D$6:$D$589,"TRUE")+_xlfn.COUNTIFS('Connections'!$C$6:$C$589,A10,'Connections'!$D$6:$D$589,"TRUE")</f>
        <v>2</v>
      </c>
      <c r="H10" t="s" s="48">
        <v>69</v>
      </c>
      <c r="I10" t="s" s="48">
        <v>70</v>
      </c>
      <c r="J10" s="49"/>
      <c r="K10" s="50"/>
      <c r="L10" s="51"/>
      <c r="M10" t="s" s="45">
        <v>6</v>
      </c>
      <c r="N10" s="52">
        <v>36</v>
      </c>
      <c r="O10" s="44"/>
    </row>
    <row r="11" ht="23.1" customHeight="1">
      <c r="A11" t="s" s="24">
        <v>79</v>
      </c>
      <c r="B11" t="s" s="58">
        <v>80</v>
      </c>
      <c r="C11" t="s" s="53">
        <v>68</v>
      </c>
      <c r="D11" s="54">
        <v>42.7301435187315</v>
      </c>
      <c r="E11" s="54">
        <v>-73.6822907976733</v>
      </c>
      <c r="F11" s="55">
        <f>_xlfn.COUNTIFS('Connections'!$B$6:$B$589,A11)+_xlfn.COUNTIFS('Connections'!$C$6:$C$589,A11)</f>
        <v>3</v>
      </c>
      <c r="G11" s="55">
        <f>_xlfn.COUNTIFS('Connections'!$B$6:$B$589,A11,'Connections'!$D$6:$D$589,"TRUE")+_xlfn.COUNTIFS('Connections'!$C$6:$C$589,A11,'Connections'!$D$6:$D$589,"TRUE")</f>
        <v>3</v>
      </c>
      <c r="H11" t="s" s="48">
        <v>69</v>
      </c>
      <c r="I11" t="s" s="48">
        <v>70</v>
      </c>
      <c r="J11" s="49"/>
      <c r="K11" s="50"/>
      <c r="L11" s="56"/>
      <c r="M11" t="s" s="53">
        <v>6</v>
      </c>
      <c r="N11" s="57">
        <v>27</v>
      </c>
      <c r="O11" s="44"/>
    </row>
    <row r="12" ht="23.1" customHeight="1">
      <c r="A12" t="s" s="21">
        <v>81</v>
      </c>
      <c r="B12" t="s" s="45">
        <v>82</v>
      </c>
      <c r="C12" t="s" s="45">
        <v>68</v>
      </c>
      <c r="D12" s="46">
        <v>42.7290866948623</v>
      </c>
      <c r="E12" s="46">
        <v>-73.6740898425949</v>
      </c>
      <c r="F12" s="47">
        <f>_xlfn.COUNTIFS('Connections'!$B$6:$B$589,A12)+_xlfn.COUNTIFS('Connections'!$C$6:$C$589,A12)</f>
        <v>1</v>
      </c>
      <c r="G12" s="47">
        <f>_xlfn.COUNTIFS('Connections'!$B$6:$B$589,A12,'Connections'!$D$6:$D$589,"TRUE")+_xlfn.COUNTIFS('Connections'!$C$6:$C$589,A12,'Connections'!$D$6:$D$589,"TRUE")</f>
        <v>1</v>
      </c>
      <c r="H12" t="s" s="48">
        <v>69</v>
      </c>
      <c r="I12" t="s" s="48">
        <v>70</v>
      </c>
      <c r="J12" s="49"/>
      <c r="K12" s="50"/>
      <c r="L12" s="51"/>
      <c r="M12" t="s" s="45">
        <v>6</v>
      </c>
      <c r="N12" s="52">
        <v>61</v>
      </c>
      <c r="O12" s="44"/>
    </row>
    <row r="13" ht="23.1" customHeight="1">
      <c r="A13" t="s" s="24">
        <v>83</v>
      </c>
      <c r="B13" t="s" s="53">
        <v>84</v>
      </c>
      <c r="C13" t="s" s="53">
        <v>68</v>
      </c>
      <c r="D13" s="54">
        <v>42.7324848429346</v>
      </c>
      <c r="E13" s="54">
        <v>-73.68287842150011</v>
      </c>
      <c r="F13" s="55">
        <f>_xlfn.COUNTIFS('Connections'!$B$6:$B$589,A13)+_xlfn.COUNTIFS('Connections'!$C$6:$C$589,A13)</f>
        <v>1</v>
      </c>
      <c r="G13" s="55">
        <f>_xlfn.COUNTIFS('Connections'!$B$6:$B$589,A13,'Connections'!$D$6:$D$589,"TRUE")+_xlfn.COUNTIFS('Connections'!$C$6:$C$589,A13,'Connections'!$D$6:$D$589,"TRUE")</f>
        <v>1</v>
      </c>
      <c r="H13" t="s" s="48">
        <v>69</v>
      </c>
      <c r="I13" t="s" s="48">
        <v>70</v>
      </c>
      <c r="J13" s="49"/>
      <c r="K13" s="50"/>
      <c r="L13" s="56"/>
      <c r="M13" t="s" s="53">
        <v>6</v>
      </c>
      <c r="N13" s="57">
        <v>28</v>
      </c>
      <c r="O13" s="44"/>
    </row>
    <row r="14" ht="23.1" customHeight="1">
      <c r="A14" t="s" s="21">
        <v>85</v>
      </c>
      <c r="B14" t="s" s="45">
        <v>86</v>
      </c>
      <c r="C14" t="s" s="45">
        <v>68</v>
      </c>
      <c r="D14" s="46">
        <v>42.7321517031695</v>
      </c>
      <c r="E14" s="46">
        <v>-73.6808557374853</v>
      </c>
      <c r="F14" s="47">
        <f>_xlfn.COUNTIFS('Connections'!$B$6:$B$589,A14)+_xlfn.COUNTIFS('Connections'!$C$6:$C$589,A14)</f>
        <v>1</v>
      </c>
      <c r="G14" s="47">
        <f>_xlfn.COUNTIFS('Connections'!$B$6:$B$589,A14,'Connections'!$D$6:$D$589,"TRUE")+_xlfn.COUNTIFS('Connections'!$C$6:$C$589,A14,'Connections'!$D$6:$D$589,"TRUE")</f>
        <v>1</v>
      </c>
      <c r="H14" t="s" s="48">
        <v>69</v>
      </c>
      <c r="I14" t="s" s="48">
        <v>70</v>
      </c>
      <c r="J14" s="49"/>
      <c r="K14" s="50"/>
      <c r="L14" s="51"/>
      <c r="M14" t="s" s="45">
        <v>6</v>
      </c>
      <c r="N14" s="52">
        <v>30</v>
      </c>
      <c r="O14" s="44"/>
    </row>
    <row r="15" ht="23.1" customHeight="1">
      <c r="A15" t="s" s="24">
        <v>87</v>
      </c>
      <c r="B15" t="s" s="53">
        <v>88</v>
      </c>
      <c r="C15" t="s" s="53">
        <v>68</v>
      </c>
      <c r="D15" s="54">
        <v>42.731351135494</v>
      </c>
      <c r="E15" s="54">
        <v>-73.68587001002579</v>
      </c>
      <c r="F15" s="55">
        <f>_xlfn.COUNTIFS('Connections'!$B$6:$B$589,A15)+_xlfn.COUNTIFS('Connections'!$C$6:$C$589,A15)</f>
        <v>1</v>
      </c>
      <c r="G15" s="55">
        <f>_xlfn.COUNTIFS('Connections'!$B$6:$B$589,A15,'Connections'!$D$6:$D$589,"TRUE")+_xlfn.COUNTIFS('Connections'!$C$6:$C$589,A15,'Connections'!$D$6:$D$589,"TRUE")</f>
        <v>1</v>
      </c>
      <c r="H15" t="s" s="48">
        <v>69</v>
      </c>
      <c r="I15" t="s" s="48">
        <v>70</v>
      </c>
      <c r="J15" s="49"/>
      <c r="K15" s="50"/>
      <c r="L15" s="56"/>
      <c r="M15" t="s" s="53">
        <v>6</v>
      </c>
      <c r="N15" s="57">
        <v>71</v>
      </c>
      <c r="O15" s="44"/>
    </row>
    <row r="16" ht="23.1" customHeight="1">
      <c r="A16" t="s" s="21">
        <v>89</v>
      </c>
      <c r="B16" t="s" s="45">
        <v>90</v>
      </c>
      <c r="C16" t="s" s="45">
        <v>68</v>
      </c>
      <c r="D16" s="46">
        <v>42.7312253105997</v>
      </c>
      <c r="E16" s="46">
        <v>-73.68176230139279</v>
      </c>
      <c r="F16" s="47">
        <f>_xlfn.COUNTIFS('Connections'!$B$6:$B$589,A16)+_xlfn.COUNTIFS('Connections'!$C$6:$C$589,A16)</f>
        <v>1</v>
      </c>
      <c r="G16" s="47">
        <f>_xlfn.COUNTIFS('Connections'!$B$6:$B$589,A16,'Connections'!$D$6:$D$589,"TRUE")+_xlfn.COUNTIFS('Connections'!$C$6:$C$589,A16,'Connections'!$D$6:$D$589,"TRUE")</f>
        <v>1</v>
      </c>
      <c r="H16" t="s" s="48">
        <v>69</v>
      </c>
      <c r="I16" t="s" s="48">
        <v>70</v>
      </c>
      <c r="J16" s="49"/>
      <c r="K16" s="50"/>
      <c r="L16" s="51"/>
      <c r="M16" t="s" s="45">
        <v>6</v>
      </c>
      <c r="N16" s="52">
        <v>8</v>
      </c>
      <c r="O16" s="44"/>
    </row>
    <row r="17" ht="23.1" customHeight="1">
      <c r="A17" t="s" s="24">
        <v>91</v>
      </c>
      <c r="B17" t="s" s="53">
        <v>92</v>
      </c>
      <c r="C17" t="s" s="53">
        <v>68</v>
      </c>
      <c r="D17" s="54">
        <v>42.7326612612087</v>
      </c>
      <c r="E17" s="54">
        <v>-73.6802222033852</v>
      </c>
      <c r="F17" s="55">
        <f>_xlfn.COUNTIFS('Connections'!$B$6:$B$589,A17)+_xlfn.COUNTIFS('Connections'!$C$6:$C$589,A17)</f>
        <v>2</v>
      </c>
      <c r="G17" s="55">
        <f>_xlfn.COUNTIFS('Connections'!$B$6:$B$589,A17,'Connections'!$D$6:$D$589,"TRUE")+_xlfn.COUNTIFS('Connections'!$C$6:$C$589,A17,'Connections'!$D$6:$D$589,"TRUE")</f>
        <v>2</v>
      </c>
      <c r="H17" t="s" s="48">
        <v>69</v>
      </c>
      <c r="I17" t="s" s="48">
        <v>70</v>
      </c>
      <c r="J17" s="49"/>
      <c r="K17" s="50"/>
      <c r="L17" s="56"/>
      <c r="M17" t="s" s="53">
        <v>6</v>
      </c>
      <c r="N17" s="57">
        <v>65</v>
      </c>
      <c r="O17" s="44"/>
    </row>
    <row r="18" ht="23.1" customHeight="1">
      <c r="A18" t="s" s="21">
        <v>93</v>
      </c>
      <c r="B18" t="s" s="45">
        <v>94</v>
      </c>
      <c r="C18" t="s" s="45">
        <v>68</v>
      </c>
      <c r="D18" s="46">
        <v>42.7287299054554</v>
      </c>
      <c r="E18" s="46">
        <v>-73.6737886416314</v>
      </c>
      <c r="F18" s="47">
        <f>_xlfn.COUNTIFS('Connections'!$B$6:$B$589,A18)+_xlfn.COUNTIFS('Connections'!$C$6:$C$589,A18)</f>
        <v>1</v>
      </c>
      <c r="G18" s="47">
        <f>_xlfn.COUNTIFS('Connections'!$B$6:$B$589,A18,'Connections'!$D$6:$D$589,"TRUE")+_xlfn.COUNTIFS('Connections'!$C$6:$C$589,A18,'Connections'!$D$6:$D$589,"TRUE")</f>
        <v>1</v>
      </c>
      <c r="H18" t="s" s="48">
        <v>69</v>
      </c>
      <c r="I18" t="s" s="48">
        <v>70</v>
      </c>
      <c r="J18" s="49"/>
      <c r="K18" s="50"/>
      <c r="L18" s="51"/>
      <c r="M18" t="s" s="45">
        <v>6</v>
      </c>
      <c r="N18" s="52">
        <v>48</v>
      </c>
      <c r="O18" s="44"/>
    </row>
    <row r="19" ht="23.1" customHeight="1">
      <c r="A19" t="s" s="24">
        <v>95</v>
      </c>
      <c r="B19" t="s" s="53">
        <v>96</v>
      </c>
      <c r="C19" t="s" s="53">
        <v>68</v>
      </c>
      <c r="D19" s="54">
        <v>42.7350010602975</v>
      </c>
      <c r="E19" s="54">
        <v>-73.6639111850773</v>
      </c>
      <c r="F19" s="55">
        <f>_xlfn.COUNTIFS('Connections'!$B$6:$B$589,A19)+_xlfn.COUNTIFS('Connections'!$C$6:$C$589,A19)</f>
        <v>1</v>
      </c>
      <c r="G19" s="55">
        <f>_xlfn.COUNTIFS('Connections'!$B$6:$B$589,A19,'Connections'!$D$6:$D$589,"TRUE")+_xlfn.COUNTIFS('Connections'!$C$6:$C$589,A19,'Connections'!$D$6:$D$589,"TRUE")</f>
        <v>1</v>
      </c>
      <c r="H19" t="s" s="48">
        <v>69</v>
      </c>
      <c r="I19" t="s" s="48">
        <v>70</v>
      </c>
      <c r="J19" s="49"/>
      <c r="K19" s="50"/>
      <c r="L19" s="56"/>
      <c r="M19" t="s" s="53">
        <v>6</v>
      </c>
      <c r="N19" s="57">
        <v>56</v>
      </c>
      <c r="O19" s="44"/>
    </row>
    <row r="20" ht="23.1" customHeight="1">
      <c r="A20" t="s" s="21">
        <v>97</v>
      </c>
      <c r="B20" t="s" s="45">
        <v>98</v>
      </c>
      <c r="C20" t="s" s="45">
        <v>68</v>
      </c>
      <c r="D20" s="46">
        <v>42.7310890611734</v>
      </c>
      <c r="E20" s="46">
        <v>-73.67124299833191</v>
      </c>
      <c r="F20" s="47">
        <f>_xlfn.COUNTIFS('Connections'!$B$6:$B$589,A20)+_xlfn.COUNTIFS('Connections'!$C$6:$C$589,A20)</f>
        <v>4</v>
      </c>
      <c r="G20" s="47">
        <f>_xlfn.COUNTIFS('Connections'!$B$6:$B$589,A20,'Connections'!$D$6:$D$589,"TRUE")+_xlfn.COUNTIFS('Connections'!$C$6:$C$589,A20,'Connections'!$D$6:$D$589,"TRUE")</f>
        <v>4</v>
      </c>
      <c r="H20" t="s" s="48">
        <v>69</v>
      </c>
      <c r="I20" t="s" s="48">
        <v>70</v>
      </c>
      <c r="J20" s="49"/>
      <c r="K20" s="50"/>
      <c r="L20" s="51"/>
      <c r="M20" t="s" s="45">
        <v>6</v>
      </c>
      <c r="N20" s="52">
        <v>50</v>
      </c>
      <c r="O20" s="44"/>
    </row>
    <row r="21" ht="23.1" customHeight="1">
      <c r="A21" t="s" s="24">
        <v>99</v>
      </c>
      <c r="B21" t="s" s="58">
        <v>100</v>
      </c>
      <c r="C21" t="s" s="53">
        <v>68</v>
      </c>
      <c r="D21" s="54">
        <v>42.7304257060285</v>
      </c>
      <c r="E21" s="54">
        <v>-73.683086272409</v>
      </c>
      <c r="F21" s="55">
        <f>_xlfn.COUNTIFS('Connections'!$B$6:$B$589,A21)+_xlfn.COUNTIFS('Connections'!$C$6:$C$589,A21)</f>
        <v>1</v>
      </c>
      <c r="G21" s="55">
        <f>_xlfn.COUNTIFS('Connections'!$B$6:$B$589,A21,'Connections'!$D$6:$D$589,"TRUE")+_xlfn.COUNTIFS('Connections'!$C$6:$C$589,A21,'Connections'!$D$6:$D$589,"TRUE")</f>
        <v>1</v>
      </c>
      <c r="H21" t="s" s="48">
        <v>69</v>
      </c>
      <c r="I21" t="s" s="48">
        <v>70</v>
      </c>
      <c r="J21" s="49"/>
      <c r="K21" s="50"/>
      <c r="L21" s="56"/>
      <c r="M21" t="s" s="53">
        <v>6</v>
      </c>
      <c r="N21" s="57">
        <v>6</v>
      </c>
      <c r="O21" s="44"/>
    </row>
    <row r="22" ht="23.1" customHeight="1">
      <c r="A22" t="s" s="21">
        <v>101</v>
      </c>
      <c r="B22" t="s" s="45">
        <v>102</v>
      </c>
      <c r="C22" t="s" s="45">
        <v>68</v>
      </c>
      <c r="D22" s="46">
        <v>42.7288576188582</v>
      </c>
      <c r="E22" s="46">
        <v>-73.6746296811551</v>
      </c>
      <c r="F22" s="47">
        <f>_xlfn.COUNTIFS('Connections'!$B$6:$B$589,A22)+_xlfn.COUNTIFS('Connections'!$C$6:$C$589,A22)</f>
        <v>1</v>
      </c>
      <c r="G22" s="47">
        <f>_xlfn.COUNTIFS('Connections'!$B$6:$B$589,A22,'Connections'!$D$6:$D$589,"TRUE")+_xlfn.COUNTIFS('Connections'!$C$6:$C$589,A22,'Connections'!$D$6:$D$589,"TRUE")</f>
        <v>1</v>
      </c>
      <c r="H22" t="s" s="48">
        <v>69</v>
      </c>
      <c r="I22" t="s" s="48">
        <v>70</v>
      </c>
      <c r="J22" s="49"/>
      <c r="K22" s="50"/>
      <c r="L22" s="51"/>
      <c r="M22" t="s" s="45">
        <v>6</v>
      </c>
      <c r="N22" s="52">
        <v>47</v>
      </c>
      <c r="O22" s="44"/>
    </row>
    <row r="23" ht="23.1" customHeight="1">
      <c r="A23" t="s" s="24">
        <v>103</v>
      </c>
      <c r="B23" t="s" s="53">
        <v>104</v>
      </c>
      <c r="C23" t="s" s="53">
        <v>68</v>
      </c>
      <c r="D23" s="54">
        <v>42.7282253057696</v>
      </c>
      <c r="E23" s="54">
        <v>-73.6784512833453</v>
      </c>
      <c r="F23" s="55">
        <f>_xlfn.COUNTIFS('Connections'!$B$6:$B$589,A23)+_xlfn.COUNTIFS('Connections'!$C$6:$C$589,A23)</f>
        <v>1</v>
      </c>
      <c r="G23" s="55">
        <f>_xlfn.COUNTIFS('Connections'!$B$6:$B$589,A23,'Connections'!$D$6:$D$589,"TRUE")+_xlfn.COUNTIFS('Connections'!$C$6:$C$589,A23,'Connections'!$D$6:$D$589,"TRUE")</f>
        <v>1</v>
      </c>
      <c r="H23" t="s" s="48">
        <v>69</v>
      </c>
      <c r="I23" t="s" s="48">
        <v>70</v>
      </c>
      <c r="J23" s="49"/>
      <c r="K23" s="50"/>
      <c r="L23" s="56"/>
      <c r="M23" t="s" s="53">
        <v>6</v>
      </c>
      <c r="N23" s="57">
        <v>62</v>
      </c>
      <c r="O23" s="44"/>
    </row>
    <row r="24" ht="23.1" customHeight="1">
      <c r="A24" t="s" s="21">
        <v>105</v>
      </c>
      <c r="B24" t="s" s="45">
        <v>106</v>
      </c>
      <c r="C24" t="s" s="45">
        <v>68</v>
      </c>
      <c r="D24" s="46">
        <v>42.7317963596702</v>
      </c>
      <c r="E24" s="46">
        <v>-73.6722539949815</v>
      </c>
      <c r="F24" s="47">
        <f>_xlfn.COUNTIFS('Connections'!$B$6:$B$589,A24)+_xlfn.COUNTIFS('Connections'!$C$6:$C$589,A24)</f>
        <v>1</v>
      </c>
      <c r="G24" s="47">
        <f>_xlfn.COUNTIFS('Connections'!$B$6:$B$589,A24,'Connections'!$D$6:$D$589,"TRUE")+_xlfn.COUNTIFS('Connections'!$C$6:$C$589,A24,'Connections'!$D$6:$D$589,"TRUE")</f>
        <v>1</v>
      </c>
      <c r="H24" t="s" s="48">
        <v>69</v>
      </c>
      <c r="I24" t="s" s="48">
        <v>70</v>
      </c>
      <c r="J24" s="49"/>
      <c r="K24" s="50"/>
      <c r="L24" s="51"/>
      <c r="M24" t="s" s="45">
        <v>6</v>
      </c>
      <c r="N24" s="52">
        <v>49</v>
      </c>
      <c r="O24" s="44"/>
    </row>
    <row r="25" ht="23.1" customHeight="1">
      <c r="A25" t="s" s="24">
        <v>107</v>
      </c>
      <c r="B25" t="s" s="53">
        <v>108</v>
      </c>
      <c r="C25" t="s" s="53">
        <v>68</v>
      </c>
      <c r="D25" s="54">
        <v>42.7281819912845</v>
      </c>
      <c r="E25" s="54">
        <v>-73.68125105065241</v>
      </c>
      <c r="F25" s="55">
        <f>_xlfn.COUNTIFS('Connections'!$B$6:$B$589,A25)+_xlfn.COUNTIFS('Connections'!$C$6:$C$589,A25)</f>
        <v>2</v>
      </c>
      <c r="G25" s="55">
        <f>_xlfn.COUNTIFS('Connections'!$B$6:$B$589,A25,'Connections'!$D$6:$D$589,"TRUE")+_xlfn.COUNTIFS('Connections'!$C$6:$C$589,A25,'Connections'!$D$6:$D$589,"TRUE")</f>
        <v>2</v>
      </c>
      <c r="H25" t="s" s="48">
        <v>69</v>
      </c>
      <c r="I25" t="s" s="48">
        <v>70</v>
      </c>
      <c r="J25" s="49"/>
      <c r="K25" s="50"/>
      <c r="L25" s="56"/>
      <c r="M25" t="s" s="53">
        <v>6</v>
      </c>
      <c r="N25" s="57">
        <v>21</v>
      </c>
      <c r="O25" s="44"/>
    </row>
    <row r="26" ht="23.1" customHeight="1">
      <c r="A26" t="s" s="21">
        <v>109</v>
      </c>
      <c r="B26" t="s" s="45">
        <v>110</v>
      </c>
      <c r="C26" t="s" s="45">
        <v>68</v>
      </c>
      <c r="D26" s="46">
        <v>42.7370631311934</v>
      </c>
      <c r="E26" s="46">
        <v>-73.6698918455666</v>
      </c>
      <c r="F26" s="47">
        <f>_xlfn.COUNTIFS('Connections'!$B$6:$B$589,A26)+_xlfn.COUNTIFS('Connections'!$C$6:$C$589,A26)</f>
        <v>1</v>
      </c>
      <c r="G26" s="47">
        <f>_xlfn.COUNTIFS('Connections'!$B$6:$B$589,A26,'Connections'!$D$6:$D$589,"TRUE")+_xlfn.COUNTIFS('Connections'!$C$6:$C$589,A26,'Connections'!$D$6:$D$589,"TRUE")</f>
        <v>1</v>
      </c>
      <c r="H26" t="s" s="48">
        <v>69</v>
      </c>
      <c r="I26" t="s" s="48">
        <v>70</v>
      </c>
      <c r="J26" s="49"/>
      <c r="K26" s="50"/>
      <c r="L26" s="51"/>
      <c r="M26" t="s" s="45">
        <v>6</v>
      </c>
      <c r="N26" s="52">
        <v>58</v>
      </c>
      <c r="O26" s="44"/>
    </row>
    <row r="27" ht="23.1" customHeight="1">
      <c r="A27" t="s" s="24">
        <v>111</v>
      </c>
      <c r="B27" t="s" s="53">
        <v>112</v>
      </c>
      <c r="C27" t="s" s="53">
        <v>68</v>
      </c>
      <c r="D27" s="54">
        <v>42.7282969500132</v>
      </c>
      <c r="E27" s="54">
        <v>-73.6743120995072</v>
      </c>
      <c r="F27" s="55">
        <f>_xlfn.COUNTIFS('Connections'!$B$6:$B$589,A27)+_xlfn.COUNTIFS('Connections'!$C$6:$C$589,A27)</f>
        <v>1</v>
      </c>
      <c r="G27" s="55">
        <f>_xlfn.COUNTIFS('Connections'!$B$6:$B$589,A27,'Connections'!$D$6:$D$589,"TRUE")+_xlfn.COUNTIFS('Connections'!$C$6:$C$589,A27,'Connections'!$D$6:$D$589,"TRUE")</f>
        <v>1</v>
      </c>
      <c r="H27" t="s" s="48">
        <v>69</v>
      </c>
      <c r="I27" t="s" s="48">
        <v>70</v>
      </c>
      <c r="J27" s="49"/>
      <c r="K27" s="50"/>
      <c r="L27" s="56"/>
      <c r="M27" t="s" s="53">
        <v>6</v>
      </c>
      <c r="N27" s="57">
        <v>39</v>
      </c>
      <c r="O27" s="44"/>
    </row>
    <row r="28" ht="23.1" customHeight="1">
      <c r="A28" t="s" s="21">
        <v>113</v>
      </c>
      <c r="B28" t="s" s="45">
        <v>114</v>
      </c>
      <c r="C28" t="s" s="45">
        <v>68</v>
      </c>
      <c r="D28" s="46">
        <v>42.7283076056935</v>
      </c>
      <c r="E28" s="46">
        <v>-73.67350733406759</v>
      </c>
      <c r="F28" s="47">
        <f>_xlfn.COUNTIFS('Connections'!$B$6:$B$589,A28)+_xlfn.COUNTIFS('Connections'!$C$6:$C$589,A28)</f>
        <v>1</v>
      </c>
      <c r="G28" s="47">
        <f>_xlfn.COUNTIFS('Connections'!$B$6:$B$589,A28,'Connections'!$D$6:$D$589,"TRUE")+_xlfn.COUNTIFS('Connections'!$C$6:$C$589,A28,'Connections'!$D$6:$D$589,"TRUE")</f>
        <v>1</v>
      </c>
      <c r="H28" t="s" s="48">
        <v>69</v>
      </c>
      <c r="I28" t="s" s="48">
        <v>70</v>
      </c>
      <c r="J28" s="49"/>
      <c r="K28" s="50"/>
      <c r="L28" s="51"/>
      <c r="M28" t="s" s="45">
        <v>6</v>
      </c>
      <c r="N28" s="52">
        <v>40</v>
      </c>
      <c r="O28" s="44"/>
    </row>
    <row r="29" ht="23.1" customHeight="1">
      <c r="A29" t="s" s="24">
        <v>115</v>
      </c>
      <c r="B29" t="s" s="53">
        <v>116</v>
      </c>
      <c r="C29" t="s" s="53">
        <v>68</v>
      </c>
      <c r="D29" s="54">
        <v>42.7294710085669</v>
      </c>
      <c r="E29" s="54">
        <v>-73.67925539282341</v>
      </c>
      <c r="F29" s="55">
        <f>_xlfn.COUNTIFS('Connections'!$B$6:$B$589,A29)+_xlfn.COUNTIFS('Connections'!$C$6:$C$589,A29)</f>
        <v>1</v>
      </c>
      <c r="G29" s="55">
        <f>_xlfn.COUNTIFS('Connections'!$B$6:$B$589,A29,'Connections'!$D$6:$D$589,"TRUE")+_xlfn.COUNTIFS('Connections'!$C$6:$C$589,A29,'Connections'!$D$6:$D$589,"TRUE")</f>
        <v>1</v>
      </c>
      <c r="H29" t="s" s="48">
        <v>69</v>
      </c>
      <c r="I29" t="s" s="48">
        <v>70</v>
      </c>
      <c r="J29" s="49"/>
      <c r="K29" s="50"/>
      <c r="L29" s="56"/>
      <c r="M29" t="s" s="53">
        <v>6</v>
      </c>
      <c r="N29" s="57">
        <v>18</v>
      </c>
      <c r="O29" s="44"/>
    </row>
    <row r="30" ht="23.1" customHeight="1">
      <c r="A30" t="s" s="21">
        <v>117</v>
      </c>
      <c r="B30" t="s" s="45">
        <v>118</v>
      </c>
      <c r="C30" t="s" s="45">
        <v>68</v>
      </c>
      <c r="D30" s="46">
        <v>42.7272453915547</v>
      </c>
      <c r="E30" s="46">
        <v>-73.67408488012831</v>
      </c>
      <c r="F30" s="47">
        <f>_xlfn.COUNTIFS('Connections'!$B$6:$B$589,A30)+_xlfn.COUNTIFS('Connections'!$C$6:$C$589,A30)</f>
        <v>1</v>
      </c>
      <c r="G30" s="47">
        <f>_xlfn.COUNTIFS('Connections'!$B$6:$B$589,A30,'Connections'!$D$6:$D$589,"TRUE")+_xlfn.COUNTIFS('Connections'!$C$6:$C$589,A30,'Connections'!$D$6:$D$589,"TRUE")</f>
        <v>1</v>
      </c>
      <c r="H30" t="s" s="48">
        <v>69</v>
      </c>
      <c r="I30" t="s" s="48">
        <v>70</v>
      </c>
      <c r="J30" s="49"/>
      <c r="K30" s="50"/>
      <c r="L30" s="51"/>
      <c r="M30" t="s" s="45">
        <v>6</v>
      </c>
      <c r="N30" s="52">
        <v>42</v>
      </c>
      <c r="O30" s="44"/>
    </row>
    <row r="31" ht="23.1" customHeight="1">
      <c r="A31" t="s" s="24">
        <v>119</v>
      </c>
      <c r="B31" t="s" s="53">
        <v>120</v>
      </c>
      <c r="C31" t="s" s="53">
        <v>68</v>
      </c>
      <c r="D31" s="54">
        <v>42.7313769480033</v>
      </c>
      <c r="E31" s="54">
        <v>-73.6791896873967</v>
      </c>
      <c r="F31" s="55">
        <f>_xlfn.COUNTIFS('Connections'!$B$6:$B$589,A31)+_xlfn.COUNTIFS('Connections'!$C$6:$C$589,A31)</f>
        <v>1</v>
      </c>
      <c r="G31" s="55">
        <f>_xlfn.COUNTIFS('Connections'!$B$6:$B$589,A31,'Connections'!$D$6:$D$589,"TRUE")+_xlfn.COUNTIFS('Connections'!$C$6:$C$589,A31,'Connections'!$D$6:$D$589,"TRUE")</f>
        <v>0</v>
      </c>
      <c r="H31" t="s" s="48">
        <v>69</v>
      </c>
      <c r="I31" t="s" s="48">
        <v>70</v>
      </c>
      <c r="J31" s="49"/>
      <c r="K31" s="50"/>
      <c r="L31" s="56"/>
      <c r="M31" t="s" s="53">
        <v>6</v>
      </c>
      <c r="N31" s="57">
        <v>12</v>
      </c>
      <c r="O31" s="44"/>
    </row>
    <row r="32" ht="23.1" customHeight="1">
      <c r="A32" t="s" s="21">
        <v>121</v>
      </c>
      <c r="B32" t="s" s="45">
        <v>122</v>
      </c>
      <c r="C32" t="s" s="45">
        <v>68</v>
      </c>
      <c r="D32" s="46">
        <v>42.732367962673</v>
      </c>
      <c r="E32" s="46">
        <v>-73.6676237933532</v>
      </c>
      <c r="F32" s="47">
        <f>_xlfn.COUNTIFS('Connections'!$B$6:$B$589,A32)+_xlfn.COUNTIFS('Connections'!$C$6:$C$589,A32)</f>
        <v>1</v>
      </c>
      <c r="G32" s="47">
        <f>_xlfn.COUNTIFS('Connections'!$B$6:$B$589,A32,'Connections'!$D$6:$D$589,"TRUE")+_xlfn.COUNTIFS('Connections'!$C$6:$C$589,A32,'Connections'!$D$6:$D$589,"TRUE")</f>
        <v>1</v>
      </c>
      <c r="H32" t="s" s="48">
        <v>69</v>
      </c>
      <c r="I32" t="s" s="48">
        <v>70</v>
      </c>
      <c r="J32" s="49"/>
      <c r="K32" s="50"/>
      <c r="L32" s="51"/>
      <c r="M32" t="s" s="45">
        <v>6</v>
      </c>
      <c r="N32" s="52">
        <v>60</v>
      </c>
      <c r="O32" s="44"/>
    </row>
    <row r="33" ht="23.1" customHeight="1">
      <c r="A33" t="s" s="24">
        <v>123</v>
      </c>
      <c r="B33" t="s" s="53">
        <v>124</v>
      </c>
      <c r="C33" t="s" s="53">
        <v>68</v>
      </c>
      <c r="D33" s="54">
        <v>42.7288955249045</v>
      </c>
      <c r="E33" s="54">
        <v>-73.6836128303383</v>
      </c>
      <c r="F33" s="55">
        <f>_xlfn.COUNTIFS('Connections'!$B$6:$B$589,A33)+_xlfn.COUNTIFS('Connections'!$C$6:$C$589,A33)</f>
        <v>1</v>
      </c>
      <c r="G33" s="55">
        <f>_xlfn.COUNTIFS('Connections'!$B$6:$B$589,A33,'Connections'!$D$6:$D$589,"TRUE")+_xlfn.COUNTIFS('Connections'!$C$6:$C$589,A33,'Connections'!$D$6:$D$589,"TRUE")</f>
        <v>1</v>
      </c>
      <c r="H33" t="s" s="48">
        <v>69</v>
      </c>
      <c r="I33" t="s" s="48">
        <v>70</v>
      </c>
      <c r="J33" s="49"/>
      <c r="K33" s="50"/>
      <c r="L33" s="56"/>
      <c r="M33" t="s" s="53">
        <v>6</v>
      </c>
      <c r="N33" s="57">
        <v>64</v>
      </c>
      <c r="O33" s="44"/>
    </row>
    <row r="34" ht="23.1" customHeight="1">
      <c r="A34" t="s" s="21">
        <v>125</v>
      </c>
      <c r="B34" t="s" s="45">
        <v>126</v>
      </c>
      <c r="C34" t="s" s="45">
        <v>68</v>
      </c>
      <c r="D34" s="46">
        <v>42.7293468233902</v>
      </c>
      <c r="E34" s="46">
        <v>-73.68254817542559</v>
      </c>
      <c r="F34" s="47">
        <f>_xlfn.COUNTIFS('Connections'!$B$6:$B$589,A34)+_xlfn.COUNTIFS('Connections'!$C$6:$C$589,A34)</f>
        <v>4</v>
      </c>
      <c r="G34" s="47">
        <f>_xlfn.COUNTIFS('Connections'!$B$6:$B$589,A34,'Connections'!$D$6:$D$589,"TRUE")+_xlfn.COUNTIFS('Connections'!$C$6:$C$589,A34,'Connections'!$D$6:$D$589,"TRUE")</f>
        <v>4</v>
      </c>
      <c r="H34" t="s" s="48">
        <v>69</v>
      </c>
      <c r="I34" t="s" s="48">
        <v>70</v>
      </c>
      <c r="J34" s="49"/>
      <c r="K34" s="50"/>
      <c r="L34" s="51"/>
      <c r="M34" t="s" s="45">
        <v>6</v>
      </c>
      <c r="N34" s="52">
        <v>24</v>
      </c>
      <c r="O34" s="44"/>
    </row>
    <row r="35" ht="23.1" customHeight="1">
      <c r="A35" t="s" s="24">
        <v>127</v>
      </c>
      <c r="B35" t="s" s="53">
        <v>128</v>
      </c>
      <c r="C35" t="s" s="53">
        <v>68</v>
      </c>
      <c r="D35" s="54">
        <v>42.7300180143745</v>
      </c>
      <c r="E35" s="54">
        <v>-73.6811693363836</v>
      </c>
      <c r="F35" s="55">
        <f>_xlfn.COUNTIFS('Connections'!$B$6:$B$589,A35)+_xlfn.COUNTIFS('Connections'!$C$6:$C$589,A35)</f>
        <v>2</v>
      </c>
      <c r="G35" s="55">
        <f>_xlfn.COUNTIFS('Connections'!$B$6:$B$589,A35,'Connections'!$D$6:$D$589,"TRUE")+_xlfn.COUNTIFS('Connections'!$C$6:$C$589,A35,'Connections'!$D$6:$D$589,"TRUE")</f>
        <v>2</v>
      </c>
      <c r="H35" t="s" s="48">
        <v>69</v>
      </c>
      <c r="I35" t="s" s="48">
        <v>70</v>
      </c>
      <c r="J35" s="49"/>
      <c r="K35" s="50"/>
      <c r="L35" s="56"/>
      <c r="M35" t="s" s="53">
        <v>6</v>
      </c>
      <c r="N35" s="57">
        <v>25</v>
      </c>
      <c r="O35" s="44"/>
    </row>
    <row r="36" ht="23.1" customHeight="1">
      <c r="A36" t="s" s="21">
        <v>129</v>
      </c>
      <c r="B36" t="s" s="45">
        <v>130</v>
      </c>
      <c r="C36" t="s" s="45">
        <v>68</v>
      </c>
      <c r="D36" s="46">
        <v>42.7288083242615</v>
      </c>
      <c r="E36" s="46">
        <v>-73.6679496547526</v>
      </c>
      <c r="F36" s="47">
        <f>_xlfn.COUNTIFS('Connections'!$B$6:$B$589,A36)+_xlfn.COUNTIFS('Connections'!$C$6:$C$589,A36)</f>
        <v>1</v>
      </c>
      <c r="G36" s="47">
        <f>_xlfn.COUNTIFS('Connections'!$B$6:$B$589,A36,'Connections'!$D$6:$D$589,"TRUE")+_xlfn.COUNTIFS('Connections'!$C$6:$C$589,A36,'Connections'!$D$6:$D$589,"TRUE")</f>
        <v>1</v>
      </c>
      <c r="H36" t="s" s="48">
        <v>69</v>
      </c>
      <c r="I36" t="s" s="48">
        <v>70</v>
      </c>
      <c r="J36" s="49"/>
      <c r="K36" s="50"/>
      <c r="L36" s="51"/>
      <c r="M36" t="s" s="45">
        <v>6</v>
      </c>
      <c r="N36" s="52">
        <v>53</v>
      </c>
      <c r="O36" s="44"/>
    </row>
    <row r="37" ht="23.1" customHeight="1">
      <c r="A37" t="s" s="24">
        <v>131</v>
      </c>
      <c r="B37" t="s" s="53">
        <v>132</v>
      </c>
      <c r="C37" t="s" s="53">
        <v>68</v>
      </c>
      <c r="D37" s="54">
        <v>42.7326033187689</v>
      </c>
      <c r="E37" s="54">
        <v>-73.6792189042077</v>
      </c>
      <c r="F37" s="55">
        <f>_xlfn.COUNTIFS('Connections'!$B$6:$B$589,A37)+_xlfn.COUNTIFS('Connections'!$C$6:$C$589,A37)</f>
        <v>1</v>
      </c>
      <c r="G37" s="55">
        <f>_xlfn.COUNTIFS('Connections'!$B$6:$B$589,A37,'Connections'!$D$6:$D$589,"TRUE")+_xlfn.COUNTIFS('Connections'!$C$6:$C$589,A37,'Connections'!$D$6:$D$589,"TRUE")</f>
        <v>1</v>
      </c>
      <c r="H37" t="s" s="48">
        <v>69</v>
      </c>
      <c r="I37" t="s" s="48">
        <v>70</v>
      </c>
      <c r="J37" s="49"/>
      <c r="K37" s="50"/>
      <c r="L37" s="56"/>
      <c r="M37" t="s" s="53">
        <v>6</v>
      </c>
      <c r="N37" s="57">
        <v>32</v>
      </c>
      <c r="O37" s="44"/>
    </row>
    <row r="38" ht="23.1" customHeight="1">
      <c r="A38" t="s" s="21">
        <v>133</v>
      </c>
      <c r="B38" t="s" s="45">
        <v>134</v>
      </c>
      <c r="C38" t="s" s="45">
        <v>68</v>
      </c>
      <c r="D38" s="46">
        <v>42.7285552030114</v>
      </c>
      <c r="E38" s="46">
        <v>-73.6751461783729</v>
      </c>
      <c r="F38" s="47">
        <f>_xlfn.COUNTIFS('Connections'!$B$6:$B$589,A38)+_xlfn.COUNTIFS('Connections'!$C$6:$C$589,A38)</f>
        <v>1</v>
      </c>
      <c r="G38" s="47">
        <f>_xlfn.COUNTIFS('Connections'!$B$6:$B$589,A38,'Connections'!$D$6:$D$589,"TRUE")+_xlfn.COUNTIFS('Connections'!$C$6:$C$589,A38,'Connections'!$D$6:$D$589,"TRUE")</f>
        <v>1</v>
      </c>
      <c r="H38" t="s" s="48">
        <v>69</v>
      </c>
      <c r="I38" t="s" s="48">
        <v>70</v>
      </c>
      <c r="J38" s="49"/>
      <c r="K38" s="50"/>
      <c r="L38" s="51"/>
      <c r="M38" t="s" s="45">
        <v>6</v>
      </c>
      <c r="N38" s="52">
        <v>46</v>
      </c>
      <c r="O38" s="44"/>
    </row>
    <row r="39" ht="23.1" customHeight="1">
      <c r="A39" t="s" s="24">
        <v>135</v>
      </c>
      <c r="B39" t="s" s="53">
        <v>136</v>
      </c>
      <c r="C39" t="s" s="53">
        <v>68</v>
      </c>
      <c r="D39" s="54">
        <v>42.7331555238384</v>
      </c>
      <c r="E39" s="54">
        <v>-73.6689110910544</v>
      </c>
      <c r="F39" s="55">
        <f>_xlfn.COUNTIFS('Connections'!$B$6:$B$589,A39)+_xlfn.COUNTIFS('Connections'!$C$6:$C$589,A39)</f>
        <v>1</v>
      </c>
      <c r="G39" s="55">
        <f>_xlfn.COUNTIFS('Connections'!$B$6:$B$589,A39,'Connections'!$D$6:$D$589,"TRUE")+_xlfn.COUNTIFS('Connections'!$C$6:$C$589,A39,'Connections'!$D$6:$D$589,"TRUE")</f>
        <v>1</v>
      </c>
      <c r="H39" t="s" s="48">
        <v>69</v>
      </c>
      <c r="I39" t="s" s="48">
        <v>70</v>
      </c>
      <c r="J39" s="49"/>
      <c r="K39" s="50"/>
      <c r="L39" s="56"/>
      <c r="M39" t="s" s="53">
        <v>6</v>
      </c>
      <c r="N39" s="57">
        <v>68</v>
      </c>
      <c r="O39" s="44"/>
    </row>
    <row r="40" ht="23.1" customHeight="1">
      <c r="A40" t="s" s="21">
        <v>137</v>
      </c>
      <c r="B40" t="s" s="45">
        <v>138</v>
      </c>
      <c r="C40" t="s" s="45">
        <v>68</v>
      </c>
      <c r="D40" s="46">
        <v>42.7328920544551</v>
      </c>
      <c r="E40" s="46">
        <v>-73.678166768821</v>
      </c>
      <c r="F40" s="47">
        <f>_xlfn.COUNTIFS('Connections'!$B$6:$B$589,A40)+_xlfn.COUNTIFS('Connections'!$C$6:$C$589,A40)</f>
        <v>1</v>
      </c>
      <c r="G40" s="47">
        <f>_xlfn.COUNTIFS('Connections'!$B$6:$B$589,A40,'Connections'!$D$6:$D$589,"TRUE")+_xlfn.COUNTIFS('Connections'!$C$6:$C$589,A40,'Connections'!$D$6:$D$589,"TRUE")</f>
        <v>1</v>
      </c>
      <c r="H40" t="s" s="48">
        <v>69</v>
      </c>
      <c r="I40" t="s" s="48">
        <v>70</v>
      </c>
      <c r="J40" s="49"/>
      <c r="K40" s="50"/>
      <c r="L40" s="51"/>
      <c r="M40" t="s" s="45">
        <v>6</v>
      </c>
      <c r="N40" s="52">
        <v>33</v>
      </c>
      <c r="O40" s="44"/>
    </row>
    <row r="41" ht="23.1" customHeight="1">
      <c r="A41" t="s" s="24">
        <v>139</v>
      </c>
      <c r="B41" t="s" s="53">
        <v>140</v>
      </c>
      <c r="C41" t="s" s="53">
        <v>68</v>
      </c>
      <c r="D41" s="54">
        <v>42.7321437395256</v>
      </c>
      <c r="E41" s="54">
        <v>-73.66965064056549</v>
      </c>
      <c r="F41" s="55">
        <f>_xlfn.COUNTIFS('Connections'!$B$6:$B$589,A41)+_xlfn.COUNTIFS('Connections'!$C$6:$C$589,A41)</f>
        <v>2</v>
      </c>
      <c r="G41" s="55">
        <f>_xlfn.COUNTIFS('Connections'!$B$6:$B$589,A41,'Connections'!$D$6:$D$589,"TRUE")+_xlfn.COUNTIFS('Connections'!$C$6:$C$589,A41,'Connections'!$D$6:$D$589,"TRUE")</f>
        <v>2</v>
      </c>
      <c r="H41" t="s" s="48">
        <v>69</v>
      </c>
      <c r="I41" t="s" s="48">
        <v>70</v>
      </c>
      <c r="J41" s="49"/>
      <c r="K41" s="50"/>
      <c r="L41" s="56"/>
      <c r="M41" t="s" s="53">
        <v>6</v>
      </c>
      <c r="N41" s="57">
        <v>51</v>
      </c>
      <c r="O41" s="44"/>
    </row>
    <row r="42" ht="23.1" customHeight="1">
      <c r="A42" t="s" s="21">
        <v>141</v>
      </c>
      <c r="B42" t="s" s="45">
        <v>142</v>
      </c>
      <c r="C42" t="s" s="45">
        <v>68</v>
      </c>
      <c r="D42" s="46">
        <v>42.7331692394064</v>
      </c>
      <c r="E42" s="46">
        <v>-73.6798983927157</v>
      </c>
      <c r="F42" s="47">
        <f>_xlfn.COUNTIFS('Connections'!$B$6:$B$589,A42)+_xlfn.COUNTIFS('Connections'!$C$6:$C$589,A42)</f>
        <v>1</v>
      </c>
      <c r="G42" s="47">
        <f>_xlfn.COUNTIFS('Connections'!$B$6:$B$589,A42,'Connections'!$D$6:$D$589,"TRUE")+_xlfn.COUNTIFS('Connections'!$C$6:$C$589,A42,'Connections'!$D$6:$D$589,"TRUE")</f>
        <v>1</v>
      </c>
      <c r="H42" t="s" s="48">
        <v>69</v>
      </c>
      <c r="I42" t="s" s="48">
        <v>70</v>
      </c>
      <c r="J42" s="49"/>
      <c r="K42" s="50"/>
      <c r="L42" s="51"/>
      <c r="M42" t="s" s="45">
        <v>6</v>
      </c>
      <c r="N42" s="52">
        <v>31</v>
      </c>
      <c r="O42" s="44"/>
    </row>
    <row r="43" ht="23.1" customHeight="1">
      <c r="A43" t="s" s="24">
        <v>143</v>
      </c>
      <c r="B43" t="s" s="53">
        <v>144</v>
      </c>
      <c r="C43" t="s" s="53">
        <v>68</v>
      </c>
      <c r="D43" s="54">
        <v>42.7296023792144</v>
      </c>
      <c r="E43" s="54">
        <v>-73.6801876114796</v>
      </c>
      <c r="F43" s="55">
        <f>_xlfn.COUNTIFS('Connections'!$B$6:$B$589,A43)+_xlfn.COUNTIFS('Connections'!$C$6:$C$589,A43)</f>
        <v>2</v>
      </c>
      <c r="G43" s="55">
        <f>_xlfn.COUNTIFS('Connections'!$B$6:$B$589,A43,'Connections'!$D$6:$D$589,"TRUE")+_xlfn.COUNTIFS('Connections'!$C$6:$C$589,A43,'Connections'!$D$6:$D$589,"TRUE")</f>
        <v>2</v>
      </c>
      <c r="H43" t="s" s="48">
        <v>69</v>
      </c>
      <c r="I43" t="s" s="48">
        <v>70</v>
      </c>
      <c r="J43" s="49"/>
      <c r="K43" s="50"/>
      <c r="L43" s="56"/>
      <c r="M43" t="s" s="53">
        <v>6</v>
      </c>
      <c r="N43" s="57">
        <v>19</v>
      </c>
      <c r="O43" s="44"/>
    </row>
    <row r="44" ht="23.1" customHeight="1">
      <c r="A44" t="s" s="21">
        <v>145</v>
      </c>
      <c r="B44" t="s" s="45">
        <v>146</v>
      </c>
      <c r="C44" t="s" s="45">
        <v>68</v>
      </c>
      <c r="D44" s="46">
        <v>42.7288196976939</v>
      </c>
      <c r="E44" s="46">
        <v>-73.68037847802439</v>
      </c>
      <c r="F44" s="47">
        <f>_xlfn.COUNTIFS('Connections'!$B$6:$B$589,A44)+_xlfn.COUNTIFS('Connections'!$C$6:$C$589,A44)</f>
        <v>1</v>
      </c>
      <c r="G44" s="47">
        <f>_xlfn.COUNTIFS('Connections'!$B$6:$B$589,A44,'Connections'!$D$6:$D$589,"TRUE")+_xlfn.COUNTIFS('Connections'!$C$6:$C$589,A44,'Connections'!$D$6:$D$589,"TRUE")</f>
        <v>1</v>
      </c>
      <c r="H44" t="s" s="48">
        <v>69</v>
      </c>
      <c r="I44" t="s" s="48">
        <v>70</v>
      </c>
      <c r="J44" s="49"/>
      <c r="K44" s="50"/>
      <c r="L44" s="51"/>
      <c r="M44" t="s" s="45">
        <v>6</v>
      </c>
      <c r="N44" s="52">
        <v>20</v>
      </c>
      <c r="O44" s="44"/>
    </row>
    <row r="45" ht="23.1" customHeight="1">
      <c r="A45" t="s" s="24">
        <v>147</v>
      </c>
      <c r="B45" t="s" s="58">
        <v>148</v>
      </c>
      <c r="C45" t="s" s="53">
        <v>68</v>
      </c>
      <c r="D45" s="54">
        <v>42.7301396094699</v>
      </c>
      <c r="E45" s="54">
        <v>-73.68188977695419</v>
      </c>
      <c r="F45" s="55">
        <f>_xlfn.COUNTIFS('Connections'!$B$6:$B$589,A45)+_xlfn.COUNTIFS('Connections'!$C$6:$C$589,A45)</f>
        <v>1</v>
      </c>
      <c r="G45" s="55">
        <f>_xlfn.COUNTIFS('Connections'!$B$6:$B$589,A45,'Connections'!$D$6:$D$589,"TRUE")+_xlfn.COUNTIFS('Connections'!$C$6:$C$589,A45,'Connections'!$D$6:$D$589,"TRUE")</f>
        <v>1</v>
      </c>
      <c r="H45" t="s" s="48">
        <v>69</v>
      </c>
      <c r="I45" t="s" s="48">
        <v>70</v>
      </c>
      <c r="J45" s="49"/>
      <c r="K45" s="50"/>
      <c r="L45" s="56"/>
      <c r="M45" t="s" s="53">
        <v>6</v>
      </c>
      <c r="N45" s="57">
        <v>26</v>
      </c>
      <c r="O45" s="44"/>
    </row>
    <row r="46" ht="23.1" customHeight="1">
      <c r="A46" t="s" s="21">
        <v>149</v>
      </c>
      <c r="B46" t="s" s="45">
        <v>150</v>
      </c>
      <c r="C46" t="s" s="45">
        <v>68</v>
      </c>
      <c r="D46" s="46">
        <v>42.7294025452251</v>
      </c>
      <c r="E46" s="46">
        <v>-73.67868702133759</v>
      </c>
      <c r="F46" s="47">
        <f>_xlfn.COUNTIFS('Connections'!$B$6:$B$589,A46)+_xlfn.COUNTIFS('Connections'!$C$6:$C$589,A46)</f>
        <v>1</v>
      </c>
      <c r="G46" s="47">
        <f>_xlfn.COUNTIFS('Connections'!$B$6:$B$589,A46,'Connections'!$D$6:$D$589,"TRUE")+_xlfn.COUNTIFS('Connections'!$C$6:$C$589,A46,'Connections'!$D$6:$D$589,"TRUE")</f>
        <v>1</v>
      </c>
      <c r="H46" t="s" s="48">
        <v>69</v>
      </c>
      <c r="I46" t="s" s="48">
        <v>70</v>
      </c>
      <c r="J46" s="49"/>
      <c r="K46" s="50"/>
      <c r="L46" s="51"/>
      <c r="M46" t="s" s="45">
        <v>6</v>
      </c>
      <c r="N46" s="52">
        <v>16</v>
      </c>
      <c r="O46" s="44"/>
    </row>
    <row r="47" ht="23.1" customHeight="1">
      <c r="A47" t="s" s="24">
        <v>151</v>
      </c>
      <c r="B47" t="s" s="53">
        <v>152</v>
      </c>
      <c r="C47" t="s" s="53">
        <v>68</v>
      </c>
      <c r="D47" s="54">
        <v>42.7283133827967</v>
      </c>
      <c r="E47" s="54">
        <v>-73.6819688586443</v>
      </c>
      <c r="F47" s="55">
        <f>_xlfn.COUNTIFS('Connections'!$B$6:$B$589,A47)+_xlfn.COUNTIFS('Connections'!$C$6:$C$589,A47)</f>
        <v>2</v>
      </c>
      <c r="G47" s="55">
        <f>_xlfn.COUNTIFS('Connections'!$B$6:$B$589,A47,'Connections'!$D$6:$D$589,"TRUE")+_xlfn.COUNTIFS('Connections'!$C$6:$C$589,A47,'Connections'!$D$6:$D$589,"TRUE")</f>
        <v>2</v>
      </c>
      <c r="H47" t="s" s="48">
        <v>69</v>
      </c>
      <c r="I47" t="s" s="48">
        <v>70</v>
      </c>
      <c r="J47" s="49"/>
      <c r="K47" s="50"/>
      <c r="L47" s="56"/>
      <c r="M47" t="s" s="53">
        <v>6</v>
      </c>
      <c r="N47" s="57">
        <v>22</v>
      </c>
      <c r="O47" s="44"/>
    </row>
    <row r="48" ht="23.1" customHeight="1">
      <c r="A48" t="s" s="21">
        <v>153</v>
      </c>
      <c r="B48" t="s" s="45">
        <v>154</v>
      </c>
      <c r="C48" t="s" s="45">
        <v>68</v>
      </c>
      <c r="D48" s="46">
        <v>42.728805307566</v>
      </c>
      <c r="E48" s="46">
        <v>-73.67691223726879</v>
      </c>
      <c r="F48" s="47">
        <f>_xlfn.COUNTIFS('Connections'!$B$6:$B$589,A48)+_xlfn.COUNTIFS('Connections'!$C$6:$C$589,A48)</f>
        <v>2</v>
      </c>
      <c r="G48" s="47">
        <f>_xlfn.COUNTIFS('Connections'!$B$6:$B$589,A48,'Connections'!$D$6:$D$589,"TRUE")+_xlfn.COUNTIFS('Connections'!$C$6:$C$589,A48,'Connections'!$D$6:$D$589,"TRUE")</f>
        <v>2</v>
      </c>
      <c r="H48" t="s" s="48">
        <v>69</v>
      </c>
      <c r="I48" t="s" s="48">
        <v>70</v>
      </c>
      <c r="J48" s="49"/>
      <c r="K48" s="50"/>
      <c r="L48" s="51"/>
      <c r="M48" t="s" s="45">
        <v>6</v>
      </c>
      <c r="N48" s="52">
        <v>37</v>
      </c>
      <c r="O48" s="44"/>
    </row>
    <row r="49" ht="23.1" customHeight="1">
      <c r="A49" t="s" s="24">
        <v>155</v>
      </c>
      <c r="B49" t="s" s="53">
        <v>156</v>
      </c>
      <c r="C49" t="s" s="53">
        <v>68</v>
      </c>
      <c r="D49" s="54">
        <v>42.727659785464</v>
      </c>
      <c r="E49" s="54">
        <v>-73.67362914253449</v>
      </c>
      <c r="F49" s="55">
        <f>_xlfn.COUNTIFS('Connections'!$B$6:$B$589,A49)+_xlfn.COUNTIFS('Connections'!$C$6:$C$589,A49)</f>
        <v>1</v>
      </c>
      <c r="G49" s="55">
        <f>_xlfn.COUNTIFS('Connections'!$B$6:$B$589,A49,'Connections'!$D$6:$D$589,"TRUE")+_xlfn.COUNTIFS('Connections'!$C$6:$C$589,A49,'Connections'!$D$6:$D$589,"TRUE")</f>
        <v>1</v>
      </c>
      <c r="H49" t="s" s="48">
        <v>69</v>
      </c>
      <c r="I49" t="s" s="48">
        <v>70</v>
      </c>
      <c r="J49" s="49"/>
      <c r="K49" s="50"/>
      <c r="L49" s="56"/>
      <c r="M49" t="s" s="53">
        <v>6</v>
      </c>
      <c r="N49" s="57">
        <v>41</v>
      </c>
      <c r="O49" s="44"/>
    </row>
    <row r="50" ht="23.1" customHeight="1">
      <c r="A50" t="s" s="21">
        <v>157</v>
      </c>
      <c r="B50" t="s" s="45">
        <v>158</v>
      </c>
      <c r="C50" t="s" s="45">
        <v>68</v>
      </c>
      <c r="D50" s="46">
        <v>42.7313610903711</v>
      </c>
      <c r="E50" s="46">
        <v>-73.6798278892484</v>
      </c>
      <c r="F50" s="47">
        <f>_xlfn.COUNTIFS('Connections'!$B$6:$B$589,A50)+_xlfn.COUNTIFS('Connections'!$C$6:$C$589,A50)</f>
        <v>1</v>
      </c>
      <c r="G50" s="47">
        <f>_xlfn.COUNTIFS('Connections'!$B$6:$B$589,A50,'Connections'!$D$6:$D$589,"TRUE")+_xlfn.COUNTIFS('Connections'!$C$6:$C$589,A50,'Connections'!$D$6:$D$589,"TRUE")</f>
        <v>1</v>
      </c>
      <c r="H50" t="s" s="48">
        <v>69</v>
      </c>
      <c r="I50" t="s" s="48">
        <v>70</v>
      </c>
      <c r="J50" s="49"/>
      <c r="K50" s="50"/>
      <c r="L50" s="51"/>
      <c r="M50" t="s" s="45">
        <v>6</v>
      </c>
      <c r="N50" s="52">
        <v>11</v>
      </c>
      <c r="O50" s="44"/>
    </row>
    <row r="51" ht="23.1" customHeight="1">
      <c r="A51" t="s" s="24">
        <v>159</v>
      </c>
      <c r="B51" t="s" s="53">
        <v>160</v>
      </c>
      <c r="C51" t="s" s="53">
        <v>68</v>
      </c>
      <c r="D51" s="54">
        <v>42.7274275472005</v>
      </c>
      <c r="E51" s="54">
        <v>-73.6750424434785</v>
      </c>
      <c r="F51" s="55">
        <f>_xlfn.COUNTIFS('Connections'!$B$6:$B$589,A51)+_xlfn.COUNTIFS('Connections'!$C$6:$C$589,A51)</f>
        <v>1</v>
      </c>
      <c r="G51" s="55">
        <f>_xlfn.COUNTIFS('Connections'!$B$6:$B$589,A51,'Connections'!$D$6:$D$589,"TRUE")+_xlfn.COUNTIFS('Connections'!$C$6:$C$589,A51,'Connections'!$D$6:$D$589,"TRUE")</f>
        <v>1</v>
      </c>
      <c r="H51" t="s" s="48">
        <v>69</v>
      </c>
      <c r="I51" t="s" s="48">
        <v>70</v>
      </c>
      <c r="J51" s="49"/>
      <c r="K51" s="50"/>
      <c r="L51" s="56"/>
      <c r="M51" t="s" s="53">
        <v>6</v>
      </c>
      <c r="N51" s="57">
        <v>44</v>
      </c>
      <c r="O51" s="44"/>
    </row>
    <row r="52" ht="23.1" customHeight="1">
      <c r="A52" t="s" s="21">
        <v>161</v>
      </c>
      <c r="B52" t="s" s="45">
        <v>162</v>
      </c>
      <c r="C52" t="s" s="45">
        <v>68</v>
      </c>
      <c r="D52" s="46">
        <v>42.7277297315786</v>
      </c>
      <c r="E52" s="46">
        <v>-73.681413620707</v>
      </c>
      <c r="F52" s="47">
        <f>_xlfn.COUNTIFS('Connections'!$B$6:$B$589,A52)+_xlfn.COUNTIFS('Connections'!$C$6:$C$589,A52)</f>
        <v>1</v>
      </c>
      <c r="G52" s="47">
        <f>_xlfn.COUNTIFS('Connections'!$B$6:$B$589,A52,'Connections'!$D$6:$D$589,"TRUE")+_xlfn.COUNTIFS('Connections'!$C$6:$C$589,A52,'Connections'!$D$6:$D$589,"TRUE")</f>
        <v>1</v>
      </c>
      <c r="H52" t="s" s="48">
        <v>69</v>
      </c>
      <c r="I52" t="s" s="48">
        <v>70</v>
      </c>
      <c r="J52" s="49"/>
      <c r="K52" s="50"/>
      <c r="L52" s="51"/>
      <c r="M52" t="s" s="45">
        <v>6</v>
      </c>
      <c r="N52" s="52">
        <v>63</v>
      </c>
      <c r="O52" s="44"/>
    </row>
    <row r="53" ht="23.1" customHeight="1">
      <c r="A53" t="s" s="24">
        <v>163</v>
      </c>
      <c r="B53" t="s" s="58">
        <v>164</v>
      </c>
      <c r="C53" t="s" s="53">
        <v>68</v>
      </c>
      <c r="D53" s="54">
        <v>42.731050009323</v>
      </c>
      <c r="E53" s="54">
        <v>-73.6833468604146</v>
      </c>
      <c r="F53" s="55">
        <f>_xlfn.COUNTIFS('Connections'!$B$6:$B$589,A53)+_xlfn.COUNTIFS('Connections'!$C$6:$C$589,A53)</f>
        <v>2</v>
      </c>
      <c r="G53" s="55">
        <f>_xlfn.COUNTIFS('Connections'!$B$6:$B$589,A53,'Connections'!$D$6:$D$589,"TRUE")+_xlfn.COUNTIFS('Connections'!$C$6:$C$589,A53,'Connections'!$D$6:$D$589,"TRUE")</f>
        <v>2</v>
      </c>
      <c r="H53" t="s" s="48">
        <v>69</v>
      </c>
      <c r="I53" t="s" s="48">
        <v>70</v>
      </c>
      <c r="J53" s="49"/>
      <c r="K53" s="50"/>
      <c r="L53" s="56"/>
      <c r="M53" t="s" s="53">
        <v>6</v>
      </c>
      <c r="N53" s="57">
        <v>4</v>
      </c>
      <c r="O53" s="44"/>
    </row>
    <row r="54" ht="23.1" customHeight="1">
      <c r="A54" t="s" s="21">
        <v>165</v>
      </c>
      <c r="B54" t="s" s="45">
        <v>166</v>
      </c>
      <c r="C54" t="s" s="45">
        <v>68</v>
      </c>
      <c r="D54" s="46">
        <v>42.729251662132</v>
      </c>
      <c r="E54" s="46">
        <v>-73.67700170629379</v>
      </c>
      <c r="F54" s="47">
        <f>_xlfn.COUNTIFS('Connections'!$B$6:$B$589,A54)+_xlfn.COUNTIFS('Connections'!$C$6:$C$589,A54)</f>
        <v>1</v>
      </c>
      <c r="G54" s="47">
        <f>_xlfn.COUNTIFS('Connections'!$B$6:$B$589,A54,'Connections'!$D$6:$D$589,"TRUE")+_xlfn.COUNTIFS('Connections'!$C$6:$C$589,A54,'Connections'!$D$6:$D$589,"TRUE")</f>
        <v>1</v>
      </c>
      <c r="H54" t="s" s="48">
        <v>69</v>
      </c>
      <c r="I54" t="s" s="48">
        <v>70</v>
      </c>
      <c r="J54" s="49"/>
      <c r="K54" s="50"/>
      <c r="L54" s="51"/>
      <c r="M54" t="s" s="45">
        <v>6</v>
      </c>
      <c r="N54" s="52">
        <v>35</v>
      </c>
      <c r="O54" s="44"/>
    </row>
    <row r="55" ht="23.1" customHeight="1">
      <c r="A55" t="s" s="24">
        <v>167</v>
      </c>
      <c r="B55" t="s" s="53">
        <v>168</v>
      </c>
      <c r="C55" t="s" s="53">
        <v>68</v>
      </c>
      <c r="D55" s="54">
        <v>42.7301321088195</v>
      </c>
      <c r="E55" s="54">
        <v>-73.6777225353032</v>
      </c>
      <c r="F55" s="55">
        <f>_xlfn.COUNTIFS('Connections'!$B$6:$B$589,A55)+_xlfn.COUNTIFS('Connections'!$C$6:$C$589,A55)</f>
        <v>3</v>
      </c>
      <c r="G55" s="55">
        <f>_xlfn.COUNTIFS('Connections'!$B$6:$B$589,A55,'Connections'!$D$6:$D$589,"TRUE")+_xlfn.COUNTIFS('Connections'!$C$6:$C$589,A55,'Connections'!$D$6:$D$589,"TRUE")</f>
        <v>2</v>
      </c>
      <c r="H55" t="s" s="48">
        <v>69</v>
      </c>
      <c r="I55" t="s" s="48">
        <v>70</v>
      </c>
      <c r="J55" s="49"/>
      <c r="K55" s="50"/>
      <c r="L55" s="56"/>
      <c r="M55" t="s" s="53">
        <v>6</v>
      </c>
      <c r="N55" s="57">
        <v>15</v>
      </c>
      <c r="O55" s="44"/>
    </row>
    <row r="56" ht="23.1" customHeight="1">
      <c r="A56" t="s" s="21">
        <v>169</v>
      </c>
      <c r="B56" t="s" s="45">
        <v>170</v>
      </c>
      <c r="C56" t="s" s="45">
        <v>68</v>
      </c>
      <c r="D56" s="46">
        <v>42.734249293852</v>
      </c>
      <c r="E56" s="46">
        <v>-73.6631980548119</v>
      </c>
      <c r="F56" s="47">
        <f>_xlfn.COUNTIFS('Connections'!$B$6:$B$589,A56)+_xlfn.COUNTIFS('Connections'!$C$6:$C$589,A56)</f>
        <v>2</v>
      </c>
      <c r="G56" s="47">
        <f>_xlfn.COUNTIFS('Connections'!$B$6:$B$589,A56,'Connections'!$D$6:$D$589,"TRUE")+_xlfn.COUNTIFS('Connections'!$C$6:$C$589,A56,'Connections'!$D$6:$D$589,"TRUE")</f>
        <v>2</v>
      </c>
      <c r="H56" t="s" s="48">
        <v>69</v>
      </c>
      <c r="I56" t="s" s="48">
        <v>70</v>
      </c>
      <c r="J56" s="49"/>
      <c r="K56" s="50"/>
      <c r="L56" s="51"/>
      <c r="M56" t="s" s="45">
        <v>6</v>
      </c>
      <c r="N56" s="52">
        <v>55</v>
      </c>
      <c r="O56" s="44"/>
    </row>
    <row r="57" ht="23.1" customHeight="1">
      <c r="A57" t="s" s="24">
        <v>171</v>
      </c>
      <c r="B57" t="s" s="53">
        <v>172</v>
      </c>
      <c r="C57" t="s" s="53">
        <v>68</v>
      </c>
      <c r="D57" s="54">
        <v>42.7310122669798</v>
      </c>
      <c r="E57" s="54">
        <v>-73.6694188616615</v>
      </c>
      <c r="F57" s="55">
        <f>_xlfn.COUNTIFS('Connections'!$B$6:$B$589,A57)+_xlfn.COUNTIFS('Connections'!$C$6:$C$589,A57)</f>
        <v>1</v>
      </c>
      <c r="G57" s="55">
        <f>_xlfn.COUNTIFS('Connections'!$B$6:$B$589,A57,'Connections'!$D$6:$D$589,"TRUE")+_xlfn.COUNTIFS('Connections'!$C$6:$C$589,A57,'Connections'!$D$6:$D$589,"TRUE")</f>
        <v>1</v>
      </c>
      <c r="H57" t="s" s="48">
        <v>69</v>
      </c>
      <c r="I57" t="s" s="48">
        <v>70</v>
      </c>
      <c r="J57" s="49"/>
      <c r="K57" s="50"/>
      <c r="L57" s="56"/>
      <c r="M57" t="s" s="53">
        <v>6</v>
      </c>
      <c r="N57" s="57">
        <v>52</v>
      </c>
      <c r="O57" s="44"/>
    </row>
    <row r="58" ht="23.1" customHeight="1">
      <c r="A58" t="s" s="21">
        <v>173</v>
      </c>
      <c r="B58" t="s" s="45">
        <v>174</v>
      </c>
      <c r="C58" t="s" s="45">
        <v>68</v>
      </c>
      <c r="D58" s="46">
        <v>42.7349771351961</v>
      </c>
      <c r="E58" s="46">
        <v>-73.6653996986484</v>
      </c>
      <c r="F58" s="47">
        <f>_xlfn.COUNTIFS('Connections'!$B$6:$B$589,A58)+_xlfn.COUNTIFS('Connections'!$C$6:$C$589,A58)</f>
        <v>1</v>
      </c>
      <c r="G58" s="47">
        <f>_xlfn.COUNTIFS('Connections'!$B$6:$B$589,A58,'Connections'!$D$6:$D$589,"TRUE")+_xlfn.COUNTIFS('Connections'!$C$6:$C$589,A58,'Connections'!$D$6:$D$589,"TRUE")</f>
        <v>1</v>
      </c>
      <c r="H58" t="s" s="48">
        <v>69</v>
      </c>
      <c r="I58" t="s" s="48">
        <v>70</v>
      </c>
      <c r="J58" s="49"/>
      <c r="K58" s="50"/>
      <c r="L58" s="51"/>
      <c r="M58" t="s" s="45">
        <v>6</v>
      </c>
      <c r="N58" s="52">
        <v>57</v>
      </c>
      <c r="O58" s="44"/>
    </row>
    <row r="59" ht="23.1" customHeight="1">
      <c r="A59" t="s" s="24">
        <v>175</v>
      </c>
      <c r="B59" t="s" s="53">
        <v>176</v>
      </c>
      <c r="C59" t="s" s="53">
        <v>68</v>
      </c>
      <c r="D59" s="54">
        <v>42.7298997202713</v>
      </c>
      <c r="E59" s="54">
        <v>-73.6766696757312</v>
      </c>
      <c r="F59" s="55">
        <f>_xlfn.COUNTIFS('Connections'!$B$6:$B$589,A59)+_xlfn.COUNTIFS('Connections'!$C$6:$C$589,A59)</f>
        <v>5</v>
      </c>
      <c r="G59" s="55">
        <f>_xlfn.COUNTIFS('Connections'!$B$6:$B$589,A59,'Connections'!$D$6:$D$589,"TRUE")+_xlfn.COUNTIFS('Connections'!$C$6:$C$589,A59,'Connections'!$D$6:$D$589,"TRUE")</f>
        <v>5</v>
      </c>
      <c r="H59" t="s" s="48">
        <v>69</v>
      </c>
      <c r="I59" t="s" s="48">
        <v>70</v>
      </c>
      <c r="J59" s="49"/>
      <c r="K59" s="50"/>
      <c r="L59" s="56"/>
      <c r="M59" t="s" s="53">
        <v>6</v>
      </c>
      <c r="N59" s="57">
        <v>3</v>
      </c>
      <c r="O59" s="44"/>
    </row>
    <row r="60" ht="23.1" customHeight="1">
      <c r="A60" t="s" s="21">
        <v>177</v>
      </c>
      <c r="B60" t="s" s="45">
        <v>178</v>
      </c>
      <c r="C60" t="s" s="45">
        <v>68</v>
      </c>
      <c r="D60" s="46">
        <v>42.7309017267168</v>
      </c>
      <c r="E60" s="46">
        <v>-73.6797509579396</v>
      </c>
      <c r="F60" s="47">
        <f>_xlfn.COUNTIFS('Connections'!$B$6:$B$589,A60)+_xlfn.COUNTIFS('Connections'!$C$6:$C$589,A60)</f>
        <v>1</v>
      </c>
      <c r="G60" s="47">
        <f>_xlfn.COUNTIFS('Connections'!$B$6:$B$589,A60,'Connections'!$D$6:$D$589,"TRUE")+_xlfn.COUNTIFS('Connections'!$C$6:$C$589,A60,'Connections'!$D$6:$D$589,"TRUE")</f>
        <v>1</v>
      </c>
      <c r="H60" t="s" s="48">
        <v>69</v>
      </c>
      <c r="I60" t="s" s="48">
        <v>70</v>
      </c>
      <c r="J60" s="49"/>
      <c r="K60" s="50"/>
      <c r="L60" s="51"/>
      <c r="M60" t="s" s="45">
        <v>6</v>
      </c>
      <c r="N60" s="52">
        <v>13</v>
      </c>
      <c r="O60" s="44"/>
    </row>
    <row r="61" ht="23.1" customHeight="1">
      <c r="A61" t="s" s="24">
        <v>179</v>
      </c>
      <c r="B61" t="s" s="53">
        <v>180</v>
      </c>
      <c r="C61" t="s" s="53">
        <v>68</v>
      </c>
      <c r="D61" s="54">
        <v>42.7281536327168</v>
      </c>
      <c r="E61" s="54">
        <v>-73.67724499364719</v>
      </c>
      <c r="F61" s="55">
        <f>_xlfn.COUNTIFS('Connections'!$B$6:$B$589,A61)+_xlfn.COUNTIFS('Connections'!$C$6:$C$589,A61)</f>
        <v>1</v>
      </c>
      <c r="G61" s="55">
        <f>_xlfn.COUNTIFS('Connections'!$B$6:$B$589,A61,'Connections'!$D$6:$D$589,"TRUE")+_xlfn.COUNTIFS('Connections'!$C$6:$C$589,A61,'Connections'!$D$6:$D$589,"TRUE")</f>
        <v>1</v>
      </c>
      <c r="H61" t="s" s="48">
        <v>69</v>
      </c>
      <c r="I61" t="s" s="48">
        <v>70</v>
      </c>
      <c r="J61" s="49"/>
      <c r="K61" s="50"/>
      <c r="L61" s="56"/>
      <c r="M61" t="s" s="53">
        <v>6</v>
      </c>
      <c r="N61" s="57">
        <v>38</v>
      </c>
      <c r="O61" s="44"/>
    </row>
    <row r="62" ht="23.1" customHeight="1">
      <c r="A62" t="s" s="21">
        <v>181</v>
      </c>
      <c r="B62" t="s" s="45">
        <v>182</v>
      </c>
      <c r="C62" t="s" s="45">
        <v>68</v>
      </c>
      <c r="D62" s="46">
        <v>42.727225286618</v>
      </c>
      <c r="E62" s="46">
        <v>-73.6806606651005</v>
      </c>
      <c r="F62" s="47">
        <f>_xlfn.COUNTIFS('Connections'!$B$6:$B$589,A62)+_xlfn.COUNTIFS('Connections'!$C$6:$C$589,A62)</f>
        <v>3</v>
      </c>
      <c r="G62" s="47">
        <f>_xlfn.COUNTIFS('Connections'!$B$6:$B$589,A62,'Connections'!$D$6:$D$589,"TRUE")+_xlfn.COUNTIFS('Connections'!$C$6:$C$589,A62,'Connections'!$D$6:$D$589,"TRUE")</f>
        <v>3</v>
      </c>
      <c r="H62" t="s" s="48">
        <v>69</v>
      </c>
      <c r="I62" t="s" s="48">
        <v>70</v>
      </c>
      <c r="J62" s="49"/>
      <c r="K62" s="50"/>
      <c r="L62" s="51"/>
      <c r="M62" t="s" s="45">
        <v>6</v>
      </c>
      <c r="N62" s="52">
        <v>66</v>
      </c>
      <c r="O62" s="44"/>
    </row>
    <row r="63" ht="23.1" customHeight="1">
      <c r="A63" t="s" s="24">
        <v>183</v>
      </c>
      <c r="B63" t="s" s="53">
        <v>184</v>
      </c>
      <c r="C63" t="s" s="53">
        <v>68</v>
      </c>
      <c r="D63" s="54">
        <v>42.7292099242771</v>
      </c>
      <c r="E63" s="54">
        <v>-73.67815983327949</v>
      </c>
      <c r="F63" s="55">
        <f>_xlfn.COUNTIFS('Connections'!$B$6:$B$589,A63)+_xlfn.COUNTIFS('Connections'!$C$6:$C$589,A63)</f>
        <v>2</v>
      </c>
      <c r="G63" s="55">
        <f>_xlfn.COUNTIFS('Connections'!$B$6:$B$589,A63,'Connections'!$D$6:$D$589,"TRUE")+_xlfn.COUNTIFS('Connections'!$C$6:$C$589,A63,'Connections'!$D$6:$D$589,"TRUE")</f>
        <v>2</v>
      </c>
      <c r="H63" t="s" s="48">
        <v>69</v>
      </c>
      <c r="I63" t="s" s="48">
        <v>70</v>
      </c>
      <c r="J63" s="49"/>
      <c r="K63" s="50"/>
      <c r="L63" s="56"/>
      <c r="M63" t="s" s="53">
        <v>6</v>
      </c>
      <c r="N63" s="57">
        <v>17</v>
      </c>
      <c r="O63" s="44"/>
    </row>
    <row r="64" ht="23.1" customHeight="1">
      <c r="A64" t="s" s="21">
        <v>185</v>
      </c>
      <c r="B64" t="s" s="45">
        <v>186</v>
      </c>
      <c r="C64" t="s" s="45">
        <v>68</v>
      </c>
      <c r="D64" s="46">
        <v>42.7297841661032</v>
      </c>
      <c r="E64" s="46">
        <v>-73.678207915226</v>
      </c>
      <c r="F64" s="47">
        <f>_xlfn.COUNTIFS('Connections'!$B$6:$B$589,A64)+_xlfn.COUNTIFS('Connections'!$C$6:$C$589,A64)</f>
        <v>1</v>
      </c>
      <c r="G64" s="47">
        <f>_xlfn.COUNTIFS('Connections'!$B$6:$B$589,A64,'Connections'!$D$6:$D$589,"TRUE")+_xlfn.COUNTIFS('Connections'!$C$6:$C$589,A64,'Connections'!$D$6:$D$589,"TRUE")</f>
        <v>1</v>
      </c>
      <c r="H64" t="s" s="48">
        <v>69</v>
      </c>
      <c r="I64" t="s" s="48">
        <v>70</v>
      </c>
      <c r="J64" s="49"/>
      <c r="K64" s="50"/>
      <c r="L64" s="51"/>
      <c r="M64" t="s" s="45">
        <v>6</v>
      </c>
      <c r="N64" s="52">
        <v>2</v>
      </c>
      <c r="O64" s="44"/>
    </row>
    <row r="65" ht="23.1" customHeight="1">
      <c r="A65" t="s" s="24">
        <v>187</v>
      </c>
      <c r="B65" t="s" s="58">
        <v>188</v>
      </c>
      <c r="C65" t="s" s="53">
        <v>68</v>
      </c>
      <c r="D65" s="54">
        <v>42.7307758310396</v>
      </c>
      <c r="E65" s="54">
        <v>-73.6816894720222</v>
      </c>
      <c r="F65" s="55">
        <f>_xlfn.COUNTIFS('Connections'!$B$6:$B$589,A65)+_xlfn.COUNTIFS('Connections'!$C$6:$C$589,A65)</f>
        <v>1</v>
      </c>
      <c r="G65" s="55">
        <f>_xlfn.COUNTIFS('Connections'!$B$6:$B$589,A65,'Connections'!$D$6:$D$589,"TRUE")+_xlfn.COUNTIFS('Connections'!$C$6:$C$589,A65,'Connections'!$D$6:$D$589,"TRUE")</f>
        <v>1</v>
      </c>
      <c r="H65" t="s" s="48">
        <v>69</v>
      </c>
      <c r="I65" t="s" s="48">
        <v>70</v>
      </c>
      <c r="J65" s="49"/>
      <c r="K65" s="50"/>
      <c r="L65" s="56"/>
      <c r="M65" t="s" s="53">
        <v>6</v>
      </c>
      <c r="N65" s="57">
        <v>9</v>
      </c>
      <c r="O65" s="44"/>
    </row>
    <row r="66" ht="23.1" customHeight="1">
      <c r="A66" s="59"/>
      <c r="B66" t="s" s="60">
        <v>189</v>
      </c>
      <c r="C66" t="s" s="45">
        <v>68</v>
      </c>
      <c r="D66" s="46">
        <v>42.7309668693512</v>
      </c>
      <c r="E66" s="46">
        <v>-73.6811757646938</v>
      </c>
      <c r="F66" s="47"/>
      <c r="G66" s="47"/>
      <c r="H66" s="50"/>
      <c r="I66" s="50"/>
      <c r="J66" s="49"/>
      <c r="K66" s="50"/>
      <c r="L66" s="51"/>
      <c r="M66" s="61"/>
      <c r="N66" s="62"/>
      <c r="O66" s="44"/>
    </row>
    <row r="67" ht="23.1" customHeight="1">
      <c r="A67" t="s" s="24">
        <v>190</v>
      </c>
      <c r="B67" t="s" s="53">
        <v>191</v>
      </c>
      <c r="C67" t="s" s="53">
        <v>68</v>
      </c>
      <c r="D67" s="54">
        <v>42.7332453932335</v>
      </c>
      <c r="E67" s="54">
        <v>-73.67243780241181</v>
      </c>
      <c r="F67" s="55">
        <f>_xlfn.COUNTIFS('Connections'!$B$6:$B$589,A67)+_xlfn.COUNTIFS('Connections'!$C$6:$C$589,A67)</f>
        <v>1</v>
      </c>
      <c r="G67" s="55">
        <f>_xlfn.COUNTIFS('Connections'!$B$6:$B$589,A67,'Connections'!$D$6:$D$589,"TRUE")+_xlfn.COUNTIFS('Connections'!$C$6:$C$589,A67,'Connections'!$D$6:$D$589,"TRUE")</f>
        <v>1</v>
      </c>
      <c r="H67" t="s" s="48">
        <v>69</v>
      </c>
      <c r="I67" t="s" s="48">
        <v>70</v>
      </c>
      <c r="J67" s="49"/>
      <c r="K67" s="50"/>
      <c r="L67" s="56"/>
      <c r="M67" t="s" s="53">
        <v>6</v>
      </c>
      <c r="N67" s="57">
        <v>69</v>
      </c>
      <c r="O67" s="44"/>
    </row>
    <row r="68" ht="23.1" customHeight="1">
      <c r="A68" t="s" s="21">
        <v>192</v>
      </c>
      <c r="B68" t="s" s="45">
        <v>193</v>
      </c>
      <c r="C68" t="s" s="45">
        <v>68</v>
      </c>
      <c r="D68" s="46">
        <v>42.7328887776181</v>
      </c>
      <c r="E68" s="46">
        <v>-73.6808383806214</v>
      </c>
      <c r="F68" s="47">
        <f>_xlfn.COUNTIFS('Connections'!$B$6:$B$589,A68)+_xlfn.COUNTIFS('Connections'!$C$6:$C$589,A68)</f>
        <v>1</v>
      </c>
      <c r="G68" s="47">
        <f>_xlfn.COUNTIFS('Connections'!$B$6:$B$589,A68,'Connections'!$D$6:$D$589,"TRUE")+_xlfn.COUNTIFS('Connections'!$C$6:$C$589,A68,'Connections'!$D$6:$D$589,"TRUE")</f>
        <v>1</v>
      </c>
      <c r="H68" t="s" s="48">
        <v>69</v>
      </c>
      <c r="I68" t="s" s="48">
        <v>70</v>
      </c>
      <c r="J68" s="49"/>
      <c r="K68" s="50"/>
      <c r="L68" s="51"/>
      <c r="M68" t="s" s="45">
        <v>6</v>
      </c>
      <c r="N68" s="52">
        <v>29</v>
      </c>
      <c r="O68" s="44"/>
    </row>
    <row r="69" ht="23.1" customHeight="1">
      <c r="A69" t="s" s="24">
        <v>194</v>
      </c>
      <c r="B69" t="s" s="53">
        <v>195</v>
      </c>
      <c r="C69" t="s" s="53">
        <v>68</v>
      </c>
      <c r="D69" s="54">
        <v>42.7270250661145</v>
      </c>
      <c r="E69" s="54">
        <v>-73.6746479607236</v>
      </c>
      <c r="F69" s="55">
        <f>_xlfn.COUNTIFS('Connections'!$B$6:$B$589,A69)+_xlfn.COUNTIFS('Connections'!$C$6:$C$589,A69)</f>
        <v>2</v>
      </c>
      <c r="G69" s="55">
        <f>_xlfn.COUNTIFS('Connections'!$B$6:$B$589,A69,'Connections'!$D$6:$D$589,"TRUE")+_xlfn.COUNTIFS('Connections'!$C$6:$C$589,A69,'Connections'!$D$6:$D$589,"TRUE")</f>
        <v>2</v>
      </c>
      <c r="H69" t="s" s="48">
        <v>69</v>
      </c>
      <c r="I69" t="s" s="48">
        <v>70</v>
      </c>
      <c r="J69" s="49"/>
      <c r="K69" s="50"/>
      <c r="L69" s="56"/>
      <c r="M69" t="s" s="53">
        <v>6</v>
      </c>
      <c r="N69" s="57">
        <v>43</v>
      </c>
      <c r="O69" s="44"/>
    </row>
    <row r="70" ht="23.1" customHeight="1">
      <c r="A70" t="s" s="21">
        <v>196</v>
      </c>
      <c r="B70" t="s" s="45">
        <v>197</v>
      </c>
      <c r="C70" t="s" s="45">
        <v>68</v>
      </c>
      <c r="D70" s="46">
        <v>42.7337312515574</v>
      </c>
      <c r="E70" s="46">
        <v>-73.6649082730455</v>
      </c>
      <c r="F70" s="47">
        <f>_xlfn.COUNTIFS('Connections'!$B$6:$B$589,A70)+_xlfn.COUNTIFS('Connections'!$C$6:$C$589,A70)</f>
        <v>2</v>
      </c>
      <c r="G70" s="47">
        <f>_xlfn.COUNTIFS('Connections'!$B$6:$B$589,A70,'Connections'!$D$6:$D$589,"TRUE")+_xlfn.COUNTIFS('Connections'!$C$6:$C$589,A70,'Connections'!$D$6:$D$589,"TRUE")</f>
        <v>2</v>
      </c>
      <c r="H70" t="s" s="48">
        <v>69</v>
      </c>
      <c r="I70" t="s" s="48">
        <v>70</v>
      </c>
      <c r="J70" s="49"/>
      <c r="K70" s="50"/>
      <c r="L70" s="51"/>
      <c r="M70" t="s" s="45">
        <v>6</v>
      </c>
      <c r="N70" s="52">
        <v>54</v>
      </c>
      <c r="O70" s="44"/>
    </row>
    <row r="71" ht="23.1" customHeight="1">
      <c r="A71" t="s" s="24">
        <v>198</v>
      </c>
      <c r="B71" t="s" s="53">
        <v>199</v>
      </c>
      <c r="C71" t="s" s="53">
        <v>68</v>
      </c>
      <c r="D71" s="54">
        <v>42.7330440756996</v>
      </c>
      <c r="E71" s="54">
        <v>-73.6669462049943</v>
      </c>
      <c r="F71" s="55">
        <f>_xlfn.COUNTIFS('Connections'!$B$6:$B$589,A71)+_xlfn.COUNTIFS('Connections'!$C$6:$C$589,A71)</f>
        <v>4</v>
      </c>
      <c r="G71" s="55">
        <f>_xlfn.COUNTIFS('Connections'!$B$6:$B$589,A71,'Connections'!$D$6:$D$589,"TRUE")+_xlfn.COUNTIFS('Connections'!$C$6:$C$589,A71,'Connections'!$D$6:$D$589,"TRUE")</f>
        <v>4</v>
      </c>
      <c r="H71" t="s" s="48">
        <v>69</v>
      </c>
      <c r="I71" t="s" s="48">
        <v>70</v>
      </c>
      <c r="J71" s="49"/>
      <c r="K71" s="50"/>
      <c r="L71" s="56"/>
      <c r="M71" t="s" s="53">
        <v>6</v>
      </c>
      <c r="N71" s="57">
        <v>67</v>
      </c>
      <c r="O71" s="44"/>
    </row>
    <row r="72" ht="23.1" customHeight="1">
      <c r="A72" t="s" s="21">
        <v>200</v>
      </c>
      <c r="B72" t="s" s="45">
        <v>201</v>
      </c>
      <c r="C72" t="s" s="45">
        <v>68</v>
      </c>
      <c r="D72" s="46">
        <v>42.7310834884144</v>
      </c>
      <c r="E72" s="46">
        <v>-73.6805230007287</v>
      </c>
      <c r="F72" s="47">
        <f>_xlfn.COUNTIFS('Connections'!$B$6:$B$589,A72)+_xlfn.COUNTIFS('Connections'!$C$6:$C$589,A72)</f>
        <v>1</v>
      </c>
      <c r="G72" s="47">
        <f>_xlfn.COUNTIFS('Connections'!$B$6:$B$589,A72,'Connections'!$D$6:$D$589,"TRUE")+_xlfn.COUNTIFS('Connections'!$C$6:$C$589,A72,'Connections'!$D$6:$D$589,"TRUE")</f>
        <v>1</v>
      </c>
      <c r="H72" t="s" s="48">
        <v>69</v>
      </c>
      <c r="I72" t="s" s="48">
        <v>70</v>
      </c>
      <c r="J72" s="49"/>
      <c r="K72" s="50"/>
      <c r="L72" s="51"/>
      <c r="M72" t="s" s="45">
        <v>6</v>
      </c>
      <c r="N72" s="52">
        <v>10</v>
      </c>
      <c r="O72" s="44"/>
    </row>
    <row r="73" ht="23.1" customHeight="1">
      <c r="A73" t="s" s="24">
        <v>202</v>
      </c>
      <c r="B73" t="s" s="53">
        <v>203</v>
      </c>
      <c r="C73" t="s" s="53">
        <v>68</v>
      </c>
      <c r="D73" s="54">
        <v>42.7292472880867</v>
      </c>
      <c r="E73" s="54">
        <v>-73.6819248492686</v>
      </c>
      <c r="F73" s="55">
        <f>_xlfn.COUNTIFS('Connections'!$B$6:$B$589,A73)+_xlfn.COUNTIFS('Connections'!$C$6:$C$589,A73)</f>
        <v>2</v>
      </c>
      <c r="G73" s="55">
        <f>_xlfn.COUNTIFS('Connections'!$B$6:$B$589,A73,'Connections'!$D$6:$D$589,"TRUE")+_xlfn.COUNTIFS('Connections'!$C$6:$C$589,A73,'Connections'!$D$6:$D$589,"TRUE")</f>
        <v>2</v>
      </c>
      <c r="H73" t="s" s="48">
        <v>69</v>
      </c>
      <c r="I73" t="s" s="48">
        <v>70</v>
      </c>
      <c r="J73" s="49"/>
      <c r="K73" s="50"/>
      <c r="L73" s="56"/>
      <c r="M73" t="s" s="53">
        <v>6</v>
      </c>
      <c r="N73" s="57">
        <v>23</v>
      </c>
      <c r="O73" s="44"/>
    </row>
    <row r="74" ht="23.1" customHeight="1">
      <c r="A74" t="s" s="21">
        <v>204</v>
      </c>
      <c r="B74" t="s" s="60">
        <v>205</v>
      </c>
      <c r="C74" t="s" s="45">
        <v>68</v>
      </c>
      <c r="D74" s="46">
        <v>42.7306888714375</v>
      </c>
      <c r="E74" s="46">
        <v>-73.6827273695237</v>
      </c>
      <c r="F74" s="47">
        <f>_xlfn.COUNTIFS('Connections'!$B$6:$B$589,A74)+_xlfn.COUNTIFS('Connections'!$C$6:$C$589,A74)</f>
        <v>1</v>
      </c>
      <c r="G74" s="47">
        <f>_xlfn.COUNTIFS('Connections'!$B$6:$B$589,A74,'Connections'!$D$6:$D$589,"TRUE")+_xlfn.COUNTIFS('Connections'!$C$6:$C$589,A74,'Connections'!$D$6:$D$589,"TRUE")</f>
        <v>1</v>
      </c>
      <c r="H74" t="s" s="48">
        <v>69</v>
      </c>
      <c r="I74" t="s" s="48">
        <v>70</v>
      </c>
      <c r="J74" s="49"/>
      <c r="K74" s="50"/>
      <c r="L74" s="51"/>
      <c r="M74" t="s" s="45">
        <v>6</v>
      </c>
      <c r="N74" s="52">
        <v>7</v>
      </c>
      <c r="O74" s="44"/>
    </row>
    <row r="75" ht="23.1" customHeight="1">
      <c r="A75" s="63"/>
      <c r="B75" t="s" s="58">
        <v>206</v>
      </c>
      <c r="C75" t="s" s="53">
        <v>68</v>
      </c>
      <c r="D75" s="54">
        <v>42.7308558473568</v>
      </c>
      <c r="E75" s="54">
        <v>-73.6822928516647</v>
      </c>
      <c r="F75" s="55"/>
      <c r="G75" s="55"/>
      <c r="H75" s="50"/>
      <c r="I75" s="50"/>
      <c r="J75" s="49"/>
      <c r="K75" s="50"/>
      <c r="L75" s="56"/>
      <c r="M75" s="64"/>
      <c r="N75" s="65"/>
      <c r="O75" s="44"/>
    </row>
    <row r="76" ht="23.1" customHeight="1">
      <c r="A76" t="s" s="21">
        <v>207</v>
      </c>
      <c r="B76" t="s" s="45">
        <v>208</v>
      </c>
      <c r="C76" t="s" s="45">
        <v>68</v>
      </c>
      <c r="D76" s="46">
        <v>42.7279134886281</v>
      </c>
      <c r="E76" s="46">
        <v>-73.6752662371224</v>
      </c>
      <c r="F76" s="47">
        <f>_xlfn.COUNTIFS('Connections'!$B$6:$B$589,A76)+_xlfn.COUNTIFS('Connections'!$C$6:$C$589,A76)</f>
        <v>1</v>
      </c>
      <c r="G76" s="47">
        <f>_xlfn.COUNTIFS('Connections'!$B$6:$B$589,A76,'Connections'!$D$6:$D$589,"TRUE")+_xlfn.COUNTIFS('Connections'!$C$6:$C$589,A76,'Connections'!$D$6:$D$589,"TRUE")</f>
        <v>1</v>
      </c>
      <c r="H76" t="s" s="48">
        <v>69</v>
      </c>
      <c r="I76" t="s" s="48">
        <v>70</v>
      </c>
      <c r="J76" s="49"/>
      <c r="K76" s="50"/>
      <c r="L76" s="51"/>
      <c r="M76" t="s" s="45">
        <v>6</v>
      </c>
      <c r="N76" s="52">
        <v>45</v>
      </c>
      <c r="O76" s="44"/>
    </row>
    <row r="77" ht="23.1" customHeight="1">
      <c r="A77" t="s" s="24">
        <v>209</v>
      </c>
      <c r="B77" t="s" s="53">
        <v>210</v>
      </c>
      <c r="C77" t="s" s="53">
        <v>68</v>
      </c>
      <c r="D77" s="54">
        <v>42.7317041350482</v>
      </c>
      <c r="E77" s="54">
        <v>-73.6831166044322</v>
      </c>
      <c r="F77" s="55">
        <f>_xlfn.COUNTIFS('Connections'!$B$6:$B$589,A77)+_xlfn.COUNTIFS('Connections'!$C$6:$C$589,A77)</f>
        <v>1</v>
      </c>
      <c r="G77" s="55">
        <f>_xlfn.COUNTIFS('Connections'!$B$6:$B$589,A77,'Connections'!$D$6:$D$589,"TRUE")+_xlfn.COUNTIFS('Connections'!$C$6:$C$589,A77,'Connections'!$D$6:$D$589,"TRUE")</f>
        <v>1</v>
      </c>
      <c r="H77" t="s" s="48">
        <v>69</v>
      </c>
      <c r="I77" t="s" s="48">
        <v>70</v>
      </c>
      <c r="J77" s="49"/>
      <c r="K77" s="50"/>
      <c r="L77" s="56"/>
      <c r="M77" t="s" s="53">
        <v>6</v>
      </c>
      <c r="N77" s="57">
        <v>5</v>
      </c>
      <c r="O77" s="44"/>
    </row>
    <row r="78" ht="44.1" customHeight="1">
      <c r="A78" t="s" s="21">
        <v>211</v>
      </c>
      <c r="B78" t="s" s="45">
        <v>212</v>
      </c>
      <c r="C78" t="s" s="45">
        <v>68</v>
      </c>
      <c r="D78" s="46">
        <v>42.7309208693319</v>
      </c>
      <c r="E78" s="46">
        <v>-73.68431180246741</v>
      </c>
      <c r="F78" s="47">
        <f>_xlfn.COUNTIFS('Connections'!$B$6:$B$589,A78)+_xlfn.COUNTIFS('Connections'!$C$6:$C$589,A78)</f>
        <v>0</v>
      </c>
      <c r="G78" s="47">
        <f>_xlfn.COUNTIFS('Connections'!$B$6:$B$589,A78,'Connections'!$D$6:$D$589,"TRUE")+_xlfn.COUNTIFS('Connections'!$C$6:$C$589,A78,'Connections'!$D$6:$D$589,"TRUE")</f>
        <v>0</v>
      </c>
      <c r="H78" t="s" s="48">
        <v>69</v>
      </c>
      <c r="I78" t="s" s="48">
        <v>70</v>
      </c>
      <c r="J78" s="49"/>
      <c r="K78" s="50"/>
      <c r="L78" t="s" s="66">
        <v>213</v>
      </c>
      <c r="M78" t="s" s="45">
        <v>6</v>
      </c>
      <c r="N78" s="52">
        <v>72</v>
      </c>
      <c r="O78" s="44"/>
    </row>
    <row r="79" ht="44.1" customHeight="1">
      <c r="A79" t="s" s="24">
        <v>214</v>
      </c>
      <c r="B79" t="s" s="53">
        <v>214</v>
      </c>
      <c r="C79" t="s" s="53">
        <v>215</v>
      </c>
      <c r="D79" s="54">
        <v>42.73092087</v>
      </c>
      <c r="E79" s="54">
        <v>-73.6843118</v>
      </c>
      <c r="F79" s="55">
        <f>_xlfn.COUNTIFS('Connections'!$B$6:$B$589,A79)+_xlfn.COUNTIFS('Connections'!$C$6:$C$589,A79)</f>
        <v>1</v>
      </c>
      <c r="G79" s="55">
        <f>_xlfn.COUNTIFS('Connections'!$B$6:$B$589,A79,'Connections'!$D$6:$D$589,"TRUE")+_xlfn.COUNTIFS('Connections'!$C$6:$C$589,A79,'Connections'!$D$6:$D$589,"TRUE")</f>
        <v>1</v>
      </c>
      <c r="H79" t="s" s="48">
        <v>69</v>
      </c>
      <c r="I79" t="s" s="48">
        <v>70</v>
      </c>
      <c r="J79" s="49"/>
      <c r="K79" s="50"/>
      <c r="L79" t="s" s="67">
        <v>216</v>
      </c>
      <c r="M79" t="s" s="53">
        <v>217</v>
      </c>
      <c r="N79" s="57">
        <v>2</v>
      </c>
      <c r="O79" s="44"/>
    </row>
    <row r="80" ht="23.1" customHeight="1">
      <c r="A80" t="s" s="21">
        <v>218</v>
      </c>
      <c r="B80" t="s" s="45">
        <v>218</v>
      </c>
      <c r="C80" t="s" s="45">
        <v>215</v>
      </c>
      <c r="D80" s="46">
        <v>42.732426129427</v>
      </c>
      <c r="E80" s="46">
        <v>-73.6716057078776</v>
      </c>
      <c r="F80" s="47">
        <f>_xlfn.COUNTIFS('Connections'!$B$6:$B$589,A80)+_xlfn.COUNTIFS('Connections'!$C$6:$C$589,A80)</f>
        <v>4</v>
      </c>
      <c r="G80" s="47">
        <f>_xlfn.COUNTIFS('Connections'!$B$6:$B$589,A80,'Connections'!$D$6:$D$589,"TRUE")+_xlfn.COUNTIFS('Connections'!$C$6:$C$589,A80,'Connections'!$D$6:$D$589,"TRUE")</f>
        <v>4</v>
      </c>
      <c r="H80" t="s" s="48">
        <v>69</v>
      </c>
      <c r="I80" t="s" s="48">
        <v>70</v>
      </c>
      <c r="J80" s="49"/>
      <c r="K80" s="50"/>
      <c r="L80" s="51"/>
      <c r="M80" t="s" s="45">
        <v>217</v>
      </c>
      <c r="N80" s="52">
        <v>3</v>
      </c>
      <c r="O80" s="44"/>
    </row>
    <row r="81" ht="23.1" customHeight="1">
      <c r="A81" t="s" s="24">
        <v>219</v>
      </c>
      <c r="B81" t="s" s="53">
        <v>219</v>
      </c>
      <c r="C81" t="s" s="53">
        <v>215</v>
      </c>
      <c r="D81" s="54">
        <v>42.7330583616459</v>
      </c>
      <c r="E81" s="54">
        <v>-73.6765397817569</v>
      </c>
      <c r="F81" s="55">
        <f>_xlfn.COUNTIFS('Connections'!$B$6:$B$589,A81)+_xlfn.COUNTIFS('Connections'!$C$6:$C$589,A81)</f>
        <v>4</v>
      </c>
      <c r="G81" s="55">
        <f>_xlfn.COUNTIFS('Connections'!$B$6:$B$589,A81,'Connections'!$D$6:$D$589,"TRUE")+_xlfn.COUNTIFS('Connections'!$C$6:$C$589,A81,'Connections'!$D$6:$D$589,"TRUE")</f>
        <v>4</v>
      </c>
      <c r="H81" t="s" s="48">
        <v>69</v>
      </c>
      <c r="I81" t="s" s="48">
        <v>70</v>
      </c>
      <c r="J81" s="49"/>
      <c r="K81" s="50"/>
      <c r="L81" s="56"/>
      <c r="M81" t="s" s="53">
        <v>217</v>
      </c>
      <c r="N81" s="57">
        <v>4</v>
      </c>
      <c r="O81" s="44"/>
    </row>
    <row r="82" ht="23.1" customHeight="1">
      <c r="A82" t="s" s="21">
        <v>220</v>
      </c>
      <c r="B82" t="s" s="45">
        <v>220</v>
      </c>
      <c r="C82" t="s" s="45">
        <v>215</v>
      </c>
      <c r="D82" s="46">
        <v>42.7307708305265</v>
      </c>
      <c r="E82" s="46">
        <v>-73.6772241855531</v>
      </c>
      <c r="F82" s="47">
        <f>_xlfn.COUNTIFS('Connections'!$B$6:$B$589,A82)+_xlfn.COUNTIFS('Connections'!$C$6:$C$589,A82)</f>
        <v>4</v>
      </c>
      <c r="G82" s="47">
        <f>_xlfn.COUNTIFS('Connections'!$B$6:$B$589,A82,'Connections'!$D$6:$D$589,"TRUE")+_xlfn.COUNTIFS('Connections'!$C$6:$C$589,A82,'Connections'!$D$6:$D$589,"TRUE")</f>
        <v>4</v>
      </c>
      <c r="H82" t="s" s="48">
        <v>69</v>
      </c>
      <c r="I82" t="s" s="48">
        <v>70</v>
      </c>
      <c r="J82" s="49"/>
      <c r="K82" s="50"/>
      <c r="L82" s="51"/>
      <c r="M82" t="s" s="45">
        <v>217</v>
      </c>
      <c r="N82" s="52">
        <v>5</v>
      </c>
      <c r="O82" s="44"/>
    </row>
    <row r="83" ht="23.1" customHeight="1">
      <c r="A83" t="s" s="24">
        <v>221</v>
      </c>
      <c r="B83" t="s" s="53">
        <v>221</v>
      </c>
      <c r="C83" t="s" s="53">
        <v>215</v>
      </c>
      <c r="D83" s="54">
        <v>42.7306443840828</v>
      </c>
      <c r="E83" s="54">
        <v>-73.6762214544098</v>
      </c>
      <c r="F83" s="55">
        <f>_xlfn.COUNTIFS('Connections'!$B$6:$B$589,A83)+_xlfn.COUNTIFS('Connections'!$C$6:$C$589,A83)</f>
        <v>4</v>
      </c>
      <c r="G83" s="55">
        <f>_xlfn.COUNTIFS('Connections'!$B$6:$B$589,A83,'Connections'!$D$6:$D$589,"TRUE")+_xlfn.COUNTIFS('Connections'!$C$6:$C$589,A83,'Connections'!$D$6:$D$589,"TRUE")</f>
        <v>4</v>
      </c>
      <c r="H83" t="s" s="48">
        <v>69</v>
      </c>
      <c r="I83" t="s" s="48">
        <v>70</v>
      </c>
      <c r="J83" s="49"/>
      <c r="K83" s="50"/>
      <c r="L83" s="56"/>
      <c r="M83" t="s" s="53">
        <v>217</v>
      </c>
      <c r="N83" s="57">
        <v>6</v>
      </c>
      <c r="O83" s="44"/>
    </row>
    <row r="84" ht="23.1" customHeight="1">
      <c r="A84" t="s" s="21">
        <v>222</v>
      </c>
      <c r="B84" t="s" s="45">
        <v>222</v>
      </c>
      <c r="C84" t="s" s="45">
        <v>215</v>
      </c>
      <c r="D84" s="46">
        <v>42.7309432574953</v>
      </c>
      <c r="E84" s="46">
        <v>-73.67564846518511</v>
      </c>
      <c r="F84" s="47">
        <f>_xlfn.COUNTIFS('Connections'!$B$6:$B$589,A84)+_xlfn.COUNTIFS('Connections'!$C$6:$C$589,A84)</f>
        <v>3</v>
      </c>
      <c r="G84" s="47">
        <f>_xlfn.COUNTIFS('Connections'!$B$6:$B$589,A84,'Connections'!$D$6:$D$589,"TRUE")+_xlfn.COUNTIFS('Connections'!$C$6:$C$589,A84,'Connections'!$D$6:$D$589,"TRUE")</f>
        <v>3</v>
      </c>
      <c r="H84" t="s" s="48">
        <v>69</v>
      </c>
      <c r="I84" t="s" s="48">
        <v>70</v>
      </c>
      <c r="J84" s="49"/>
      <c r="K84" s="50"/>
      <c r="L84" s="51"/>
      <c r="M84" t="s" s="45">
        <v>217</v>
      </c>
      <c r="N84" s="52">
        <v>7</v>
      </c>
      <c r="O84" s="44"/>
    </row>
    <row r="85" ht="23.1" customHeight="1">
      <c r="A85" t="s" s="24">
        <v>223</v>
      </c>
      <c r="B85" t="s" s="53">
        <v>223</v>
      </c>
      <c r="C85" t="s" s="53">
        <v>215</v>
      </c>
      <c r="D85" s="54">
        <v>42.7319088485206</v>
      </c>
      <c r="E85" s="54">
        <v>-73.6746298176746</v>
      </c>
      <c r="F85" s="55">
        <f>_xlfn.COUNTIFS('Connections'!$B$6:$B$589,A85)+_xlfn.COUNTIFS('Connections'!$C$6:$C$589,A85)</f>
        <v>3</v>
      </c>
      <c r="G85" s="55">
        <f>_xlfn.COUNTIFS('Connections'!$B$6:$B$589,A85,'Connections'!$D$6:$D$589,"TRUE")+_xlfn.COUNTIFS('Connections'!$C$6:$C$589,A85,'Connections'!$D$6:$D$589,"TRUE")</f>
        <v>3</v>
      </c>
      <c r="H85" t="s" s="48">
        <v>69</v>
      </c>
      <c r="I85" t="s" s="48">
        <v>70</v>
      </c>
      <c r="J85" s="49"/>
      <c r="K85" s="50"/>
      <c r="L85" s="56"/>
      <c r="M85" t="s" s="53">
        <v>217</v>
      </c>
      <c r="N85" s="57">
        <v>8</v>
      </c>
      <c r="O85" s="44"/>
    </row>
    <row r="86" ht="23.1" customHeight="1">
      <c r="A86" t="s" s="21">
        <v>224</v>
      </c>
      <c r="B86" t="s" s="45">
        <v>224</v>
      </c>
      <c r="C86" t="s" s="45">
        <v>215</v>
      </c>
      <c r="D86" s="46">
        <v>42.7327135077083</v>
      </c>
      <c r="E86" s="46">
        <v>-73.6743114903275</v>
      </c>
      <c r="F86" s="47">
        <f>_xlfn.COUNTIFS('Connections'!$B$6:$B$589,A86)+_xlfn.COUNTIFS('Connections'!$C$6:$C$589,A86)</f>
        <v>3</v>
      </c>
      <c r="G86" s="47">
        <f>_xlfn.COUNTIFS('Connections'!$B$6:$B$589,A86,'Connections'!$D$6:$D$589,"TRUE")+_xlfn.COUNTIFS('Connections'!$C$6:$C$589,A86,'Connections'!$D$6:$D$589,"TRUE")</f>
        <v>3</v>
      </c>
      <c r="H86" t="s" s="48">
        <v>69</v>
      </c>
      <c r="I86" t="s" s="48">
        <v>70</v>
      </c>
      <c r="J86" s="49"/>
      <c r="K86" s="50"/>
      <c r="L86" s="51"/>
      <c r="M86" t="s" s="45">
        <v>217</v>
      </c>
      <c r="N86" s="52">
        <v>9</v>
      </c>
      <c r="O86" s="44"/>
    </row>
    <row r="87" ht="23.1" customHeight="1">
      <c r="A87" t="s" s="24">
        <v>225</v>
      </c>
      <c r="B87" t="s" s="53">
        <v>225</v>
      </c>
      <c r="C87" t="s" s="53">
        <v>215</v>
      </c>
      <c r="D87" s="54">
        <v>42.7309145196672</v>
      </c>
      <c r="E87" s="54">
        <v>-73.6737926167518</v>
      </c>
      <c r="F87" s="55">
        <f>_xlfn.COUNTIFS('Connections'!$B$6:$B$589,A87)+_xlfn.COUNTIFS('Connections'!$C$6:$C$589,A87)</f>
        <v>3</v>
      </c>
      <c r="G87" s="55">
        <f>_xlfn.COUNTIFS('Connections'!$B$6:$B$589,A87,'Connections'!$D$6:$D$589,"TRUE")+_xlfn.COUNTIFS('Connections'!$C$6:$C$589,A87,'Connections'!$D$6:$D$589,"TRUE")</f>
        <v>3</v>
      </c>
      <c r="H87" t="s" s="48">
        <v>69</v>
      </c>
      <c r="I87" t="s" s="48">
        <v>70</v>
      </c>
      <c r="J87" s="49"/>
      <c r="K87" s="50"/>
      <c r="L87" s="56"/>
      <c r="M87" t="s" s="53">
        <v>217</v>
      </c>
      <c r="N87" s="57">
        <v>10</v>
      </c>
      <c r="O87" s="44"/>
    </row>
    <row r="88" ht="23.1" customHeight="1">
      <c r="A88" t="s" s="21">
        <v>226</v>
      </c>
      <c r="B88" t="s" s="45">
        <v>226</v>
      </c>
      <c r="C88" t="s" s="45">
        <v>215</v>
      </c>
      <c r="D88" s="46">
        <v>42.7313455870892</v>
      </c>
      <c r="E88" s="46">
        <v>-73.67429557396019</v>
      </c>
      <c r="F88" s="47">
        <f>_xlfn.COUNTIFS('Connections'!$B$6:$B$589,A88)+_xlfn.COUNTIFS('Connections'!$C$6:$C$589,A88)</f>
        <v>2</v>
      </c>
      <c r="G88" s="47">
        <f>_xlfn.COUNTIFS('Connections'!$B$6:$B$589,A88,'Connections'!$D$6:$D$589,"TRUE")+_xlfn.COUNTIFS('Connections'!$C$6:$C$589,A88,'Connections'!$D$6:$D$589,"TRUE")</f>
        <v>2</v>
      </c>
      <c r="H88" t="s" s="48">
        <v>69</v>
      </c>
      <c r="I88" t="s" s="48">
        <v>70</v>
      </c>
      <c r="J88" s="49"/>
      <c r="K88" s="50"/>
      <c r="L88" s="51"/>
      <c r="M88" t="s" s="45">
        <v>217</v>
      </c>
      <c r="N88" s="52">
        <v>11</v>
      </c>
      <c r="O88" s="44"/>
    </row>
    <row r="89" ht="23.1" customHeight="1">
      <c r="A89" t="s" s="24">
        <v>227</v>
      </c>
      <c r="B89" t="s" s="53">
        <v>227</v>
      </c>
      <c r="C89" t="s" s="53">
        <v>215</v>
      </c>
      <c r="D89" s="54">
        <v>42.7312651211704</v>
      </c>
      <c r="E89" s="54">
        <v>-73.6719081188573</v>
      </c>
      <c r="F89" s="55">
        <f>_xlfn.COUNTIFS('Connections'!$B$6:$B$589,A89)+_xlfn.COUNTIFS('Connections'!$C$6:$C$589,A89)</f>
        <v>4</v>
      </c>
      <c r="G89" s="55">
        <f>_xlfn.COUNTIFS('Connections'!$B$6:$B$589,A89,'Connections'!$D$6:$D$589,"TRUE")+_xlfn.COUNTIFS('Connections'!$C$6:$C$589,A89,'Connections'!$D$6:$D$589,"TRUE")</f>
        <v>4</v>
      </c>
      <c r="H89" t="s" s="48">
        <v>69</v>
      </c>
      <c r="I89" t="s" s="48">
        <v>70</v>
      </c>
      <c r="J89" s="49"/>
      <c r="K89" s="50"/>
      <c r="L89" s="56"/>
      <c r="M89" t="s" s="53">
        <v>217</v>
      </c>
      <c r="N89" s="57">
        <v>12</v>
      </c>
      <c r="O89" s="44"/>
    </row>
    <row r="90" ht="23.1" customHeight="1">
      <c r="A90" t="s" s="21">
        <v>228</v>
      </c>
      <c r="B90" t="s" s="45">
        <v>228</v>
      </c>
      <c r="C90" t="s" s="45">
        <v>215</v>
      </c>
      <c r="D90" s="46">
        <v>42.7311271795954</v>
      </c>
      <c r="E90" s="46">
        <v>-73.6730381809393</v>
      </c>
      <c r="F90" s="47">
        <f>_xlfn.COUNTIFS('Connections'!$B$6:$B$589,A90)+_xlfn.COUNTIFS('Connections'!$C$6:$C$589,A90)</f>
        <v>3</v>
      </c>
      <c r="G90" s="47">
        <f>_xlfn.COUNTIFS('Connections'!$B$6:$B$589,A90,'Connections'!$D$6:$D$589,"TRUE")+_xlfn.COUNTIFS('Connections'!$C$6:$C$589,A90,'Connections'!$D$6:$D$589,"TRUE")</f>
        <v>3</v>
      </c>
      <c r="H90" t="s" s="48">
        <v>69</v>
      </c>
      <c r="I90" t="s" s="48">
        <v>70</v>
      </c>
      <c r="J90" s="49"/>
      <c r="K90" s="50"/>
      <c r="L90" s="51"/>
      <c r="M90" t="s" s="45">
        <v>217</v>
      </c>
      <c r="N90" s="52">
        <v>13</v>
      </c>
      <c r="O90" s="44"/>
    </row>
    <row r="91" ht="23.1" customHeight="1">
      <c r="A91" t="s" s="24">
        <v>229</v>
      </c>
      <c r="B91" t="s" s="53">
        <v>229</v>
      </c>
      <c r="C91" t="s" s="53">
        <v>215</v>
      </c>
      <c r="D91" s="54">
        <v>42.7325065953458</v>
      </c>
      <c r="E91" s="54">
        <v>-73.6726721044902</v>
      </c>
      <c r="F91" s="55">
        <f>_xlfn.COUNTIFS('Connections'!$B$6:$B$589,A91)+_xlfn.COUNTIFS('Connections'!$C$6:$C$589,A91)</f>
        <v>4</v>
      </c>
      <c r="G91" s="55">
        <f>_xlfn.COUNTIFS('Connections'!$B$6:$B$589,A91,'Connections'!$D$6:$D$589,"TRUE")+_xlfn.COUNTIFS('Connections'!$C$6:$C$589,A91,'Connections'!$D$6:$D$589,"TRUE")</f>
        <v>4</v>
      </c>
      <c r="H91" t="s" s="48">
        <v>69</v>
      </c>
      <c r="I91" t="s" s="48">
        <v>70</v>
      </c>
      <c r="J91" s="49"/>
      <c r="K91" s="50"/>
      <c r="L91" s="56"/>
      <c r="M91" t="s" s="53">
        <v>217</v>
      </c>
      <c r="N91" s="57">
        <v>14</v>
      </c>
      <c r="O91" s="44"/>
    </row>
    <row r="92" ht="23.1" customHeight="1">
      <c r="A92" t="s" s="21">
        <v>230</v>
      </c>
      <c r="B92" t="s" s="45">
        <v>230</v>
      </c>
      <c r="C92" t="s" s="45">
        <v>215</v>
      </c>
      <c r="D92" s="46">
        <v>42.7313685773517</v>
      </c>
      <c r="E92" s="46">
        <v>-73.6751073086951</v>
      </c>
      <c r="F92" s="47">
        <f>_xlfn.COUNTIFS('Connections'!$B$6:$B$589,A92)+_xlfn.COUNTIFS('Connections'!$C$6:$C$589,A92)</f>
        <v>2</v>
      </c>
      <c r="G92" s="47">
        <f>_xlfn.COUNTIFS('Connections'!$B$6:$B$589,A92,'Connections'!$D$6:$D$589,"TRUE")+_xlfn.COUNTIFS('Connections'!$C$6:$C$589,A92,'Connections'!$D$6:$D$589,"TRUE")</f>
        <v>2</v>
      </c>
      <c r="H92" t="s" s="48">
        <v>69</v>
      </c>
      <c r="I92" t="s" s="48">
        <v>70</v>
      </c>
      <c r="J92" s="49"/>
      <c r="K92" s="50"/>
      <c r="L92" s="51"/>
      <c r="M92" t="s" s="45">
        <v>217</v>
      </c>
      <c r="N92" s="52">
        <v>15</v>
      </c>
      <c r="O92" s="44"/>
    </row>
    <row r="93" ht="23.1" customHeight="1">
      <c r="A93" t="s" s="24">
        <v>231</v>
      </c>
      <c r="B93" t="s" s="53">
        <v>231</v>
      </c>
      <c r="C93" t="s" s="53">
        <v>215</v>
      </c>
      <c r="D93" s="54">
        <v>42.7306053006365</v>
      </c>
      <c r="E93" s="54">
        <v>-73.6740520535397</v>
      </c>
      <c r="F93" s="55">
        <f>_xlfn.COUNTIFS('Connections'!$B$6:$B$589,A93)+_xlfn.COUNTIFS('Connections'!$C$6:$C$589,A93)</f>
        <v>2</v>
      </c>
      <c r="G93" s="55">
        <f>_xlfn.COUNTIFS('Connections'!$B$6:$B$589,A93,'Connections'!$D$6:$D$589,"TRUE")+_xlfn.COUNTIFS('Connections'!$C$6:$C$589,A93,'Connections'!$D$6:$D$589,"TRUE")</f>
        <v>2</v>
      </c>
      <c r="H93" t="s" s="48">
        <v>69</v>
      </c>
      <c r="I93" t="s" s="48">
        <v>70</v>
      </c>
      <c r="J93" s="49"/>
      <c r="K93" s="50"/>
      <c r="L93" s="56"/>
      <c r="M93" t="s" s="53">
        <v>217</v>
      </c>
      <c r="N93" s="57">
        <v>16</v>
      </c>
      <c r="O93" s="44"/>
    </row>
    <row r="94" ht="23.1" customHeight="1">
      <c r="A94" t="s" s="21">
        <v>232</v>
      </c>
      <c r="B94" t="s" s="45">
        <v>232</v>
      </c>
      <c r="C94" t="s" s="45">
        <v>215</v>
      </c>
      <c r="D94" s="46">
        <v>42.7304294251283</v>
      </c>
      <c r="E94" s="46">
        <v>-73.6745868434827</v>
      </c>
      <c r="F94" s="47">
        <f>_xlfn.COUNTIFS('Connections'!$B$6:$B$589,A94)+_xlfn.COUNTIFS('Connections'!$C$6:$C$589,A94)</f>
        <v>2</v>
      </c>
      <c r="G94" s="47">
        <f>_xlfn.COUNTIFS('Connections'!$B$6:$B$589,A94,'Connections'!$D$6:$D$589,"TRUE")+_xlfn.COUNTIFS('Connections'!$C$6:$C$589,A94,'Connections'!$D$6:$D$589,"TRUE")</f>
        <v>2</v>
      </c>
      <c r="H94" t="s" s="48">
        <v>69</v>
      </c>
      <c r="I94" t="s" s="48">
        <v>70</v>
      </c>
      <c r="J94" s="49"/>
      <c r="K94" s="50"/>
      <c r="L94" s="51"/>
      <c r="M94" t="s" s="45">
        <v>217</v>
      </c>
      <c r="N94" s="52">
        <v>17</v>
      </c>
      <c r="O94" s="44"/>
    </row>
    <row r="95" ht="23.1" customHeight="1">
      <c r="A95" t="s" s="24">
        <v>233</v>
      </c>
      <c r="B95" t="s" s="53">
        <v>233</v>
      </c>
      <c r="C95" t="s" s="53">
        <v>215</v>
      </c>
      <c r="D95" s="54">
        <v>42.7303340155389</v>
      </c>
      <c r="E95" s="54">
        <v>-73.6747030329644</v>
      </c>
      <c r="F95" s="55">
        <f>_xlfn.COUNTIFS('Connections'!$B$6:$B$589,A95)+_xlfn.COUNTIFS('Connections'!$C$6:$C$589,A95)</f>
        <v>3</v>
      </c>
      <c r="G95" s="55">
        <f>_xlfn.COUNTIFS('Connections'!$B$6:$B$589,A95,'Connections'!$D$6:$D$589,"TRUE")+_xlfn.COUNTIFS('Connections'!$C$6:$C$589,A95,'Connections'!$D$6:$D$589,"TRUE")</f>
        <v>3</v>
      </c>
      <c r="H95" t="s" s="48">
        <v>69</v>
      </c>
      <c r="I95" t="s" s="48">
        <v>70</v>
      </c>
      <c r="J95" s="49"/>
      <c r="K95" s="50"/>
      <c r="L95" s="56"/>
      <c r="M95" t="s" s="53">
        <v>217</v>
      </c>
      <c r="N95" s="57">
        <v>18</v>
      </c>
      <c r="O95" s="44"/>
    </row>
    <row r="96" ht="23.1" customHeight="1">
      <c r="A96" t="s" s="21">
        <v>234</v>
      </c>
      <c r="B96" t="s" s="45">
        <v>234</v>
      </c>
      <c r="C96" t="s" s="45">
        <v>215</v>
      </c>
      <c r="D96" s="46">
        <v>42.7300857207039</v>
      </c>
      <c r="E96" s="46">
        <v>-73.6750356850421</v>
      </c>
      <c r="F96" s="47">
        <f>_xlfn.COUNTIFS('Connections'!$B$6:$B$589,A96)+_xlfn.COUNTIFS('Connections'!$C$6:$C$589,A96)</f>
        <v>3</v>
      </c>
      <c r="G96" s="47">
        <f>_xlfn.COUNTIFS('Connections'!$B$6:$B$589,A96,'Connections'!$D$6:$D$589,"TRUE")+_xlfn.COUNTIFS('Connections'!$C$6:$C$589,A96,'Connections'!$D$6:$D$589,"TRUE")</f>
        <v>3</v>
      </c>
      <c r="H96" t="s" s="48">
        <v>69</v>
      </c>
      <c r="I96" t="s" s="48">
        <v>70</v>
      </c>
      <c r="J96" s="49"/>
      <c r="K96" s="50"/>
      <c r="L96" s="51"/>
      <c r="M96" t="s" s="45">
        <v>217</v>
      </c>
      <c r="N96" s="52">
        <v>19</v>
      </c>
      <c r="O96" s="44"/>
    </row>
    <row r="97" ht="23.1" customHeight="1">
      <c r="A97" t="s" s="24">
        <v>235</v>
      </c>
      <c r="B97" t="s" s="53">
        <v>235</v>
      </c>
      <c r="C97" t="s" s="53">
        <v>215</v>
      </c>
      <c r="D97" s="54">
        <v>42.7303075767371</v>
      </c>
      <c r="E97" s="54">
        <v>-73.6758617445077</v>
      </c>
      <c r="F97" s="55">
        <f>_xlfn.COUNTIFS('Connections'!$B$6:$B$589,A97)+_xlfn.COUNTIFS('Connections'!$C$6:$C$589,A97)</f>
        <v>3</v>
      </c>
      <c r="G97" s="55">
        <f>_xlfn.COUNTIFS('Connections'!$B$6:$B$589,A97,'Connections'!$D$6:$D$589,"TRUE")+_xlfn.COUNTIFS('Connections'!$C$6:$C$589,A97,'Connections'!$D$6:$D$589,"TRUE")</f>
        <v>3</v>
      </c>
      <c r="H97" t="s" s="48">
        <v>69</v>
      </c>
      <c r="I97" t="s" s="48">
        <v>70</v>
      </c>
      <c r="J97" s="49"/>
      <c r="K97" s="50"/>
      <c r="L97" s="56"/>
      <c r="M97" t="s" s="53">
        <v>217</v>
      </c>
      <c r="N97" s="57">
        <v>20</v>
      </c>
      <c r="O97" s="44"/>
    </row>
    <row r="98" ht="23.1" customHeight="1">
      <c r="A98" t="s" s="21">
        <v>236</v>
      </c>
      <c r="B98" t="s" s="45">
        <v>236</v>
      </c>
      <c r="C98" t="s" s="45">
        <v>215</v>
      </c>
      <c r="D98" s="46">
        <v>42.7307133548703</v>
      </c>
      <c r="E98" s="46">
        <v>-73.6752664723687</v>
      </c>
      <c r="F98" s="47">
        <f>_xlfn.COUNTIFS('Connections'!$B$6:$B$589,A98)+_xlfn.COUNTIFS('Connections'!$C$6:$C$589,A98)</f>
        <v>3</v>
      </c>
      <c r="G98" s="47">
        <f>_xlfn.COUNTIFS('Connections'!$B$6:$B$589,A98,'Connections'!$D$6:$D$589,"TRUE")+_xlfn.COUNTIFS('Connections'!$C$6:$C$589,A98,'Connections'!$D$6:$D$589,"TRUE")</f>
        <v>3</v>
      </c>
      <c r="H98" t="s" s="48">
        <v>69</v>
      </c>
      <c r="I98" t="s" s="48">
        <v>70</v>
      </c>
      <c r="J98" s="49"/>
      <c r="K98" s="50"/>
      <c r="L98" s="51"/>
      <c r="M98" t="s" s="45">
        <v>217</v>
      </c>
      <c r="N98" s="52">
        <v>21</v>
      </c>
      <c r="O98" s="44"/>
    </row>
    <row r="99" ht="23.1" customHeight="1">
      <c r="A99" t="s" s="24">
        <v>237</v>
      </c>
      <c r="B99" t="s" s="53">
        <v>237</v>
      </c>
      <c r="C99" t="s" s="53">
        <v>215</v>
      </c>
      <c r="D99" s="54">
        <v>42.7316674507643</v>
      </c>
      <c r="E99" s="54">
        <v>-73.67221371311039</v>
      </c>
      <c r="F99" s="55">
        <f>_xlfn.COUNTIFS('Connections'!$B$6:$B$589,A99)+_xlfn.COUNTIFS('Connections'!$C$6:$C$589,A99)</f>
        <v>2</v>
      </c>
      <c r="G99" s="55">
        <f>_xlfn.COUNTIFS('Connections'!$B$6:$B$589,A99,'Connections'!$D$6:$D$589,"TRUE")+_xlfn.COUNTIFS('Connections'!$C$6:$C$589,A99,'Connections'!$D$6:$D$589,"TRUE")</f>
        <v>2</v>
      </c>
      <c r="H99" t="s" s="48">
        <v>69</v>
      </c>
      <c r="I99" t="s" s="48">
        <v>70</v>
      </c>
      <c r="J99" s="49"/>
      <c r="K99" s="50"/>
      <c r="L99" s="56"/>
      <c r="M99" t="s" s="53">
        <v>217</v>
      </c>
      <c r="N99" s="57">
        <v>22</v>
      </c>
      <c r="O99" s="44"/>
    </row>
    <row r="100" ht="23.1" customHeight="1">
      <c r="A100" t="s" s="21">
        <v>238</v>
      </c>
      <c r="B100" t="s" s="45">
        <v>238</v>
      </c>
      <c r="C100" t="s" s="45">
        <v>215</v>
      </c>
      <c r="D100" s="46">
        <v>42.7316594041724</v>
      </c>
      <c r="E100" s="46">
        <v>-73.6717967042858</v>
      </c>
      <c r="F100" s="47">
        <f>_xlfn.COUNTIFS('Connections'!$B$6:$B$589,A100)+_xlfn.COUNTIFS('Connections'!$C$6:$C$589,A100)</f>
        <v>3</v>
      </c>
      <c r="G100" s="47">
        <f>_xlfn.COUNTIFS('Connections'!$B$6:$B$589,A100,'Connections'!$D$6:$D$589,"TRUE")+_xlfn.COUNTIFS('Connections'!$C$6:$C$589,A100,'Connections'!$D$6:$D$589,"TRUE")</f>
        <v>3</v>
      </c>
      <c r="H100" t="s" s="48">
        <v>69</v>
      </c>
      <c r="I100" t="s" s="48">
        <v>70</v>
      </c>
      <c r="J100" s="49"/>
      <c r="K100" s="50"/>
      <c r="L100" s="51"/>
      <c r="M100" t="s" s="45">
        <v>217</v>
      </c>
      <c r="N100" s="52">
        <v>23</v>
      </c>
      <c r="O100" s="44"/>
    </row>
    <row r="101" ht="23.1" customHeight="1">
      <c r="A101" t="s" s="24">
        <v>239</v>
      </c>
      <c r="B101" t="s" s="53">
        <v>239</v>
      </c>
      <c r="C101" t="s" s="53">
        <v>215</v>
      </c>
      <c r="D101" s="54">
        <v>42.7316904410268</v>
      </c>
      <c r="E101" s="54">
        <v>-73.6731336791434</v>
      </c>
      <c r="F101" s="55">
        <f>_xlfn.COUNTIFS('Connections'!$B$6:$B$589,A101)+_xlfn.COUNTIFS('Connections'!$C$6:$C$589,A101)</f>
        <v>1</v>
      </c>
      <c r="G101" s="55">
        <f>_xlfn.COUNTIFS('Connections'!$B$6:$B$589,A101,'Connections'!$D$6:$D$589,"TRUE")+_xlfn.COUNTIFS('Connections'!$C$6:$C$589,A101,'Connections'!$D$6:$D$589,"TRUE")</f>
        <v>1</v>
      </c>
      <c r="H101" t="s" s="48">
        <v>69</v>
      </c>
      <c r="I101" t="s" s="48">
        <v>70</v>
      </c>
      <c r="J101" s="49"/>
      <c r="K101" s="50"/>
      <c r="L101" s="56"/>
      <c r="M101" t="s" s="53">
        <v>217</v>
      </c>
      <c r="N101" s="57">
        <v>24</v>
      </c>
      <c r="O101" s="44"/>
    </row>
    <row r="102" ht="23.1" customHeight="1">
      <c r="A102" t="s" s="21">
        <v>240</v>
      </c>
      <c r="B102" t="s" s="45">
        <v>240</v>
      </c>
      <c r="C102" t="s" s="45">
        <v>215</v>
      </c>
      <c r="D102" s="46">
        <v>42.7316525070937</v>
      </c>
      <c r="E102" s="46">
        <v>-73.6729347245515</v>
      </c>
      <c r="F102" s="47">
        <f>_xlfn.COUNTIFS('Connections'!$B$6:$B$589,A102)+_xlfn.COUNTIFS('Connections'!$C$6:$C$589,A102)</f>
        <v>3</v>
      </c>
      <c r="G102" s="47">
        <f>_xlfn.COUNTIFS('Connections'!$B$6:$B$589,A102,'Connections'!$D$6:$D$589,"TRUE")+_xlfn.COUNTIFS('Connections'!$C$6:$C$589,A102,'Connections'!$D$6:$D$589,"TRUE")</f>
        <v>3</v>
      </c>
      <c r="H102" t="s" s="48">
        <v>69</v>
      </c>
      <c r="I102" t="s" s="48">
        <v>70</v>
      </c>
      <c r="J102" s="49"/>
      <c r="K102" s="50"/>
      <c r="L102" s="51"/>
      <c r="M102" t="s" s="45">
        <v>217</v>
      </c>
      <c r="N102" s="52">
        <v>25</v>
      </c>
      <c r="O102" s="44"/>
    </row>
    <row r="103" ht="23.1" customHeight="1">
      <c r="A103" t="s" s="24">
        <v>241</v>
      </c>
      <c r="B103" t="s" s="53">
        <v>241</v>
      </c>
      <c r="C103" t="s" s="53">
        <v>215</v>
      </c>
      <c r="D103" s="54">
        <v>42.7291212791917</v>
      </c>
      <c r="E103" s="54">
        <v>-73.6725208990003</v>
      </c>
      <c r="F103" s="55">
        <f>_xlfn.COUNTIFS('Connections'!$B$6:$B$589,A103)+_xlfn.COUNTIFS('Connections'!$C$6:$C$589,A103)</f>
        <v>3</v>
      </c>
      <c r="G103" s="55">
        <f>_xlfn.COUNTIFS('Connections'!$B$6:$B$589,A103,'Connections'!$D$6:$D$589,"TRUE")+_xlfn.COUNTIFS('Connections'!$C$6:$C$589,A103,'Connections'!$D$6:$D$589,"TRUE")</f>
        <v>3</v>
      </c>
      <c r="H103" t="s" s="48">
        <v>69</v>
      </c>
      <c r="I103" t="s" s="48">
        <v>70</v>
      </c>
      <c r="J103" s="49"/>
      <c r="K103" s="50"/>
      <c r="L103" s="56"/>
      <c r="M103" t="s" s="53">
        <v>217</v>
      </c>
      <c r="N103" s="57">
        <v>26</v>
      </c>
      <c r="O103" s="44"/>
    </row>
    <row r="104" ht="23.1" customHeight="1">
      <c r="A104" t="s" s="21">
        <v>242</v>
      </c>
      <c r="B104" t="s" s="45">
        <v>242</v>
      </c>
      <c r="C104" t="s" s="45">
        <v>215</v>
      </c>
      <c r="D104" s="46">
        <v>42.7295144126806</v>
      </c>
      <c r="E104" s="46">
        <v>-73.67441653835201</v>
      </c>
      <c r="F104" s="47">
        <f>_xlfn.COUNTIFS('Connections'!$B$6:$B$589,A104)+_xlfn.COUNTIFS('Connections'!$C$6:$C$589,A104)</f>
        <v>3</v>
      </c>
      <c r="G104" s="47">
        <f>_xlfn.COUNTIFS('Connections'!$B$6:$B$589,A104,'Connections'!$D$6:$D$589,"TRUE")+_xlfn.COUNTIFS('Connections'!$C$6:$C$589,A104,'Connections'!$D$6:$D$589,"TRUE")</f>
        <v>3</v>
      </c>
      <c r="H104" t="s" s="48">
        <v>69</v>
      </c>
      <c r="I104" t="s" s="48">
        <v>70</v>
      </c>
      <c r="J104" s="49"/>
      <c r="K104" s="50"/>
      <c r="L104" s="51"/>
      <c r="M104" t="s" s="45">
        <v>217</v>
      </c>
      <c r="N104" s="52">
        <v>27</v>
      </c>
      <c r="O104" s="44"/>
    </row>
    <row r="105" ht="23.1" customHeight="1">
      <c r="A105" t="s" s="24">
        <v>243</v>
      </c>
      <c r="B105" t="s" s="53">
        <v>243</v>
      </c>
      <c r="C105" t="s" s="53">
        <v>215</v>
      </c>
      <c r="D105" s="54">
        <v>42.729362676948</v>
      </c>
      <c r="E105" s="54">
        <v>-73.6734360901231</v>
      </c>
      <c r="F105" s="55">
        <f>_xlfn.COUNTIFS('Connections'!$B$6:$B$589,A105)+_xlfn.COUNTIFS('Connections'!$C$6:$C$589,A105)</f>
        <v>2</v>
      </c>
      <c r="G105" s="55">
        <f>_xlfn.COUNTIFS('Connections'!$B$6:$B$589,A105,'Connections'!$D$6:$D$589,"TRUE")+_xlfn.COUNTIFS('Connections'!$C$6:$C$589,A105,'Connections'!$D$6:$D$589,"TRUE")</f>
        <v>2</v>
      </c>
      <c r="H105" t="s" s="48">
        <v>69</v>
      </c>
      <c r="I105" t="s" s="48">
        <v>70</v>
      </c>
      <c r="J105" s="49"/>
      <c r="K105" s="50"/>
      <c r="L105" s="56"/>
      <c r="M105" t="s" s="53">
        <v>217</v>
      </c>
      <c r="N105" s="57">
        <v>28</v>
      </c>
      <c r="O105" s="44"/>
    </row>
    <row r="106" ht="23.1" customHeight="1">
      <c r="A106" t="s" s="21">
        <v>244</v>
      </c>
      <c r="B106" t="s" s="45">
        <v>244</v>
      </c>
      <c r="C106" t="s" s="45">
        <v>215</v>
      </c>
      <c r="D106" s="46">
        <v>42.7292304829386</v>
      </c>
      <c r="E106" s="46">
        <v>-73.6729967983842</v>
      </c>
      <c r="F106" s="47">
        <f>_xlfn.COUNTIFS('Connections'!$B$6:$B$589,A106)+_xlfn.COUNTIFS('Connections'!$C$6:$C$589,A106)</f>
        <v>4</v>
      </c>
      <c r="G106" s="47">
        <f>_xlfn.COUNTIFS('Connections'!$B$6:$B$589,A106,'Connections'!$D$6:$D$589,"TRUE")+_xlfn.COUNTIFS('Connections'!$C$6:$C$589,A106,'Connections'!$D$6:$D$589,"TRUE")</f>
        <v>4</v>
      </c>
      <c r="H106" t="s" s="48">
        <v>69</v>
      </c>
      <c r="I106" t="s" s="48">
        <v>70</v>
      </c>
      <c r="J106" s="49"/>
      <c r="K106" s="50"/>
      <c r="L106" s="51"/>
      <c r="M106" t="s" s="45">
        <v>217</v>
      </c>
      <c r="N106" s="52">
        <v>29</v>
      </c>
      <c r="O106" s="44"/>
    </row>
    <row r="107" ht="23.1" customHeight="1">
      <c r="A107" t="s" s="24">
        <v>245</v>
      </c>
      <c r="B107" t="s" s="53">
        <v>245</v>
      </c>
      <c r="C107" t="s" s="53">
        <v>215</v>
      </c>
      <c r="D107" s="54">
        <v>42.728793667951</v>
      </c>
      <c r="E107" s="54">
        <v>-73.6731177627761</v>
      </c>
      <c r="F107" s="55">
        <f>_xlfn.COUNTIFS('Connections'!$B$6:$B$589,A107)+_xlfn.COUNTIFS('Connections'!$C$6:$C$589,A107)</f>
        <v>2</v>
      </c>
      <c r="G107" s="55">
        <f>_xlfn.COUNTIFS('Connections'!$B$6:$B$589,A107,'Connections'!$D$6:$D$589,"TRUE")+_xlfn.COUNTIFS('Connections'!$C$6:$C$589,A107,'Connections'!$D$6:$D$589,"TRUE")</f>
        <v>2</v>
      </c>
      <c r="H107" t="s" s="48">
        <v>69</v>
      </c>
      <c r="I107" t="s" s="48">
        <v>70</v>
      </c>
      <c r="J107" s="49"/>
      <c r="K107" s="50"/>
      <c r="L107" s="56"/>
      <c r="M107" t="s" s="53">
        <v>217</v>
      </c>
      <c r="N107" s="57">
        <v>30</v>
      </c>
      <c r="O107" s="44"/>
    </row>
    <row r="108" ht="23.1" customHeight="1">
      <c r="A108" t="s" s="21">
        <v>246</v>
      </c>
      <c r="B108" t="s" s="45">
        <v>246</v>
      </c>
      <c r="C108" t="s" s="45">
        <v>215</v>
      </c>
      <c r="D108" s="46">
        <v>42.7286327361135</v>
      </c>
      <c r="E108" s="46">
        <v>-73.6741841593887</v>
      </c>
      <c r="F108" s="47">
        <f>_xlfn.COUNTIFS('Connections'!$B$6:$B$589,A108)+_xlfn.COUNTIFS('Connections'!$C$6:$C$589,A108)</f>
        <v>6</v>
      </c>
      <c r="G108" s="47">
        <f>_xlfn.COUNTIFS('Connections'!$B$6:$B$589,A108,'Connections'!$D$6:$D$589,"TRUE")+_xlfn.COUNTIFS('Connections'!$C$6:$C$589,A108,'Connections'!$D$6:$D$589,"TRUE")</f>
        <v>6</v>
      </c>
      <c r="H108" t="s" s="48">
        <v>69</v>
      </c>
      <c r="I108" t="s" s="48">
        <v>70</v>
      </c>
      <c r="J108" s="49"/>
      <c r="K108" s="50"/>
      <c r="L108" s="51"/>
      <c r="M108" t="s" s="45">
        <v>217</v>
      </c>
      <c r="N108" s="52">
        <v>31</v>
      </c>
      <c r="O108" s="44"/>
    </row>
    <row r="109" ht="23.1" customHeight="1">
      <c r="A109" t="s" s="24">
        <v>247</v>
      </c>
      <c r="B109" t="s" s="53">
        <v>247</v>
      </c>
      <c r="C109" t="s" s="53">
        <v>215</v>
      </c>
      <c r="D109" s="54">
        <v>42.7284488140134</v>
      </c>
      <c r="E109" s="54">
        <v>-73.6733183090047</v>
      </c>
      <c r="F109" s="55">
        <f>_xlfn.COUNTIFS('Connections'!$B$6:$B$589,A109)+_xlfn.COUNTIFS('Connections'!$C$6:$C$589,A109)</f>
        <v>2</v>
      </c>
      <c r="G109" s="55">
        <f>_xlfn.COUNTIFS('Connections'!$B$6:$B$589,A109,'Connections'!$D$6:$D$589,"TRUE")+_xlfn.COUNTIFS('Connections'!$C$6:$C$589,A109,'Connections'!$D$6:$D$589,"TRUE")</f>
        <v>2</v>
      </c>
      <c r="H109" t="s" s="48">
        <v>69</v>
      </c>
      <c r="I109" t="s" s="48">
        <v>70</v>
      </c>
      <c r="J109" s="49"/>
      <c r="K109" s="50"/>
      <c r="L109" s="56"/>
      <c r="M109" t="s" s="53">
        <v>217</v>
      </c>
      <c r="N109" s="57">
        <v>32</v>
      </c>
      <c r="O109" s="44"/>
    </row>
    <row r="110" ht="23.1" customHeight="1">
      <c r="A110" t="s" s="21">
        <v>248</v>
      </c>
      <c r="B110" t="s" s="45">
        <v>248</v>
      </c>
      <c r="C110" t="s" s="45">
        <v>215</v>
      </c>
      <c r="D110" s="46">
        <v>42.729004028853</v>
      </c>
      <c r="E110" s="46">
        <v>-73.6734679228578</v>
      </c>
      <c r="F110" s="47">
        <f>_xlfn.COUNTIFS('Connections'!$B$6:$B$589,A110)+_xlfn.COUNTIFS('Connections'!$C$6:$C$589,A110)</f>
        <v>2</v>
      </c>
      <c r="G110" s="47">
        <f>_xlfn.COUNTIFS('Connections'!$B$6:$B$589,A110,'Connections'!$D$6:$D$589,"TRUE")+_xlfn.COUNTIFS('Connections'!$C$6:$C$589,A110,'Connections'!$D$6:$D$589,"TRUE")</f>
        <v>2</v>
      </c>
      <c r="H110" t="s" s="48">
        <v>69</v>
      </c>
      <c r="I110" t="s" s="48">
        <v>70</v>
      </c>
      <c r="J110" s="49"/>
      <c r="K110" s="50"/>
      <c r="L110" s="51"/>
      <c r="M110" t="s" s="45">
        <v>217</v>
      </c>
      <c r="N110" s="52">
        <v>33</v>
      </c>
      <c r="O110" s="44"/>
    </row>
    <row r="111" ht="23.1" customHeight="1">
      <c r="A111" t="s" s="24">
        <v>249</v>
      </c>
      <c r="B111" t="s" s="53">
        <v>249</v>
      </c>
      <c r="C111" t="s" s="53">
        <v>215</v>
      </c>
      <c r="D111" s="54">
        <v>42.7288339009104</v>
      </c>
      <c r="E111" s="54">
        <v>-73.67378306693141</v>
      </c>
      <c r="F111" s="55">
        <f>_xlfn.COUNTIFS('Connections'!$B$6:$B$589,A111)+_xlfn.COUNTIFS('Connections'!$C$6:$C$589,A111)</f>
        <v>2</v>
      </c>
      <c r="G111" s="55">
        <f>_xlfn.COUNTIFS('Connections'!$B$6:$B$589,A111,'Connections'!$D$6:$D$589,"TRUE")+_xlfn.COUNTIFS('Connections'!$C$6:$C$589,A111,'Connections'!$D$6:$D$589,"TRUE")</f>
        <v>2</v>
      </c>
      <c r="H111" t="s" s="48">
        <v>69</v>
      </c>
      <c r="I111" t="s" s="48">
        <v>70</v>
      </c>
      <c r="J111" s="49"/>
      <c r="K111" s="50"/>
      <c r="L111" s="56"/>
      <c r="M111" t="s" s="53">
        <v>217</v>
      </c>
      <c r="N111" s="57">
        <v>34</v>
      </c>
      <c r="O111" s="44"/>
    </row>
    <row r="112" ht="23.1" customHeight="1">
      <c r="A112" t="s" s="21">
        <v>250</v>
      </c>
      <c r="B112" t="s" s="45">
        <v>250</v>
      </c>
      <c r="C112" t="s" s="45">
        <v>215</v>
      </c>
      <c r="D112" s="46">
        <v>42.728839648476</v>
      </c>
      <c r="E112" s="46">
        <v>-73.6740886611846</v>
      </c>
      <c r="F112" s="47">
        <f>_xlfn.COUNTIFS('Connections'!$B$6:$B$589,A112)+_xlfn.COUNTIFS('Connections'!$C$6:$C$589,A112)</f>
        <v>4</v>
      </c>
      <c r="G112" s="47">
        <f>_xlfn.COUNTIFS('Connections'!$B$6:$B$589,A112,'Connections'!$D$6:$D$589,"TRUE")+_xlfn.COUNTIFS('Connections'!$C$6:$C$589,A112,'Connections'!$D$6:$D$589,"TRUE")</f>
        <v>4</v>
      </c>
      <c r="H112" t="s" s="48">
        <v>69</v>
      </c>
      <c r="I112" t="s" s="48">
        <v>70</v>
      </c>
      <c r="J112" s="49"/>
      <c r="K112" s="50"/>
      <c r="L112" s="51"/>
      <c r="M112" t="s" s="45">
        <v>217</v>
      </c>
      <c r="N112" s="52">
        <v>35</v>
      </c>
      <c r="O112" s="44"/>
    </row>
    <row r="113" ht="23.1" customHeight="1">
      <c r="A113" t="s" s="24">
        <v>251</v>
      </c>
      <c r="B113" t="s" s="53">
        <v>251</v>
      </c>
      <c r="C113" t="s" s="53">
        <v>215</v>
      </c>
      <c r="D113" s="54">
        <v>42.7289339085523</v>
      </c>
      <c r="E113" s="54">
        <v>-73.6744292714459</v>
      </c>
      <c r="F113" s="55">
        <f>_xlfn.COUNTIFS('Connections'!$B$6:$B$589,A113)+_xlfn.COUNTIFS('Connections'!$C$6:$C$589,A113)</f>
        <v>2</v>
      </c>
      <c r="G113" s="55">
        <f>_xlfn.COUNTIFS('Connections'!$B$6:$B$589,A113,'Connections'!$D$6:$D$589,"TRUE")+_xlfn.COUNTIFS('Connections'!$C$6:$C$589,A113,'Connections'!$D$6:$D$589,"TRUE")</f>
        <v>2</v>
      </c>
      <c r="H113" t="s" s="48">
        <v>69</v>
      </c>
      <c r="I113" t="s" s="48">
        <v>70</v>
      </c>
      <c r="J113" s="49"/>
      <c r="K113" s="50"/>
      <c r="L113" s="56"/>
      <c r="M113" t="s" s="53">
        <v>217</v>
      </c>
      <c r="N113" s="57">
        <v>36</v>
      </c>
      <c r="O113" s="44"/>
    </row>
    <row r="114" ht="23.1" customHeight="1">
      <c r="A114" t="s" s="21">
        <v>252</v>
      </c>
      <c r="B114" t="s" s="45">
        <v>252</v>
      </c>
      <c r="C114" t="s" s="45">
        <v>215</v>
      </c>
      <c r="D114" s="46">
        <v>42.7292649683324</v>
      </c>
      <c r="E114" s="46">
        <v>-73.6746298176746</v>
      </c>
      <c r="F114" s="47">
        <f>_xlfn.COUNTIFS('Connections'!$B$6:$B$589,A114)+_xlfn.COUNTIFS('Connections'!$C$6:$C$589,A114)</f>
        <v>2</v>
      </c>
      <c r="G114" s="47">
        <f>_xlfn.COUNTIFS('Connections'!$B$6:$B$589,A114,'Connections'!$D$6:$D$589,"TRUE")+_xlfn.COUNTIFS('Connections'!$C$6:$C$589,A114,'Connections'!$D$6:$D$589,"TRUE")</f>
        <v>2</v>
      </c>
      <c r="H114" t="s" s="48">
        <v>69</v>
      </c>
      <c r="I114" t="s" s="48">
        <v>70</v>
      </c>
      <c r="J114" s="49"/>
      <c r="K114" s="50"/>
      <c r="L114" s="51"/>
      <c r="M114" t="s" s="45">
        <v>217</v>
      </c>
      <c r="N114" s="52">
        <v>37</v>
      </c>
      <c r="O114" s="44"/>
    </row>
    <row r="115" ht="23.1" customHeight="1">
      <c r="A115" t="s" s="24">
        <v>253</v>
      </c>
      <c r="B115" t="s" s="53">
        <v>253</v>
      </c>
      <c r="C115" t="s" s="53">
        <v>215</v>
      </c>
      <c r="D115" s="54">
        <v>42.7285177848009</v>
      </c>
      <c r="E115" s="54">
        <v>-73.6745438692909</v>
      </c>
      <c r="F115" s="55">
        <f>_xlfn.COUNTIFS('Connections'!$B$6:$B$589,A115)+_xlfn.COUNTIFS('Connections'!$C$6:$C$589,A115)</f>
        <v>4</v>
      </c>
      <c r="G115" s="55">
        <f>_xlfn.COUNTIFS('Connections'!$B$6:$B$589,A115,'Connections'!$D$6:$D$589,"TRUE")+_xlfn.COUNTIFS('Connections'!$C$6:$C$589,A115,'Connections'!$D$6:$D$589,"TRUE")</f>
        <v>4</v>
      </c>
      <c r="H115" t="s" s="48">
        <v>69</v>
      </c>
      <c r="I115" t="s" s="48">
        <v>70</v>
      </c>
      <c r="J115" s="49"/>
      <c r="K115" s="50"/>
      <c r="L115" s="56"/>
      <c r="M115" t="s" s="53">
        <v>217</v>
      </c>
      <c r="N115" s="57">
        <v>38</v>
      </c>
      <c r="O115" s="44"/>
    </row>
    <row r="116" ht="23.1" customHeight="1">
      <c r="A116" t="s" s="21">
        <v>254</v>
      </c>
      <c r="B116" t="s" s="45">
        <v>254</v>
      </c>
      <c r="C116" t="s" s="45">
        <v>215</v>
      </c>
      <c r="D116" s="46">
        <v>42.7283143209778</v>
      </c>
      <c r="E116" s="46">
        <v>-73.6747157660583</v>
      </c>
      <c r="F116" s="47">
        <f>_xlfn.COUNTIFS('Connections'!$B$6:$B$589,A116)+_xlfn.COUNTIFS('Connections'!$C$6:$C$589,A116)</f>
        <v>4</v>
      </c>
      <c r="G116" s="47">
        <f>_xlfn.COUNTIFS('Connections'!$B$6:$B$589,A116,'Connections'!$D$6:$D$589,"TRUE")+_xlfn.COUNTIFS('Connections'!$C$6:$C$589,A116,'Connections'!$D$6:$D$589,"TRUE")</f>
        <v>4</v>
      </c>
      <c r="H116" t="s" s="48">
        <v>69</v>
      </c>
      <c r="I116" t="s" s="48">
        <v>70</v>
      </c>
      <c r="J116" s="49"/>
      <c r="K116" s="50"/>
      <c r="L116" s="51"/>
      <c r="M116" t="s" s="45">
        <v>217</v>
      </c>
      <c r="N116" s="52">
        <v>39</v>
      </c>
      <c r="O116" s="44"/>
    </row>
    <row r="117" ht="23.1" customHeight="1">
      <c r="A117" t="s" s="24">
        <v>255</v>
      </c>
      <c r="B117" t="s" s="53">
        <v>255</v>
      </c>
      <c r="C117" t="s" s="53">
        <v>215</v>
      </c>
      <c r="D117" s="54">
        <v>42.7281039600758</v>
      </c>
      <c r="E117" s="54">
        <v>-73.6737225847355</v>
      </c>
      <c r="F117" s="55">
        <f>_xlfn.COUNTIFS('Connections'!$B$6:$B$589,A117)+_xlfn.COUNTIFS('Connections'!$C$6:$C$589,A117)</f>
        <v>4</v>
      </c>
      <c r="G117" s="55">
        <f>_xlfn.COUNTIFS('Connections'!$B$6:$B$589,A117,'Connections'!$D$6:$D$589,"TRUE")+_xlfn.COUNTIFS('Connections'!$C$6:$C$589,A117,'Connections'!$D$6:$D$589,"TRUE")</f>
        <v>4</v>
      </c>
      <c r="H117" t="s" s="48">
        <v>69</v>
      </c>
      <c r="I117" t="s" s="48">
        <v>70</v>
      </c>
      <c r="J117" s="49"/>
      <c r="K117" s="50"/>
      <c r="L117" s="56"/>
      <c r="M117" t="s" s="53">
        <v>217</v>
      </c>
      <c r="N117" s="57">
        <v>40</v>
      </c>
      <c r="O117" s="44"/>
    </row>
    <row r="118" ht="23.1" customHeight="1">
      <c r="A118" t="s" s="21">
        <v>256</v>
      </c>
      <c r="B118" t="s" s="45">
        <v>256</v>
      </c>
      <c r="C118" t="s" s="45">
        <v>215</v>
      </c>
      <c r="D118" s="46">
        <v>42.7284488140134</v>
      </c>
      <c r="E118" s="46">
        <v>-73.67389766477631</v>
      </c>
      <c r="F118" s="47">
        <f>_xlfn.COUNTIFS('Connections'!$B$6:$B$589,A118)+_xlfn.COUNTIFS('Connections'!$C$6:$C$589,A118)</f>
        <v>2</v>
      </c>
      <c r="G118" s="47">
        <f>_xlfn.COUNTIFS('Connections'!$B$6:$B$589,A118,'Connections'!$D$6:$D$589,"TRUE")+_xlfn.COUNTIFS('Connections'!$C$6:$C$589,A118,'Connections'!$D$6:$D$589,"TRUE")</f>
        <v>2</v>
      </c>
      <c r="H118" t="s" s="48">
        <v>69</v>
      </c>
      <c r="I118" t="s" s="48">
        <v>70</v>
      </c>
      <c r="J118" s="49"/>
      <c r="K118" s="50"/>
      <c r="L118" s="51"/>
      <c r="M118" t="s" s="45">
        <v>217</v>
      </c>
      <c r="N118" s="52">
        <v>41</v>
      </c>
      <c r="O118" s="44"/>
    </row>
    <row r="119" ht="23.1" customHeight="1">
      <c r="A119" t="s" s="24">
        <v>257</v>
      </c>
      <c r="B119" t="s" s="53">
        <v>257</v>
      </c>
      <c r="C119" t="s" s="53">
        <v>215</v>
      </c>
      <c r="D119" s="54">
        <v>42.7280005038946</v>
      </c>
      <c r="E119" s="54">
        <v>-73.6728790172658</v>
      </c>
      <c r="F119" s="55">
        <f>_xlfn.COUNTIFS('Connections'!$B$6:$B$589,A119)+_xlfn.COUNTIFS('Connections'!$C$6:$C$589,A119)</f>
        <v>3</v>
      </c>
      <c r="G119" s="55">
        <f>_xlfn.COUNTIFS('Connections'!$B$6:$B$589,A119,'Connections'!$D$6:$D$589,"TRUE")+_xlfn.COUNTIFS('Connections'!$C$6:$C$589,A119,'Connections'!$D$6:$D$589,"TRUE")</f>
        <v>3</v>
      </c>
      <c r="H119" t="s" s="48">
        <v>69</v>
      </c>
      <c r="I119" t="s" s="48">
        <v>70</v>
      </c>
      <c r="J119" s="49"/>
      <c r="K119" s="50"/>
      <c r="L119" s="56"/>
      <c r="M119" t="s" s="53">
        <v>217</v>
      </c>
      <c r="N119" s="57">
        <v>42</v>
      </c>
      <c r="O119" s="44"/>
    </row>
    <row r="120" ht="23.1" customHeight="1">
      <c r="A120" t="s" s="21">
        <v>258</v>
      </c>
      <c r="B120" t="s" s="45">
        <v>258</v>
      </c>
      <c r="C120" t="s" s="45">
        <v>215</v>
      </c>
      <c r="D120" s="46">
        <v>42.7288511436073</v>
      </c>
      <c r="E120" s="46">
        <v>-73.6749958941237</v>
      </c>
      <c r="F120" s="47">
        <f>_xlfn.COUNTIFS('Connections'!$B$6:$B$589,A120)+_xlfn.COUNTIFS('Connections'!$C$6:$C$589,A120)</f>
        <v>2</v>
      </c>
      <c r="G120" s="47">
        <f>_xlfn.COUNTIFS('Connections'!$B$6:$B$589,A120,'Connections'!$D$6:$D$589,"TRUE")+_xlfn.COUNTIFS('Connections'!$C$6:$C$589,A120,'Connections'!$D$6:$D$589,"TRUE")</f>
        <v>2</v>
      </c>
      <c r="H120" t="s" s="48">
        <v>69</v>
      </c>
      <c r="I120" t="s" s="48">
        <v>70</v>
      </c>
      <c r="J120" s="49"/>
      <c r="K120" s="50"/>
      <c r="L120" s="51"/>
      <c r="M120" t="s" s="45">
        <v>217</v>
      </c>
      <c r="N120" s="52">
        <v>43</v>
      </c>
      <c r="O120" s="44"/>
    </row>
    <row r="121" ht="23.1" customHeight="1">
      <c r="A121" t="s" s="24">
        <v>259</v>
      </c>
      <c r="B121" t="s" s="53">
        <v>259</v>
      </c>
      <c r="C121" t="s" s="53">
        <v>215</v>
      </c>
      <c r="D121" s="54">
        <v>42.7290005803136</v>
      </c>
      <c r="E121" s="54">
        <v>-73.6753221796544</v>
      </c>
      <c r="F121" s="55">
        <f>_xlfn.COUNTIFS('Connections'!$B$6:$B$589,A121)+_xlfn.COUNTIFS('Connections'!$C$6:$C$589,A121)</f>
        <v>3</v>
      </c>
      <c r="G121" s="55">
        <f>_xlfn.COUNTIFS('Connections'!$B$6:$B$589,A121,'Connections'!$D$6:$D$589,"TRUE")+_xlfn.COUNTIFS('Connections'!$C$6:$C$589,A121,'Connections'!$D$6:$D$589,"TRUE")</f>
        <v>2</v>
      </c>
      <c r="H121" t="s" s="48">
        <v>69</v>
      </c>
      <c r="I121" t="s" s="48">
        <v>70</v>
      </c>
      <c r="J121" s="49"/>
      <c r="K121" s="50"/>
      <c r="L121" s="56"/>
      <c r="M121" t="s" s="53">
        <v>217</v>
      </c>
      <c r="N121" s="57">
        <v>44</v>
      </c>
      <c r="O121" s="44"/>
    </row>
    <row r="122" ht="23.1" customHeight="1">
      <c r="A122" t="s" s="21">
        <v>260</v>
      </c>
      <c r="B122" t="s" s="45">
        <v>260</v>
      </c>
      <c r="C122" t="s" s="45">
        <v>215</v>
      </c>
      <c r="D122" s="46">
        <v>42.7292488751486</v>
      </c>
      <c r="E122" s="46">
        <v>-73.6757344135688</v>
      </c>
      <c r="F122" s="47">
        <f>_xlfn.COUNTIFS('Connections'!$B$6:$B$589,A122)+_xlfn.COUNTIFS('Connections'!$C$6:$C$589,A122)</f>
        <v>4</v>
      </c>
      <c r="G122" s="47">
        <f>_xlfn.COUNTIFS('Connections'!$B$6:$B$589,A122,'Connections'!$D$6:$D$589,"TRUE")+_xlfn.COUNTIFS('Connections'!$C$6:$C$589,A122,'Connections'!$D$6:$D$589,"TRUE")</f>
        <v>3</v>
      </c>
      <c r="H122" t="s" s="48">
        <v>69</v>
      </c>
      <c r="I122" t="s" s="48">
        <v>70</v>
      </c>
      <c r="J122" s="49"/>
      <c r="K122" s="50"/>
      <c r="L122" s="51"/>
      <c r="M122" t="s" s="45">
        <v>217</v>
      </c>
      <c r="N122" s="52">
        <v>45</v>
      </c>
      <c r="O122" s="44"/>
    </row>
    <row r="123" ht="23.1" customHeight="1">
      <c r="A123" t="s" s="24">
        <v>261</v>
      </c>
      <c r="B123" t="s" s="53">
        <v>261</v>
      </c>
      <c r="C123" t="s" s="53">
        <v>215</v>
      </c>
      <c r="D123" s="54">
        <v>42.728766079636</v>
      </c>
      <c r="E123" s="54">
        <v>-73.6754861182381</v>
      </c>
      <c r="F123" s="55">
        <f>_xlfn.COUNTIFS('Connections'!$B$6:$B$589,A123)+_xlfn.COUNTIFS('Connections'!$C$6:$C$589,A123)</f>
        <v>2</v>
      </c>
      <c r="G123" s="55">
        <f>_xlfn.COUNTIFS('Connections'!$B$6:$B$589,A123,'Connections'!$D$6:$D$589,"TRUE")+_xlfn.COUNTIFS('Connections'!$C$6:$C$589,A123,'Connections'!$D$6:$D$589,"TRUE")</f>
        <v>2</v>
      </c>
      <c r="H123" t="s" s="48">
        <v>69</v>
      </c>
      <c r="I123" t="s" s="48">
        <v>70</v>
      </c>
      <c r="J123" s="49"/>
      <c r="K123" s="50"/>
      <c r="L123" s="56"/>
      <c r="M123" t="s" s="53">
        <v>217</v>
      </c>
      <c r="N123" s="57">
        <v>46</v>
      </c>
      <c r="O123" s="44"/>
    </row>
    <row r="124" ht="23.1" customHeight="1">
      <c r="A124" t="s" s="21">
        <v>262</v>
      </c>
      <c r="B124" t="s" s="45">
        <v>262</v>
      </c>
      <c r="C124" t="s" s="45">
        <v>215</v>
      </c>
      <c r="D124" s="46">
        <v>42.7284143286197</v>
      </c>
      <c r="E124" s="46">
        <v>-73.6755370506137</v>
      </c>
      <c r="F124" s="47">
        <f>_xlfn.COUNTIFS('Connections'!$B$6:$B$589,A124)+_xlfn.COUNTIFS('Connections'!$C$6:$C$589,A124)</f>
        <v>3</v>
      </c>
      <c r="G124" s="47">
        <f>_xlfn.COUNTIFS('Connections'!$B$6:$B$589,A124,'Connections'!$D$6:$D$589,"TRUE")+_xlfn.COUNTIFS('Connections'!$C$6:$C$589,A124,'Connections'!$D$6:$D$589,"TRUE")</f>
        <v>3</v>
      </c>
      <c r="H124" t="s" s="48">
        <v>69</v>
      </c>
      <c r="I124" t="s" s="48">
        <v>70</v>
      </c>
      <c r="J124" s="49"/>
      <c r="K124" s="50"/>
      <c r="L124" s="51"/>
      <c r="M124" t="s" s="45">
        <v>217</v>
      </c>
      <c r="N124" s="52">
        <v>47</v>
      </c>
      <c r="O124" s="44"/>
    </row>
    <row r="125" ht="23.1" customHeight="1">
      <c r="A125" t="s" s="24">
        <v>263</v>
      </c>
      <c r="B125" t="s" s="53">
        <v>263</v>
      </c>
      <c r="C125" t="s" s="53">
        <v>215</v>
      </c>
      <c r="D125" s="54">
        <v>42.7279165894364</v>
      </c>
      <c r="E125" s="54">
        <v>-73.6747030329644</v>
      </c>
      <c r="F125" s="55">
        <f>_xlfn.COUNTIFS('Connections'!$B$6:$B$589,A125)+_xlfn.COUNTIFS('Connections'!$C$6:$C$589,A125)</f>
        <v>4</v>
      </c>
      <c r="G125" s="55">
        <f>_xlfn.COUNTIFS('Connections'!$B$6:$B$589,A125,'Connections'!$D$6:$D$589,"TRUE")+_xlfn.COUNTIFS('Connections'!$C$6:$C$589,A125,'Connections'!$D$6:$D$589,"TRUE")</f>
        <v>4</v>
      </c>
      <c r="H125" t="s" s="48">
        <v>69</v>
      </c>
      <c r="I125" t="s" s="48">
        <v>70</v>
      </c>
      <c r="J125" s="49"/>
      <c r="K125" s="50"/>
      <c r="L125" s="56"/>
      <c r="M125" t="s" s="53">
        <v>217</v>
      </c>
      <c r="N125" s="57">
        <v>48</v>
      </c>
      <c r="O125" s="44"/>
    </row>
    <row r="126" ht="23.1" customHeight="1">
      <c r="A126" t="s" s="21">
        <v>264</v>
      </c>
      <c r="B126" t="s" s="45">
        <v>264</v>
      </c>
      <c r="C126" t="s" s="45">
        <v>215</v>
      </c>
      <c r="D126" s="46">
        <v>42.7278361235176</v>
      </c>
      <c r="E126" s="46">
        <v>-73.67399316298049</v>
      </c>
      <c r="F126" s="47">
        <f>_xlfn.COUNTIFS('Connections'!$B$6:$B$589,A126)+_xlfn.COUNTIFS('Connections'!$C$6:$C$589,A126)</f>
        <v>4</v>
      </c>
      <c r="G126" s="47">
        <f>_xlfn.COUNTIFS('Connections'!$B$6:$B$589,A126,'Connections'!$D$6:$D$589,"TRUE")+_xlfn.COUNTIFS('Connections'!$C$6:$C$589,A126,'Connections'!$D$6:$D$589,"TRUE")</f>
        <v>4</v>
      </c>
      <c r="H126" t="s" s="48">
        <v>69</v>
      </c>
      <c r="I126" t="s" s="48">
        <v>70</v>
      </c>
      <c r="J126" s="49"/>
      <c r="K126" s="50"/>
      <c r="L126" s="51"/>
      <c r="M126" t="s" s="45">
        <v>217</v>
      </c>
      <c r="N126" s="52">
        <v>49</v>
      </c>
      <c r="O126" s="44"/>
    </row>
    <row r="127" ht="23.1" customHeight="1">
      <c r="A127" t="s" s="24">
        <v>265</v>
      </c>
      <c r="B127" t="s" s="53">
        <v>265</v>
      </c>
      <c r="C127" t="s" s="53">
        <v>215</v>
      </c>
      <c r="D127" s="54">
        <v>42.7274257473319</v>
      </c>
      <c r="E127" s="54">
        <v>-73.6741968924826</v>
      </c>
      <c r="F127" s="55">
        <f>_xlfn.COUNTIFS('Connections'!$B$6:$B$589,A127)+_xlfn.COUNTIFS('Connections'!$C$6:$C$589,A127)</f>
        <v>5</v>
      </c>
      <c r="G127" s="55">
        <f>_xlfn.COUNTIFS('Connections'!$B$6:$B$589,A127,'Connections'!$D$6:$D$589,"TRUE")+_xlfn.COUNTIFS('Connections'!$C$6:$C$589,A127,'Connections'!$D$6:$D$589,"TRUE")</f>
        <v>5</v>
      </c>
      <c r="H127" t="s" s="48">
        <v>69</v>
      </c>
      <c r="I127" t="s" s="48">
        <v>70</v>
      </c>
      <c r="J127" s="49"/>
      <c r="K127" s="50"/>
      <c r="L127" s="56"/>
      <c r="M127" t="s" s="53">
        <v>217</v>
      </c>
      <c r="N127" s="57">
        <v>50</v>
      </c>
      <c r="O127" s="44"/>
    </row>
    <row r="128" ht="23.1" customHeight="1">
      <c r="A128" t="s" s="21">
        <v>266</v>
      </c>
      <c r="B128" t="s" s="45">
        <v>266</v>
      </c>
      <c r="C128" t="s" s="45">
        <v>215</v>
      </c>
      <c r="D128" s="46">
        <v>42.7274441395419</v>
      </c>
      <c r="E128" s="46">
        <v>-73.6747014413277</v>
      </c>
      <c r="F128" s="47">
        <f>_xlfn.COUNTIFS('Connections'!$B$6:$B$589,A128)+_xlfn.COUNTIFS('Connections'!$C$6:$C$589,A128)</f>
        <v>5</v>
      </c>
      <c r="G128" s="47">
        <f>_xlfn.COUNTIFS('Connections'!$B$6:$B$589,A128,'Connections'!$D$6:$D$589,"TRUE")+_xlfn.COUNTIFS('Connections'!$C$6:$C$589,A128,'Connections'!$D$6:$D$589,"TRUE")</f>
        <v>5</v>
      </c>
      <c r="H128" t="s" s="48">
        <v>69</v>
      </c>
      <c r="I128" t="s" s="48">
        <v>70</v>
      </c>
      <c r="J128" s="49"/>
      <c r="K128" s="50"/>
      <c r="L128" s="51"/>
      <c r="M128" t="s" s="45">
        <v>217</v>
      </c>
      <c r="N128" s="52">
        <v>51</v>
      </c>
      <c r="O128" s="44"/>
    </row>
    <row r="129" ht="23.1" customHeight="1">
      <c r="A129" t="s" s="24">
        <v>267</v>
      </c>
      <c r="B129" t="s" s="53">
        <v>267</v>
      </c>
      <c r="C129" t="s" s="53">
        <v>215</v>
      </c>
      <c r="D129" s="54">
        <v>42.7271889476281</v>
      </c>
      <c r="E129" s="54">
        <v>-73.67474123224601</v>
      </c>
      <c r="F129" s="55">
        <f>_xlfn.COUNTIFS('Connections'!$B$6:$B$589,A129)+_xlfn.COUNTIFS('Connections'!$C$6:$C$589,A129)</f>
        <v>5</v>
      </c>
      <c r="G129" s="55">
        <f>_xlfn.COUNTIFS('Connections'!$B$6:$B$589,A129,'Connections'!$D$6:$D$589,"TRUE")+_xlfn.COUNTIFS('Connections'!$C$6:$C$589,A129,'Connections'!$D$6:$D$589,"TRUE")</f>
        <v>5</v>
      </c>
      <c r="H129" t="s" s="48">
        <v>69</v>
      </c>
      <c r="I129" t="s" s="48">
        <v>70</v>
      </c>
      <c r="J129" s="49"/>
      <c r="K129" s="50"/>
      <c r="L129" s="56"/>
      <c r="M129" t="s" s="53">
        <v>217</v>
      </c>
      <c r="N129" s="57">
        <v>52</v>
      </c>
      <c r="O129" s="44"/>
    </row>
    <row r="130" ht="23.1" customHeight="1">
      <c r="A130" t="s" s="21">
        <v>268</v>
      </c>
      <c r="B130" t="s" s="45">
        <v>268</v>
      </c>
      <c r="C130" t="s" s="45">
        <v>215</v>
      </c>
      <c r="D130" s="46">
        <v>42.7271429671031</v>
      </c>
      <c r="E130" s="46">
        <v>-73.6742860241398</v>
      </c>
      <c r="F130" s="47">
        <f>_xlfn.COUNTIFS('Connections'!$B$6:$B$589,A130)+_xlfn.COUNTIFS('Connections'!$C$6:$C$589,A130)</f>
        <v>5</v>
      </c>
      <c r="G130" s="47">
        <f>_xlfn.COUNTIFS('Connections'!$B$6:$B$589,A130,'Connections'!$D$6:$D$589,"TRUE")+_xlfn.COUNTIFS('Connections'!$C$6:$C$589,A130,'Connections'!$D$6:$D$589,"TRUE")</f>
        <v>5</v>
      </c>
      <c r="H130" t="s" s="48">
        <v>69</v>
      </c>
      <c r="I130" t="s" s="48">
        <v>70</v>
      </c>
      <c r="J130" s="49"/>
      <c r="K130" s="50"/>
      <c r="L130" s="51"/>
      <c r="M130" t="s" s="45">
        <v>217</v>
      </c>
      <c r="N130" s="52">
        <v>53</v>
      </c>
      <c r="O130" s="44"/>
    </row>
    <row r="131" ht="23.1" customHeight="1">
      <c r="A131" t="s" s="24">
        <v>269</v>
      </c>
      <c r="B131" t="s" s="53">
        <v>269</v>
      </c>
      <c r="C131" t="s" s="53">
        <v>215</v>
      </c>
      <c r="D131" s="54">
        <v>42.7280441853933</v>
      </c>
      <c r="E131" s="54">
        <v>-73.6739294975111</v>
      </c>
      <c r="F131" s="55">
        <f>_xlfn.COUNTIFS('Connections'!$B$6:$B$589,A131)+_xlfn.COUNTIFS('Connections'!$C$6:$C$589,A131)</f>
        <v>2</v>
      </c>
      <c r="G131" s="55">
        <f>_xlfn.COUNTIFS('Connections'!$B$6:$B$589,A131,'Connections'!$D$6:$D$589,"TRUE")+_xlfn.COUNTIFS('Connections'!$C$6:$C$589,A131,'Connections'!$D$6:$D$589,"TRUE")</f>
        <v>2</v>
      </c>
      <c r="H131" t="s" s="48">
        <v>69</v>
      </c>
      <c r="I131" t="s" s="48">
        <v>70</v>
      </c>
      <c r="J131" s="49"/>
      <c r="K131" s="50"/>
      <c r="L131" s="56"/>
      <c r="M131" t="s" s="53">
        <v>217</v>
      </c>
      <c r="N131" s="57">
        <v>54</v>
      </c>
      <c r="O131" s="44"/>
    </row>
    <row r="132" ht="23.1" customHeight="1">
      <c r="A132" t="s" s="21">
        <v>270</v>
      </c>
      <c r="B132" t="s" s="45">
        <v>270</v>
      </c>
      <c r="C132" t="s" s="45">
        <v>215</v>
      </c>
      <c r="D132" s="46">
        <v>42.729793744370</v>
      </c>
      <c r="E132" s="46">
        <v>-73.6757662463036</v>
      </c>
      <c r="F132" s="47">
        <f>_xlfn.COUNTIFS('Connections'!$B$6:$B$589,A132)+_xlfn.COUNTIFS('Connections'!$C$6:$C$589,A132)</f>
        <v>3</v>
      </c>
      <c r="G132" s="47">
        <f>_xlfn.COUNTIFS('Connections'!$B$6:$B$589,A132,'Connections'!$D$6:$D$589,"TRUE")+_xlfn.COUNTIFS('Connections'!$C$6:$C$589,A132,'Connections'!$D$6:$D$589,"TRUE")</f>
        <v>3</v>
      </c>
      <c r="H132" t="s" s="48">
        <v>69</v>
      </c>
      <c r="I132" t="s" s="48">
        <v>70</v>
      </c>
      <c r="J132" s="49"/>
      <c r="K132" s="50"/>
      <c r="L132" s="51"/>
      <c r="M132" t="s" s="45">
        <v>217</v>
      </c>
      <c r="N132" s="52">
        <v>55</v>
      </c>
      <c r="O132" s="44"/>
    </row>
    <row r="133" ht="23.1" customHeight="1">
      <c r="A133" t="s" s="24">
        <v>271</v>
      </c>
      <c r="B133" t="s" s="53">
        <v>271</v>
      </c>
      <c r="C133" t="s" s="53">
        <v>215</v>
      </c>
      <c r="D133" s="54">
        <v>42.7300581323889</v>
      </c>
      <c r="E133" s="54">
        <v>-73.6774263234184</v>
      </c>
      <c r="F133" s="55">
        <f>_xlfn.COUNTIFS('Connections'!$B$6:$B$589,A133)+_xlfn.COUNTIFS('Connections'!$C$6:$C$589,A133)</f>
        <v>4</v>
      </c>
      <c r="G133" s="55">
        <f>_xlfn.COUNTIFS('Connections'!$B$6:$B$589,A133,'Connections'!$D$6:$D$589,"TRUE")+_xlfn.COUNTIFS('Connections'!$C$6:$C$589,A133,'Connections'!$D$6:$D$589,"TRUE")</f>
        <v>4</v>
      </c>
      <c r="H133" t="s" s="48">
        <v>69</v>
      </c>
      <c r="I133" t="s" s="48">
        <v>70</v>
      </c>
      <c r="J133" s="49"/>
      <c r="K133" s="50"/>
      <c r="L133" s="56"/>
      <c r="M133" t="s" s="53">
        <v>217</v>
      </c>
      <c r="N133" s="57">
        <v>56</v>
      </c>
      <c r="O133" s="44"/>
    </row>
    <row r="134" ht="23.1" customHeight="1">
      <c r="A134" t="s" s="21">
        <v>272</v>
      </c>
      <c r="B134" t="s" s="45">
        <v>272</v>
      </c>
      <c r="C134" t="s" s="45">
        <v>215</v>
      </c>
      <c r="D134" s="46">
        <v>42.7295109641412</v>
      </c>
      <c r="E134" s="46">
        <v>-73.6764983992018</v>
      </c>
      <c r="F134" s="47">
        <f>_xlfn.COUNTIFS('Connections'!$B$6:$B$589,A134)+_xlfn.COUNTIFS('Connections'!$C$6:$C$589,A134)</f>
        <v>3</v>
      </c>
      <c r="G134" s="47">
        <f>_xlfn.COUNTIFS('Connections'!$B$6:$B$589,A134,'Connections'!$D$6:$D$589,"TRUE")+_xlfn.COUNTIFS('Connections'!$C$6:$C$589,A134,'Connections'!$D$6:$D$589,"TRUE")</f>
        <v>3</v>
      </c>
      <c r="H134" t="s" s="48">
        <v>69</v>
      </c>
      <c r="I134" t="s" s="48">
        <v>70</v>
      </c>
      <c r="J134" s="49"/>
      <c r="K134" s="50"/>
      <c r="L134" s="51"/>
      <c r="M134" t="s" s="45">
        <v>217</v>
      </c>
      <c r="N134" s="52">
        <v>57</v>
      </c>
      <c r="O134" s="44"/>
    </row>
    <row r="135" ht="23.1" customHeight="1">
      <c r="A135" t="s" s="24">
        <v>273</v>
      </c>
      <c r="B135" t="s" s="53">
        <v>273</v>
      </c>
      <c r="C135" t="s" s="53">
        <v>215</v>
      </c>
      <c r="D135" s="54">
        <v>42.7302822874483</v>
      </c>
      <c r="E135" s="54">
        <v>-73.6780884443003</v>
      </c>
      <c r="F135" s="55">
        <f>_xlfn.COUNTIFS('Connections'!$B$6:$B$589,A135)+_xlfn.COUNTIFS('Connections'!$C$6:$C$589,A135)</f>
        <v>5</v>
      </c>
      <c r="G135" s="55">
        <f>_xlfn.COUNTIFS('Connections'!$B$6:$B$589,A135,'Connections'!$D$6:$D$589,"TRUE")+_xlfn.COUNTIFS('Connections'!$C$6:$C$589,A135,'Connections'!$D$6:$D$589,"TRUE")</f>
        <v>4</v>
      </c>
      <c r="H135" t="s" s="48">
        <v>69</v>
      </c>
      <c r="I135" t="s" s="48">
        <v>70</v>
      </c>
      <c r="J135" s="49"/>
      <c r="K135" s="50"/>
      <c r="L135" s="56"/>
      <c r="M135" t="s" s="53">
        <v>217</v>
      </c>
      <c r="N135" s="57">
        <v>58</v>
      </c>
      <c r="O135" s="44"/>
    </row>
    <row r="136" ht="23.1" customHeight="1">
      <c r="A136" t="s" s="21">
        <v>274</v>
      </c>
      <c r="B136" t="s" s="45">
        <v>274</v>
      </c>
      <c r="C136" t="s" s="45">
        <v>215</v>
      </c>
      <c r="D136" s="46">
        <v>42.730517937639</v>
      </c>
      <c r="E136" s="46">
        <v>-73.678035920288</v>
      </c>
      <c r="F136" s="47">
        <f>_xlfn.COUNTIFS('Connections'!$B$6:$B$589,A136)+_xlfn.COUNTIFS('Connections'!$C$6:$C$589,A136)</f>
        <v>2</v>
      </c>
      <c r="G136" s="47">
        <f>_xlfn.COUNTIFS('Connections'!$B$6:$B$589,A136,'Connections'!$D$6:$D$589,"TRUE")+_xlfn.COUNTIFS('Connections'!$C$6:$C$589,A136,'Connections'!$D$6:$D$589,"TRUE")</f>
        <v>2</v>
      </c>
      <c r="H136" t="s" s="48">
        <v>69</v>
      </c>
      <c r="I136" t="s" s="48">
        <v>70</v>
      </c>
      <c r="J136" s="49"/>
      <c r="K136" s="50"/>
      <c r="L136" s="51"/>
      <c r="M136" t="s" s="45">
        <v>217</v>
      </c>
      <c r="N136" s="52">
        <v>59</v>
      </c>
      <c r="O136" s="44"/>
    </row>
    <row r="137" ht="23.1" customHeight="1">
      <c r="A137" t="s" s="24">
        <v>275</v>
      </c>
      <c r="B137" t="s" s="53">
        <v>275</v>
      </c>
      <c r="C137" t="s" s="53">
        <v>215</v>
      </c>
      <c r="D137" s="54">
        <v>42.7300121518638</v>
      </c>
      <c r="E137" s="54">
        <v>-73.6785134113086</v>
      </c>
      <c r="F137" s="55">
        <f>_xlfn.COUNTIFS('Connections'!$B$6:$B$589,A137)+_xlfn.COUNTIFS('Connections'!$C$6:$C$589,A137)</f>
        <v>2</v>
      </c>
      <c r="G137" s="55">
        <f>_xlfn.COUNTIFS('Connections'!$B$6:$B$589,A137,'Connections'!$D$6:$D$589,"TRUE")+_xlfn.COUNTIFS('Connections'!$C$6:$C$589,A137,'Connections'!$D$6:$D$589,"TRUE")</f>
        <v>1</v>
      </c>
      <c r="H137" t="s" s="48">
        <v>69</v>
      </c>
      <c r="I137" t="s" s="48">
        <v>70</v>
      </c>
      <c r="J137" s="49"/>
      <c r="K137" s="50"/>
      <c r="L137" s="56"/>
      <c r="M137" t="s" s="53">
        <v>217</v>
      </c>
      <c r="N137" s="57">
        <v>60</v>
      </c>
      <c r="O137" s="44"/>
    </row>
    <row r="138" ht="23.1" customHeight="1">
      <c r="A138" t="s" s="21">
        <v>276</v>
      </c>
      <c r="B138" t="s" s="45">
        <v>276</v>
      </c>
      <c r="C138" t="s" s="45">
        <v>215</v>
      </c>
      <c r="D138" s="46">
        <v>42.7295753368762</v>
      </c>
      <c r="E138" s="46">
        <v>-73.6785929931454</v>
      </c>
      <c r="F138" s="47">
        <f>_xlfn.COUNTIFS('Connections'!$B$6:$B$589,A138)+_xlfn.COUNTIFS('Connections'!$C$6:$C$589,A138)</f>
        <v>5</v>
      </c>
      <c r="G138" s="47">
        <f>_xlfn.COUNTIFS('Connections'!$B$6:$B$589,A138,'Connections'!$D$6:$D$589,"TRUE")+_xlfn.COUNTIFS('Connections'!$C$6:$C$589,A138,'Connections'!$D$6:$D$589,"TRUE")</f>
        <v>4</v>
      </c>
      <c r="H138" t="s" s="48">
        <v>69</v>
      </c>
      <c r="I138" t="s" s="48">
        <v>70</v>
      </c>
      <c r="J138" s="49"/>
      <c r="K138" s="50"/>
      <c r="L138" s="51"/>
      <c r="M138" t="s" s="45">
        <v>217</v>
      </c>
      <c r="N138" s="52">
        <v>61</v>
      </c>
      <c r="O138" s="44"/>
    </row>
    <row r="139" ht="23.1" customHeight="1">
      <c r="A139" t="s" s="24">
        <v>277</v>
      </c>
      <c r="B139" t="s" s="53">
        <v>277</v>
      </c>
      <c r="C139" t="s" s="53">
        <v>215</v>
      </c>
      <c r="D139" s="54">
        <v>42.7293799196449</v>
      </c>
      <c r="E139" s="54">
        <v>-73.6779722548186</v>
      </c>
      <c r="F139" s="55">
        <f>_xlfn.COUNTIFS('Connections'!$B$6:$B$589,A139)+_xlfn.COUNTIFS('Connections'!$C$6:$C$589,A139)</f>
        <v>3</v>
      </c>
      <c r="G139" s="55">
        <f>_xlfn.COUNTIFS('Connections'!$B$6:$B$589,A139,'Connections'!$D$6:$D$589,"TRUE")+_xlfn.COUNTIFS('Connections'!$C$6:$C$589,A139,'Connections'!$D$6:$D$589,"TRUE")</f>
        <v>2</v>
      </c>
      <c r="H139" t="s" s="48">
        <v>69</v>
      </c>
      <c r="I139" t="s" s="48">
        <v>70</v>
      </c>
      <c r="J139" s="49"/>
      <c r="K139" s="50"/>
      <c r="L139" s="56"/>
      <c r="M139" t="s" s="53">
        <v>217</v>
      </c>
      <c r="N139" s="57">
        <v>62</v>
      </c>
      <c r="O139" s="44"/>
    </row>
    <row r="140" ht="23.1" customHeight="1">
      <c r="A140" t="s" s="21">
        <v>278</v>
      </c>
      <c r="B140" t="s" s="45">
        <v>278</v>
      </c>
      <c r="C140" t="s" s="45">
        <v>215</v>
      </c>
      <c r="D140" s="46">
        <v>42.7292948556737</v>
      </c>
      <c r="E140" s="46">
        <v>-73.67737857431641</v>
      </c>
      <c r="F140" s="47">
        <f>_xlfn.COUNTIFS('Connections'!$B$6:$B$589,A140)+_xlfn.COUNTIFS('Connections'!$C$6:$C$589,A140)</f>
        <v>4</v>
      </c>
      <c r="G140" s="47">
        <f>_xlfn.COUNTIFS('Connections'!$B$6:$B$589,A140,'Connections'!$D$6:$D$589,"TRUE")+_xlfn.COUNTIFS('Connections'!$C$6:$C$589,A140,'Connections'!$D$6:$D$589,"TRUE")</f>
        <v>4</v>
      </c>
      <c r="H140" t="s" s="48">
        <v>69</v>
      </c>
      <c r="I140" t="s" s="48">
        <v>70</v>
      </c>
      <c r="J140" s="49"/>
      <c r="K140" s="50"/>
      <c r="L140" s="51"/>
      <c r="M140" t="s" s="45">
        <v>217</v>
      </c>
      <c r="N140" s="52">
        <v>63</v>
      </c>
      <c r="O140" s="44"/>
    </row>
    <row r="141" ht="23.1" customHeight="1">
      <c r="A141" t="s" s="24">
        <v>279</v>
      </c>
      <c r="B141" t="s" s="53">
        <v>279</v>
      </c>
      <c r="C141" t="s" s="53">
        <v>215</v>
      </c>
      <c r="D141" s="54">
        <v>42.7298052395013</v>
      </c>
      <c r="E141" s="54">
        <v>-73.6779515635411</v>
      </c>
      <c r="F141" s="55">
        <f>_xlfn.COUNTIFS('Connections'!$B$6:$B$589,A141)+_xlfn.COUNTIFS('Connections'!$C$6:$C$589,A141)</f>
        <v>2</v>
      </c>
      <c r="G141" s="55">
        <f>_xlfn.COUNTIFS('Connections'!$B$6:$B$589,A141,'Connections'!$D$6:$D$589,"TRUE")+_xlfn.COUNTIFS('Connections'!$C$6:$C$589,A141,'Connections'!$D$6:$D$589,"TRUE")</f>
        <v>1</v>
      </c>
      <c r="H141" t="s" s="48">
        <v>69</v>
      </c>
      <c r="I141" t="s" s="48">
        <v>70</v>
      </c>
      <c r="J141" s="49"/>
      <c r="K141" s="50"/>
      <c r="L141" s="56"/>
      <c r="M141" t="s" s="53">
        <v>217</v>
      </c>
      <c r="N141" s="57">
        <v>64</v>
      </c>
      <c r="O141" s="44"/>
    </row>
    <row r="142" ht="23.1" customHeight="1">
      <c r="A142" t="s" s="21">
        <v>280</v>
      </c>
      <c r="B142" t="s" s="45">
        <v>280</v>
      </c>
      <c r="C142" t="s" s="45">
        <v>215</v>
      </c>
      <c r="D142" s="46">
        <v>42.729609822270</v>
      </c>
      <c r="E142" s="46">
        <v>-73.67924556420679</v>
      </c>
      <c r="F142" s="47">
        <f>_xlfn.COUNTIFS('Connections'!$B$6:$B$589,A142)+_xlfn.COUNTIFS('Connections'!$C$6:$C$589,A142)</f>
        <v>3</v>
      </c>
      <c r="G142" s="47">
        <f>_xlfn.COUNTIFS('Connections'!$B$6:$B$589,A142,'Connections'!$D$6:$D$589,"TRUE")+_xlfn.COUNTIFS('Connections'!$C$6:$C$589,A142,'Connections'!$D$6:$D$589,"TRUE")</f>
        <v>3</v>
      </c>
      <c r="H142" t="s" s="48">
        <v>69</v>
      </c>
      <c r="I142" t="s" s="48">
        <v>70</v>
      </c>
      <c r="J142" s="49"/>
      <c r="K142" s="50"/>
      <c r="L142" s="51"/>
      <c r="M142" t="s" s="45">
        <v>217</v>
      </c>
      <c r="N142" s="52">
        <v>65</v>
      </c>
      <c r="O142" s="44"/>
    </row>
    <row r="143" ht="23.1" customHeight="1">
      <c r="A143" t="s" s="24">
        <v>281</v>
      </c>
      <c r="B143" t="s" s="53">
        <v>281</v>
      </c>
      <c r="C143" t="s" s="53">
        <v>215</v>
      </c>
      <c r="D143" s="54">
        <v>42.7310582088079</v>
      </c>
      <c r="E143" s="54">
        <v>-73.6792773969415</v>
      </c>
      <c r="F143" s="55">
        <f>_xlfn.COUNTIFS('Connections'!$B$6:$B$589,A143)+_xlfn.COUNTIFS('Connections'!$C$6:$C$589,A143)</f>
        <v>4</v>
      </c>
      <c r="G143" s="55">
        <f>_xlfn.COUNTIFS('Connections'!$B$6:$B$589,A143,'Connections'!$D$6:$D$589,"TRUE")+_xlfn.COUNTIFS('Connections'!$C$6:$C$589,A143,'Connections'!$D$6:$D$589,"TRUE")</f>
        <v>3</v>
      </c>
      <c r="H143" t="s" s="48">
        <v>69</v>
      </c>
      <c r="I143" t="s" s="48">
        <v>70</v>
      </c>
      <c r="J143" s="49"/>
      <c r="K143" s="50"/>
      <c r="L143" s="56"/>
      <c r="M143" t="s" s="53">
        <v>217</v>
      </c>
      <c r="N143" s="57">
        <v>66</v>
      </c>
      <c r="O143" s="44"/>
    </row>
    <row r="144" ht="23.1" customHeight="1">
      <c r="A144" t="s" s="21">
        <v>282</v>
      </c>
      <c r="B144" t="s" s="45">
        <v>282</v>
      </c>
      <c r="C144" t="s" s="45">
        <v>215</v>
      </c>
      <c r="D144" s="46">
        <v>42.7306673743453</v>
      </c>
      <c r="E144" s="46">
        <v>-73.67938085332931</v>
      </c>
      <c r="F144" s="47">
        <f>_xlfn.COUNTIFS('Connections'!$B$6:$B$589,A144)+_xlfn.COUNTIFS('Connections'!$C$6:$C$589,A144)</f>
        <v>4</v>
      </c>
      <c r="G144" s="47">
        <f>_xlfn.COUNTIFS('Connections'!$B$6:$B$589,A144,'Connections'!$D$6:$D$589,"TRUE")+_xlfn.COUNTIFS('Connections'!$C$6:$C$589,A144,'Connections'!$D$6:$D$589,"TRUE")</f>
        <v>4</v>
      </c>
      <c r="H144" t="s" s="48">
        <v>69</v>
      </c>
      <c r="I144" t="s" s="48">
        <v>70</v>
      </c>
      <c r="J144" s="49"/>
      <c r="K144" s="50"/>
      <c r="L144" s="51"/>
      <c r="M144" t="s" s="45">
        <v>217</v>
      </c>
      <c r="N144" s="52">
        <v>67</v>
      </c>
      <c r="O144" s="44"/>
    </row>
    <row r="145" ht="23.1" customHeight="1">
      <c r="A145" t="s" s="24">
        <v>283</v>
      </c>
      <c r="B145" t="s" s="53">
        <v>283</v>
      </c>
      <c r="C145" t="s" s="53">
        <v>215</v>
      </c>
      <c r="D145" s="54">
        <v>42.7302569981595</v>
      </c>
      <c r="E145" s="54">
        <v>-73.679016368517</v>
      </c>
      <c r="F145" s="55">
        <f>_xlfn.COUNTIFS('Connections'!$B$6:$B$589,A145)+_xlfn.COUNTIFS('Connections'!$C$6:$C$589,A145)</f>
        <v>2</v>
      </c>
      <c r="G145" s="55">
        <f>_xlfn.COUNTIFS('Connections'!$B$6:$B$589,A145,'Connections'!$D$6:$D$589,"TRUE")+_xlfn.COUNTIFS('Connections'!$C$6:$C$589,A145,'Connections'!$D$6:$D$589,"TRUE")</f>
        <v>2</v>
      </c>
      <c r="H145" t="s" s="48">
        <v>69</v>
      </c>
      <c r="I145" t="s" s="48">
        <v>70</v>
      </c>
      <c r="J145" s="49"/>
      <c r="K145" s="50"/>
      <c r="L145" s="56"/>
      <c r="M145" t="s" s="53">
        <v>217</v>
      </c>
      <c r="N145" s="57">
        <v>68</v>
      </c>
      <c r="O145" s="44"/>
    </row>
    <row r="146" ht="23.1" customHeight="1">
      <c r="A146" t="s" s="21">
        <v>284</v>
      </c>
      <c r="B146" t="s" s="45">
        <v>284</v>
      </c>
      <c r="C146" t="s" s="45">
        <v>215</v>
      </c>
      <c r="D146" s="46">
        <v>42.7298972005513</v>
      </c>
      <c r="E146" s="46">
        <v>-73.6793490205946</v>
      </c>
      <c r="F146" s="47">
        <f>_xlfn.COUNTIFS('Connections'!$B$6:$B$589,A146)+_xlfn.COUNTIFS('Connections'!$C$6:$C$589,A146)</f>
        <v>2</v>
      </c>
      <c r="G146" s="47">
        <f>_xlfn.COUNTIFS('Connections'!$B$6:$B$589,A146,'Connections'!$D$6:$D$589,"TRUE")+_xlfn.COUNTIFS('Connections'!$C$6:$C$589,A146,'Connections'!$D$6:$D$589,"TRUE")</f>
        <v>2</v>
      </c>
      <c r="H146" t="s" s="48">
        <v>69</v>
      </c>
      <c r="I146" t="s" s="48">
        <v>70</v>
      </c>
      <c r="J146" s="49"/>
      <c r="K146" s="50"/>
      <c r="L146" s="51"/>
      <c r="M146" t="s" s="45">
        <v>217</v>
      </c>
      <c r="N146" s="52">
        <v>69</v>
      </c>
      <c r="O146" s="44"/>
    </row>
    <row r="147" ht="23.1" customHeight="1">
      <c r="A147" t="s" s="24">
        <v>285</v>
      </c>
      <c r="B147" t="s" s="53">
        <v>285</v>
      </c>
      <c r="C147" t="s" s="53">
        <v>215</v>
      </c>
      <c r="D147" s="54">
        <v>42.7299891616013</v>
      </c>
      <c r="E147" s="54">
        <v>-73.6806080052522</v>
      </c>
      <c r="F147" s="55">
        <f>_xlfn.COUNTIFS('Connections'!$B$6:$B$589,A147)+_xlfn.COUNTIFS('Connections'!$C$6:$C$589,A147)</f>
        <v>3</v>
      </c>
      <c r="G147" s="55">
        <f>_xlfn.COUNTIFS('Connections'!$B$6:$B$589,A147,'Connections'!$D$6:$D$589,"TRUE")+_xlfn.COUNTIFS('Connections'!$C$6:$C$589,A147,'Connections'!$D$6:$D$589,"TRUE")</f>
        <v>2</v>
      </c>
      <c r="H147" t="s" s="48">
        <v>69</v>
      </c>
      <c r="I147" t="s" s="48">
        <v>70</v>
      </c>
      <c r="J147" s="49"/>
      <c r="K147" s="50"/>
      <c r="L147" s="56"/>
      <c r="M147" t="s" s="53">
        <v>217</v>
      </c>
      <c r="N147" s="57">
        <v>70</v>
      </c>
      <c r="O147" s="44"/>
    </row>
    <row r="148" ht="23.1" customHeight="1">
      <c r="A148" t="s" s="21">
        <v>286</v>
      </c>
      <c r="B148" t="s" s="45">
        <v>286</v>
      </c>
      <c r="C148" t="s" s="45">
        <v>215</v>
      </c>
      <c r="D148" s="46">
        <v>42.7303650523933</v>
      </c>
      <c r="E148" s="46">
        <v>-73.6808690336768</v>
      </c>
      <c r="F148" s="47">
        <f>_xlfn.COUNTIFS('Connections'!$B$6:$B$589,A148)+_xlfn.COUNTIFS('Connections'!$C$6:$C$589,A148)</f>
        <v>3</v>
      </c>
      <c r="G148" s="47">
        <f>_xlfn.COUNTIFS('Connections'!$B$6:$B$589,A148,'Connections'!$D$6:$D$589,"TRUE")+_xlfn.COUNTIFS('Connections'!$C$6:$C$589,A148,'Connections'!$D$6:$D$589,"TRUE")</f>
        <v>2</v>
      </c>
      <c r="H148" t="s" s="48">
        <v>69</v>
      </c>
      <c r="I148" t="s" s="48">
        <v>70</v>
      </c>
      <c r="J148" s="49"/>
      <c r="K148" s="50"/>
      <c r="L148" s="51"/>
      <c r="M148" t="s" s="45">
        <v>217</v>
      </c>
      <c r="N148" s="52">
        <v>71</v>
      </c>
      <c r="O148" s="44"/>
    </row>
    <row r="149" ht="23.1" customHeight="1">
      <c r="A149" t="s" s="24">
        <v>287</v>
      </c>
      <c r="B149" t="s" s="53">
        <v>287</v>
      </c>
      <c r="C149" t="s" s="53">
        <v>215</v>
      </c>
      <c r="D149" s="54">
        <v>42.7307524383165</v>
      </c>
      <c r="E149" s="54">
        <v>-73.6803278771868</v>
      </c>
      <c r="F149" s="55">
        <f>_xlfn.COUNTIFS('Connections'!$B$6:$B$589,A149)+_xlfn.COUNTIFS('Connections'!$C$6:$C$589,A149)</f>
        <v>3</v>
      </c>
      <c r="G149" s="55">
        <f>_xlfn.COUNTIFS('Connections'!$B$6:$B$589,A149,'Connections'!$D$6:$D$589,"TRUE")+_xlfn.COUNTIFS('Connections'!$C$6:$C$589,A149,'Connections'!$D$6:$D$589,"TRUE")</f>
        <v>3</v>
      </c>
      <c r="H149" t="s" s="48">
        <v>69</v>
      </c>
      <c r="I149" t="s" s="48">
        <v>70</v>
      </c>
      <c r="J149" s="49"/>
      <c r="K149" s="50"/>
      <c r="L149" s="56"/>
      <c r="M149" t="s" s="53">
        <v>217</v>
      </c>
      <c r="N149" s="57">
        <v>72</v>
      </c>
      <c r="O149" s="44"/>
    </row>
    <row r="150" ht="23.1" customHeight="1">
      <c r="A150" t="s" s="21">
        <v>288</v>
      </c>
      <c r="B150" t="s" s="45">
        <v>288</v>
      </c>
      <c r="C150" t="s" s="45">
        <v>215</v>
      </c>
      <c r="D150" s="46">
        <v>42.7308168110516</v>
      </c>
      <c r="E150" s="46">
        <v>-73.68091678277889</v>
      </c>
      <c r="F150" s="47">
        <f>_xlfn.COUNTIFS('Connections'!$B$6:$B$589,A150)+_xlfn.COUNTIFS('Connections'!$C$6:$C$589,A150)</f>
        <v>4</v>
      </c>
      <c r="G150" s="47">
        <f>_xlfn.COUNTIFS('Connections'!$B$6:$B$589,A150,'Connections'!$D$6:$D$589,"TRUE")+_xlfn.COUNTIFS('Connections'!$C$6:$C$589,A150,'Connections'!$D$6:$D$589,"TRUE")</f>
        <v>4</v>
      </c>
      <c r="H150" t="s" s="48">
        <v>69</v>
      </c>
      <c r="I150" t="s" s="48">
        <v>70</v>
      </c>
      <c r="J150" s="49"/>
      <c r="K150" s="50"/>
      <c r="L150" s="51"/>
      <c r="M150" t="s" s="45">
        <v>217</v>
      </c>
      <c r="N150" s="52">
        <v>73</v>
      </c>
      <c r="O150" s="44"/>
    </row>
    <row r="151" ht="23.1" customHeight="1">
      <c r="A151" t="s" s="24">
        <v>289</v>
      </c>
      <c r="B151" t="s" s="53">
        <v>289</v>
      </c>
      <c r="C151" t="s" s="53">
        <v>215</v>
      </c>
      <c r="D151" s="54">
        <v>42.7306880655815</v>
      </c>
      <c r="E151" s="54">
        <v>-73.6798249199785</v>
      </c>
      <c r="F151" s="55">
        <f>_xlfn.COUNTIFS('Connections'!$B$6:$B$589,A151)+_xlfn.COUNTIFS('Connections'!$C$6:$C$589,A151)</f>
        <v>4</v>
      </c>
      <c r="G151" s="55">
        <f>_xlfn.COUNTIFS('Connections'!$B$6:$B$589,A151,'Connections'!$D$6:$D$589,"TRUE")+_xlfn.COUNTIFS('Connections'!$C$6:$C$589,A151,'Connections'!$D$6:$D$589,"TRUE")</f>
        <v>4</v>
      </c>
      <c r="H151" t="s" s="48">
        <v>69</v>
      </c>
      <c r="I151" t="s" s="48">
        <v>70</v>
      </c>
      <c r="J151" s="49"/>
      <c r="K151" s="50"/>
      <c r="L151" s="56"/>
      <c r="M151" t="s" s="53">
        <v>217</v>
      </c>
      <c r="N151" s="57">
        <v>74</v>
      </c>
      <c r="O151" s="44"/>
    </row>
    <row r="152" ht="23.1" customHeight="1">
      <c r="A152" t="s" s="21">
        <v>290</v>
      </c>
      <c r="B152" t="s" s="45">
        <v>290</v>
      </c>
      <c r="C152" t="s" s="45">
        <v>215</v>
      </c>
      <c r="D152" s="46">
        <v>42.7296443076638</v>
      </c>
      <c r="E152" s="46">
        <v>-73.679659389758</v>
      </c>
      <c r="F152" s="47">
        <f>_xlfn.COUNTIFS('Connections'!$B$6:$B$589,A152)+_xlfn.COUNTIFS('Connections'!$C$6:$C$589,A152)</f>
        <v>3</v>
      </c>
      <c r="G152" s="47">
        <f>_xlfn.COUNTIFS('Connections'!$B$6:$B$589,A152,'Connections'!$D$6:$D$589,"TRUE")+_xlfn.COUNTIFS('Connections'!$C$6:$C$589,A152,'Connections'!$D$6:$D$589,"TRUE")</f>
        <v>2</v>
      </c>
      <c r="H152" t="s" s="48">
        <v>69</v>
      </c>
      <c r="I152" t="s" s="48">
        <v>70</v>
      </c>
      <c r="J152" s="49"/>
      <c r="K152" s="50"/>
      <c r="L152" s="51"/>
      <c r="M152" t="s" s="45">
        <v>217</v>
      </c>
      <c r="N152" s="52">
        <v>75</v>
      </c>
      <c r="O152" s="44"/>
    </row>
    <row r="153" ht="23.1" customHeight="1">
      <c r="A153" t="s" s="24">
        <v>291</v>
      </c>
      <c r="B153" t="s" s="53">
        <v>291</v>
      </c>
      <c r="C153" t="s" s="53">
        <v>215</v>
      </c>
      <c r="D153" s="54">
        <v>42.7299167422744</v>
      </c>
      <c r="E153" s="54">
        <v>-73.6796959974029</v>
      </c>
      <c r="F153" s="55">
        <f>_xlfn.COUNTIFS('Connections'!$B$6:$B$589,A153)+_xlfn.COUNTIFS('Connections'!$C$6:$C$589,A153)</f>
        <v>3</v>
      </c>
      <c r="G153" s="55">
        <f>_xlfn.COUNTIFS('Connections'!$B$6:$B$589,A153,'Connections'!$D$6:$D$589,"TRUE")+_xlfn.COUNTIFS('Connections'!$C$6:$C$589,A153,'Connections'!$D$6:$D$589,"TRUE")</f>
        <v>3</v>
      </c>
      <c r="H153" t="s" s="48">
        <v>69</v>
      </c>
      <c r="I153" t="s" s="48">
        <v>70</v>
      </c>
      <c r="J153" s="49"/>
      <c r="K153" s="50"/>
      <c r="L153" s="56"/>
      <c r="M153" t="s" s="53">
        <v>217</v>
      </c>
      <c r="N153" s="57">
        <v>76</v>
      </c>
      <c r="O153" s="44"/>
    </row>
    <row r="154" ht="23.1" customHeight="1">
      <c r="A154" t="s" s="21">
        <v>292</v>
      </c>
      <c r="B154" t="s" s="45">
        <v>292</v>
      </c>
      <c r="C154" t="s" s="45">
        <v>215</v>
      </c>
      <c r="D154" s="46">
        <v>42.7296845406231</v>
      </c>
      <c r="E154" s="46">
        <v>-73.6801575720561</v>
      </c>
      <c r="F154" s="47">
        <f>_xlfn.COUNTIFS('Connections'!$B$6:$B$589,A154)+_xlfn.COUNTIFS('Connections'!$C$6:$C$589,A154)</f>
        <v>3</v>
      </c>
      <c r="G154" s="47">
        <f>_xlfn.COUNTIFS('Connections'!$B$6:$B$589,A154,'Connections'!$D$6:$D$589,"TRUE")+_xlfn.COUNTIFS('Connections'!$C$6:$C$589,A154,'Connections'!$D$6:$D$589,"TRUE")</f>
        <v>3</v>
      </c>
      <c r="H154" t="s" s="48">
        <v>69</v>
      </c>
      <c r="I154" t="s" s="48">
        <v>70</v>
      </c>
      <c r="J154" s="49"/>
      <c r="K154" s="50"/>
      <c r="L154" s="51"/>
      <c r="M154" t="s" s="45">
        <v>217</v>
      </c>
      <c r="N154" s="52">
        <v>77</v>
      </c>
      <c r="O154" s="44"/>
    </row>
    <row r="155" ht="23.1" customHeight="1">
      <c r="A155" t="s" s="24">
        <v>293</v>
      </c>
      <c r="B155" t="s" s="53">
        <v>293</v>
      </c>
      <c r="C155" t="s" s="53">
        <v>215</v>
      </c>
      <c r="D155" s="54">
        <v>42.7297902958307</v>
      </c>
      <c r="E155" s="54">
        <v>-73.68095975697069</v>
      </c>
      <c r="F155" s="55">
        <f>_xlfn.COUNTIFS('Connections'!$B$6:$B$589,A155)+_xlfn.COUNTIFS('Connections'!$C$6:$C$589,A155)</f>
        <v>4</v>
      </c>
      <c r="G155" s="55">
        <f>_xlfn.COUNTIFS('Connections'!$B$6:$B$589,A155,'Connections'!$D$6:$D$589,"TRUE")+_xlfn.COUNTIFS('Connections'!$C$6:$C$589,A155,'Connections'!$D$6:$D$589,"TRUE")</f>
        <v>4</v>
      </c>
      <c r="H155" t="s" s="48">
        <v>69</v>
      </c>
      <c r="I155" t="s" s="48">
        <v>70</v>
      </c>
      <c r="J155" s="49"/>
      <c r="K155" s="50"/>
      <c r="L155" s="56"/>
      <c r="M155" t="s" s="53">
        <v>217</v>
      </c>
      <c r="N155" s="57">
        <v>78</v>
      </c>
      <c r="O155" s="44"/>
    </row>
    <row r="156" ht="23.1" customHeight="1">
      <c r="A156" t="s" s="21">
        <v>294</v>
      </c>
      <c r="B156" t="s" s="45">
        <v>294</v>
      </c>
      <c r="C156" t="s" s="45">
        <v>215</v>
      </c>
      <c r="D156" s="46">
        <v>42.7304604619827</v>
      </c>
      <c r="E156" s="46">
        <v>-73.6789542946843</v>
      </c>
      <c r="F156" s="47">
        <f>_xlfn.COUNTIFS('Connections'!$B$6:$B$589,A156)+_xlfn.COUNTIFS('Connections'!$C$6:$C$589,A156)</f>
        <v>3</v>
      </c>
      <c r="G156" s="47">
        <f>_xlfn.COUNTIFS('Connections'!$B$6:$B$589,A156,'Connections'!$D$6:$D$589,"TRUE")+_xlfn.COUNTIFS('Connections'!$C$6:$C$589,A156,'Connections'!$D$6:$D$589,"TRUE")</f>
        <v>2</v>
      </c>
      <c r="H156" t="s" s="48">
        <v>69</v>
      </c>
      <c r="I156" t="s" s="48">
        <v>70</v>
      </c>
      <c r="J156" s="49"/>
      <c r="K156" s="50"/>
      <c r="L156" s="51"/>
      <c r="M156" t="s" s="45">
        <v>217</v>
      </c>
      <c r="N156" s="52">
        <v>79</v>
      </c>
      <c r="O156" s="44"/>
    </row>
    <row r="157" ht="23.1" customHeight="1">
      <c r="A157" t="s" s="24">
        <v>295</v>
      </c>
      <c r="B157" t="s" s="53">
        <v>295</v>
      </c>
      <c r="C157" t="s" s="53">
        <v>215</v>
      </c>
      <c r="D157" s="54">
        <v>42.7304294251283</v>
      </c>
      <c r="E157" s="54">
        <v>-73.6785516105903</v>
      </c>
      <c r="F157" s="55">
        <f>_xlfn.COUNTIFS('Connections'!$B$6:$B$589,A157)+_xlfn.COUNTIFS('Connections'!$C$6:$C$589,A157)</f>
        <v>3</v>
      </c>
      <c r="G157" s="55">
        <f>_xlfn.COUNTIFS('Connections'!$B$6:$B$589,A157,'Connections'!$D$6:$D$589,"TRUE")+_xlfn.COUNTIFS('Connections'!$C$6:$C$589,A157,'Connections'!$D$6:$D$589,"TRUE")</f>
        <v>1</v>
      </c>
      <c r="H157" t="s" s="48">
        <v>69</v>
      </c>
      <c r="I157" t="s" s="48">
        <v>70</v>
      </c>
      <c r="J157" s="49"/>
      <c r="K157" s="50"/>
      <c r="L157" s="56"/>
      <c r="M157" t="s" s="53">
        <v>217</v>
      </c>
      <c r="N157" s="57">
        <v>80</v>
      </c>
      <c r="O157" s="44"/>
    </row>
    <row r="158" ht="23.1" customHeight="1">
      <c r="A158" t="s" s="21">
        <v>296</v>
      </c>
      <c r="B158" t="s" s="45">
        <v>296</v>
      </c>
      <c r="C158" t="s" s="45">
        <v>215</v>
      </c>
      <c r="D158" s="46">
        <v>42.7309283138247</v>
      </c>
      <c r="E158" s="46">
        <v>-73.678414729831</v>
      </c>
      <c r="F158" s="47">
        <f>_xlfn.COUNTIFS('Connections'!$B$6:$B$589,A158)+_xlfn.COUNTIFS('Connections'!$C$6:$C$589,A158)</f>
        <v>3</v>
      </c>
      <c r="G158" s="47">
        <f>_xlfn.COUNTIFS('Connections'!$B$6:$B$589,A158,'Connections'!$D$6:$D$589,"TRUE")+_xlfn.COUNTIFS('Connections'!$C$6:$C$589,A158,'Connections'!$D$6:$D$589,"TRUE")</f>
        <v>2</v>
      </c>
      <c r="H158" t="s" s="48">
        <v>69</v>
      </c>
      <c r="I158" t="s" s="48">
        <v>70</v>
      </c>
      <c r="J158" s="49"/>
      <c r="K158" s="50"/>
      <c r="L158" s="51"/>
      <c r="M158" t="s" s="45">
        <v>217</v>
      </c>
      <c r="N158" s="52">
        <v>81</v>
      </c>
      <c r="O158" s="44"/>
    </row>
    <row r="159" ht="23.1" customHeight="1">
      <c r="A159" t="s" s="24">
        <v>297</v>
      </c>
      <c r="B159" t="s" s="53">
        <v>297</v>
      </c>
      <c r="C159" t="s" s="53">
        <v>215</v>
      </c>
      <c r="D159" s="54">
        <v>42.730609898689</v>
      </c>
      <c r="E159" s="54">
        <v>-73.6811666697463</v>
      </c>
      <c r="F159" s="55">
        <f>_xlfn.COUNTIFS('Connections'!$B$6:$B$589,A159)+_xlfn.COUNTIFS('Connections'!$C$6:$C$589,A159)</f>
        <v>5</v>
      </c>
      <c r="G159" s="55">
        <f>_xlfn.COUNTIFS('Connections'!$B$6:$B$589,A159,'Connections'!$D$6:$D$589,"TRUE")+_xlfn.COUNTIFS('Connections'!$C$6:$C$589,A159,'Connections'!$D$6:$D$589,"TRUE")</f>
        <v>5</v>
      </c>
      <c r="H159" t="s" s="48">
        <v>69</v>
      </c>
      <c r="I159" t="s" s="48">
        <v>70</v>
      </c>
      <c r="J159" s="49"/>
      <c r="K159" s="50"/>
      <c r="L159" s="56"/>
      <c r="M159" t="s" s="53">
        <v>217</v>
      </c>
      <c r="N159" s="57">
        <v>82</v>
      </c>
      <c r="O159" s="44"/>
    </row>
    <row r="160" ht="23.1" customHeight="1">
      <c r="A160" t="s" s="21">
        <v>298</v>
      </c>
      <c r="B160" t="s" s="45">
        <v>298</v>
      </c>
      <c r="C160" t="s" s="45">
        <v>215</v>
      </c>
      <c r="D160" s="46">
        <v>42.7300064042982</v>
      </c>
      <c r="E160" s="46">
        <v>-73.68090086641151</v>
      </c>
      <c r="F160" s="47">
        <f>_xlfn.COUNTIFS('Connections'!$B$6:$B$589,A160)+_xlfn.COUNTIFS('Connections'!$C$6:$C$589,A160)</f>
        <v>3</v>
      </c>
      <c r="G160" s="47">
        <f>_xlfn.COUNTIFS('Connections'!$B$6:$B$589,A160,'Connections'!$D$6:$D$589,"TRUE")+_xlfn.COUNTIFS('Connections'!$C$6:$C$589,A160,'Connections'!$D$6:$D$589,"TRUE")</f>
        <v>2</v>
      </c>
      <c r="H160" t="s" s="48">
        <v>69</v>
      </c>
      <c r="I160" t="s" s="48">
        <v>70</v>
      </c>
      <c r="J160" s="49"/>
      <c r="K160" s="50"/>
      <c r="L160" s="51"/>
      <c r="M160" t="s" s="45">
        <v>217</v>
      </c>
      <c r="N160" s="52">
        <v>83</v>
      </c>
      <c r="O160" s="44"/>
    </row>
    <row r="161" ht="23.1" customHeight="1">
      <c r="A161" t="s" s="24">
        <v>299</v>
      </c>
      <c r="B161" t="s" s="53">
        <v>299</v>
      </c>
      <c r="C161" t="s" s="53">
        <v>215</v>
      </c>
      <c r="D161" s="54">
        <v>42.729839724895</v>
      </c>
      <c r="E161" s="54">
        <v>-73.6816330193097</v>
      </c>
      <c r="F161" s="55">
        <f>_xlfn.COUNTIFS('Connections'!$B$6:$B$589,A161)+_xlfn.COUNTIFS('Connections'!$C$6:$C$589,A161)</f>
        <v>3</v>
      </c>
      <c r="G161" s="55">
        <f>_xlfn.COUNTIFS('Connections'!$B$6:$B$589,A161,'Connections'!$D$6:$D$589,"TRUE")+_xlfn.COUNTIFS('Connections'!$C$6:$C$589,A161,'Connections'!$D$6:$D$589,"TRUE")</f>
        <v>3</v>
      </c>
      <c r="H161" t="s" s="48">
        <v>69</v>
      </c>
      <c r="I161" t="s" s="48">
        <v>70</v>
      </c>
      <c r="J161" s="49"/>
      <c r="K161" s="50"/>
      <c r="L161" s="56"/>
      <c r="M161" t="s" s="53">
        <v>217</v>
      </c>
      <c r="N161" s="57">
        <v>84</v>
      </c>
      <c r="O161" s="44"/>
    </row>
    <row r="162" ht="23.1" customHeight="1">
      <c r="A162" t="s" s="21">
        <v>300</v>
      </c>
      <c r="B162" t="s" s="45">
        <v>300</v>
      </c>
      <c r="C162" t="s" s="45">
        <v>215</v>
      </c>
      <c r="D162" s="46">
        <v>42.7297247735825</v>
      </c>
      <c r="E162" s="46">
        <v>-73.68160118657499</v>
      </c>
      <c r="F162" s="47">
        <f>_xlfn.COUNTIFS('Connections'!$B$6:$B$589,A162)+_xlfn.COUNTIFS('Connections'!$C$6:$C$589,A162)</f>
        <v>3</v>
      </c>
      <c r="G162" s="47">
        <f>_xlfn.COUNTIFS('Connections'!$B$6:$B$589,A162,'Connections'!$D$6:$D$589,"TRUE")+_xlfn.COUNTIFS('Connections'!$C$6:$C$589,A162,'Connections'!$D$6:$D$589,"TRUE")</f>
        <v>3</v>
      </c>
      <c r="H162" t="s" s="48">
        <v>69</v>
      </c>
      <c r="I162" t="s" s="48">
        <v>70</v>
      </c>
      <c r="J162" s="49"/>
      <c r="K162" s="50"/>
      <c r="L162" s="51"/>
      <c r="M162" t="s" s="45">
        <v>217</v>
      </c>
      <c r="N162" s="52">
        <v>85</v>
      </c>
      <c r="O162" s="44"/>
    </row>
    <row r="163" ht="23.1" customHeight="1">
      <c r="A163" t="s" s="24">
        <v>301</v>
      </c>
      <c r="B163" t="s" s="53">
        <v>301</v>
      </c>
      <c r="C163" t="s" s="53">
        <v>215</v>
      </c>
      <c r="D163" s="54">
        <v>42.7297247735825</v>
      </c>
      <c r="E163" s="54">
        <v>-73.6817921829833</v>
      </c>
      <c r="F163" s="55">
        <f>_xlfn.COUNTIFS('Connections'!$B$6:$B$589,A163)+_xlfn.COUNTIFS('Connections'!$C$6:$C$589,A163)</f>
        <v>3</v>
      </c>
      <c r="G163" s="55">
        <f>_xlfn.COUNTIFS('Connections'!$B$6:$B$589,A163,'Connections'!$D$6:$D$589,"TRUE")+_xlfn.COUNTIFS('Connections'!$C$6:$C$589,A163,'Connections'!$D$6:$D$589,"TRUE")</f>
        <v>3</v>
      </c>
      <c r="H163" t="s" s="48">
        <v>69</v>
      </c>
      <c r="I163" t="s" s="48">
        <v>70</v>
      </c>
      <c r="J163" s="49"/>
      <c r="K163" s="50"/>
      <c r="L163" s="56"/>
      <c r="M163" t="s" s="53">
        <v>217</v>
      </c>
      <c r="N163" s="57">
        <v>86</v>
      </c>
      <c r="O163" s="44"/>
    </row>
    <row r="164" ht="23.1" customHeight="1">
      <c r="A164" t="s" s="21">
        <v>302</v>
      </c>
      <c r="B164" t="s" s="45">
        <v>302</v>
      </c>
      <c r="C164" t="s" s="45">
        <v>215</v>
      </c>
      <c r="D164" s="46">
        <v>42.729839724895</v>
      </c>
      <c r="E164" s="46">
        <v>-73.6817921829833</v>
      </c>
      <c r="F164" s="47">
        <f>_xlfn.COUNTIFS('Connections'!$B$6:$B$589,A164)+_xlfn.COUNTIFS('Connections'!$C$6:$C$589,A164)</f>
        <v>3</v>
      </c>
      <c r="G164" s="47">
        <f>_xlfn.COUNTIFS('Connections'!$B$6:$B$589,A164,'Connections'!$D$6:$D$589,"TRUE")+_xlfn.COUNTIFS('Connections'!$C$6:$C$589,A164,'Connections'!$D$6:$D$589,"TRUE")</f>
        <v>3</v>
      </c>
      <c r="H164" t="s" s="48">
        <v>69</v>
      </c>
      <c r="I164" t="s" s="48">
        <v>70</v>
      </c>
      <c r="J164" s="49"/>
      <c r="K164" s="50"/>
      <c r="L164" s="51"/>
      <c r="M164" t="s" s="45">
        <v>217</v>
      </c>
      <c r="N164" s="52">
        <v>87</v>
      </c>
      <c r="O164" s="44"/>
    </row>
    <row r="165" ht="23.1" customHeight="1">
      <c r="A165" t="s" s="24">
        <v>303</v>
      </c>
      <c r="B165" t="s" s="53">
        <v>303</v>
      </c>
      <c r="C165" t="s" s="53">
        <v>215</v>
      </c>
      <c r="D165" s="54">
        <v>42.7300121518638</v>
      </c>
      <c r="E165" s="54">
        <v>-73.6816966847791</v>
      </c>
      <c r="F165" s="55">
        <f>_xlfn.COUNTIFS('Connections'!$B$6:$B$589,A165)+_xlfn.COUNTIFS('Connections'!$C$6:$C$589,A165)</f>
        <v>3</v>
      </c>
      <c r="G165" s="55">
        <f>_xlfn.COUNTIFS('Connections'!$B$6:$B$589,A165,'Connections'!$D$6:$D$589,"TRUE")+_xlfn.COUNTIFS('Connections'!$C$6:$C$589,A165,'Connections'!$D$6:$D$589,"TRUE")</f>
        <v>3</v>
      </c>
      <c r="H165" t="s" s="48">
        <v>69</v>
      </c>
      <c r="I165" t="s" s="48">
        <v>70</v>
      </c>
      <c r="J165" s="49"/>
      <c r="K165" s="50"/>
      <c r="L165" s="56"/>
      <c r="M165" t="s" s="53">
        <v>217</v>
      </c>
      <c r="N165" s="57">
        <v>88</v>
      </c>
      <c r="O165" s="44"/>
    </row>
    <row r="166" ht="23.1" customHeight="1">
      <c r="A166" t="s" s="21">
        <v>304</v>
      </c>
      <c r="B166" t="s" s="45">
        <v>304</v>
      </c>
      <c r="C166" t="s" s="45">
        <v>215</v>
      </c>
      <c r="D166" s="46">
        <v>42.7301776817539</v>
      </c>
      <c r="E166" s="46">
        <v>-73.6817126011465</v>
      </c>
      <c r="F166" s="47">
        <f>_xlfn.COUNTIFS('Connections'!$B$6:$B$589,A166)+_xlfn.COUNTIFS('Connections'!$C$6:$C$589,A166)</f>
        <v>5</v>
      </c>
      <c r="G166" s="47">
        <f>_xlfn.COUNTIFS('Connections'!$B$6:$B$589,A166,'Connections'!$D$6:$D$589,"TRUE")+_xlfn.COUNTIFS('Connections'!$C$6:$C$589,A166,'Connections'!$D$6:$D$589,"TRUE")</f>
        <v>5</v>
      </c>
      <c r="H166" t="s" s="48">
        <v>69</v>
      </c>
      <c r="I166" t="s" s="48">
        <v>70</v>
      </c>
      <c r="J166" s="49"/>
      <c r="K166" s="50"/>
      <c r="L166" s="51"/>
      <c r="M166" t="s" s="45">
        <v>217</v>
      </c>
      <c r="N166" s="52">
        <v>89</v>
      </c>
      <c r="O166" s="44"/>
    </row>
    <row r="167" ht="23.1" customHeight="1">
      <c r="A167" t="s" s="24">
        <v>305</v>
      </c>
      <c r="B167" t="s" s="53">
        <v>305</v>
      </c>
      <c r="C167" t="s" s="53">
        <v>215</v>
      </c>
      <c r="D167" s="54">
        <v>42.7298822568807</v>
      </c>
      <c r="E167" s="54">
        <v>-73.6816998680526</v>
      </c>
      <c r="F167" s="55">
        <f>_xlfn.COUNTIFS('Connections'!$B$6:$B$589,A167)+_xlfn.COUNTIFS('Connections'!$C$6:$C$589,A167)</f>
        <v>3</v>
      </c>
      <c r="G167" s="55">
        <f>_xlfn.COUNTIFS('Connections'!$B$6:$B$589,A167,'Connections'!$D$6:$D$589,"TRUE")+_xlfn.COUNTIFS('Connections'!$C$6:$C$589,A167,'Connections'!$D$6:$D$589,"TRUE")</f>
        <v>3</v>
      </c>
      <c r="H167" t="s" s="48">
        <v>69</v>
      </c>
      <c r="I167" t="s" s="48">
        <v>70</v>
      </c>
      <c r="J167" s="49"/>
      <c r="K167" s="50"/>
      <c r="L167" s="56"/>
      <c r="M167" t="s" s="53">
        <v>217</v>
      </c>
      <c r="N167" s="57">
        <v>90</v>
      </c>
      <c r="O167" s="44"/>
    </row>
    <row r="168" ht="23.1" customHeight="1">
      <c r="A168" t="s" s="21">
        <v>306</v>
      </c>
      <c r="B168" t="s" s="45">
        <v>306</v>
      </c>
      <c r="C168" t="s" s="45">
        <v>215</v>
      </c>
      <c r="D168" s="46">
        <v>42.7303719494721</v>
      </c>
      <c r="E168" s="46">
        <v>-73.68174443388121</v>
      </c>
      <c r="F168" s="47">
        <f>_xlfn.COUNTIFS('Connections'!$B$6:$B$589,A168)+_xlfn.COUNTIFS('Connections'!$C$6:$C$589,A168)</f>
        <v>2</v>
      </c>
      <c r="G168" s="47">
        <f>_xlfn.COUNTIFS('Connections'!$B$6:$B$589,A168,'Connections'!$D$6:$D$589,"TRUE")+_xlfn.COUNTIFS('Connections'!$C$6:$C$589,A168,'Connections'!$D$6:$D$589,"TRUE")</f>
        <v>2</v>
      </c>
      <c r="H168" t="s" s="48">
        <v>69</v>
      </c>
      <c r="I168" t="s" s="48">
        <v>70</v>
      </c>
      <c r="J168" s="49"/>
      <c r="K168" s="50"/>
      <c r="L168" s="51"/>
      <c r="M168" t="s" s="45">
        <v>217</v>
      </c>
      <c r="N168" s="52">
        <v>91</v>
      </c>
      <c r="O168" s="44"/>
    </row>
    <row r="169" ht="23.1" customHeight="1">
      <c r="A169" t="s" s="24">
        <v>307</v>
      </c>
      <c r="B169" t="s" s="53">
        <v>307</v>
      </c>
      <c r="C169" t="s" s="53">
        <v>215</v>
      </c>
      <c r="D169" s="54">
        <v>42.730425976589</v>
      </c>
      <c r="E169" s="54">
        <v>-73.68157253711379</v>
      </c>
      <c r="F169" s="55">
        <f>_xlfn.COUNTIFS('Connections'!$B$6:$B$589,A169)+_xlfn.COUNTIFS('Connections'!$C$6:$C$589,A169)</f>
        <v>3</v>
      </c>
      <c r="G169" s="55">
        <f>_xlfn.COUNTIFS('Connections'!$B$6:$B$589,A169,'Connections'!$D$6:$D$589,"TRUE")+_xlfn.COUNTIFS('Connections'!$C$6:$C$589,A169,'Connections'!$D$6:$D$589,"TRUE")</f>
        <v>3</v>
      </c>
      <c r="H169" t="s" s="48">
        <v>69</v>
      </c>
      <c r="I169" t="s" s="48">
        <v>70</v>
      </c>
      <c r="J169" s="49"/>
      <c r="K169" s="50"/>
      <c r="L169" s="56"/>
      <c r="M169" t="s" s="53">
        <v>217</v>
      </c>
      <c r="N169" s="57">
        <v>92</v>
      </c>
      <c r="O169" s="44"/>
    </row>
    <row r="170" ht="23.1" customHeight="1">
      <c r="A170" t="s" s="21">
        <v>308</v>
      </c>
      <c r="B170" t="s" s="45">
        <v>308</v>
      </c>
      <c r="C170" t="s" s="45">
        <v>215</v>
      </c>
      <c r="D170" s="46">
        <v>42.7303236699208</v>
      </c>
      <c r="E170" s="46">
        <v>-73.6814738556362</v>
      </c>
      <c r="F170" s="47">
        <f>_xlfn.COUNTIFS('Connections'!$B$6:$B$589,A170)+_xlfn.COUNTIFS('Connections'!$C$6:$C$589,A170)</f>
        <v>4</v>
      </c>
      <c r="G170" s="47">
        <f>_xlfn.COUNTIFS('Connections'!$B$6:$B$589,A170,'Connections'!$D$6:$D$589,"TRUE")+_xlfn.COUNTIFS('Connections'!$C$6:$C$589,A170,'Connections'!$D$6:$D$589,"TRUE")</f>
        <v>4</v>
      </c>
      <c r="H170" t="s" s="48">
        <v>69</v>
      </c>
      <c r="I170" t="s" s="48">
        <v>70</v>
      </c>
      <c r="J170" s="49"/>
      <c r="K170" s="50"/>
      <c r="L170" s="51"/>
      <c r="M170" t="s" s="45">
        <v>217</v>
      </c>
      <c r="N170" s="52">
        <v>93</v>
      </c>
      <c r="O170" s="44"/>
    </row>
    <row r="171" ht="23.1" customHeight="1">
      <c r="A171" t="s" s="24">
        <v>309</v>
      </c>
      <c r="B171" t="s" s="53">
        <v>309</v>
      </c>
      <c r="C171" t="s" s="53">
        <v>215</v>
      </c>
      <c r="D171" s="54">
        <v>42.7301466448995</v>
      </c>
      <c r="E171" s="54">
        <v>-73.6812303352157</v>
      </c>
      <c r="F171" s="55">
        <f>_xlfn.COUNTIFS('Connections'!$B$6:$B$589,A171)+_xlfn.COUNTIFS('Connections'!$C$6:$C$589,A171)</f>
        <v>4</v>
      </c>
      <c r="G171" s="55">
        <f>_xlfn.COUNTIFS('Connections'!$B$6:$B$589,A171,'Connections'!$D$6:$D$589,"TRUE")+_xlfn.COUNTIFS('Connections'!$C$6:$C$589,A171,'Connections'!$D$6:$D$589,"TRUE")</f>
        <v>4</v>
      </c>
      <c r="H171" t="s" s="48">
        <v>69</v>
      </c>
      <c r="I171" t="s" s="48">
        <v>70</v>
      </c>
      <c r="J171" s="49"/>
      <c r="K171" s="50"/>
      <c r="L171" s="56"/>
      <c r="M171" t="s" s="53">
        <v>217</v>
      </c>
      <c r="N171" s="57">
        <v>94</v>
      </c>
      <c r="O171" s="44"/>
    </row>
    <row r="172" ht="23.1" customHeight="1">
      <c r="A172" t="s" s="21">
        <v>310</v>
      </c>
      <c r="B172" t="s" s="45">
        <v>310</v>
      </c>
      <c r="C172" t="s" s="45">
        <v>215</v>
      </c>
      <c r="D172" s="46">
        <v>42.7303730989852</v>
      </c>
      <c r="E172" s="46">
        <v>-73.68118258611359</v>
      </c>
      <c r="F172" s="47">
        <f>_xlfn.COUNTIFS('Connections'!$B$6:$B$589,A172)+_xlfn.COUNTIFS('Connections'!$C$6:$C$589,A172)</f>
        <v>3</v>
      </c>
      <c r="G172" s="47">
        <f>_xlfn.COUNTIFS('Connections'!$B$6:$B$589,A172,'Connections'!$D$6:$D$589,"TRUE")+_xlfn.COUNTIFS('Connections'!$C$6:$C$589,A172,'Connections'!$D$6:$D$589,"TRUE")</f>
        <v>2</v>
      </c>
      <c r="H172" t="s" s="48">
        <v>69</v>
      </c>
      <c r="I172" t="s" s="48">
        <v>70</v>
      </c>
      <c r="J172" s="49"/>
      <c r="K172" s="50"/>
      <c r="L172" s="51"/>
      <c r="M172" t="s" s="45">
        <v>217</v>
      </c>
      <c r="N172" s="52">
        <v>95</v>
      </c>
      <c r="O172" s="44"/>
    </row>
    <row r="173" ht="23.1" customHeight="1">
      <c r="A173" t="s" s="24">
        <v>311</v>
      </c>
      <c r="B173" t="s" s="53">
        <v>311</v>
      </c>
      <c r="C173" t="s" s="53">
        <v>215</v>
      </c>
      <c r="D173" s="54">
        <v>42.7306432345696</v>
      </c>
      <c r="E173" s="54">
        <v>-73.6817683084322</v>
      </c>
      <c r="F173" s="55">
        <f>_xlfn.COUNTIFS('Connections'!$B$6:$B$589,A173)+_xlfn.COUNTIFS('Connections'!$C$6:$C$589,A173)</f>
        <v>6</v>
      </c>
      <c r="G173" s="55">
        <f>_xlfn.COUNTIFS('Connections'!$B$6:$B$589,A173,'Connections'!$D$6:$D$589,"TRUE")+_xlfn.COUNTIFS('Connections'!$C$6:$C$589,A173,'Connections'!$D$6:$D$589,"TRUE")</f>
        <v>6</v>
      </c>
      <c r="H173" t="s" s="48">
        <v>69</v>
      </c>
      <c r="I173" t="s" s="48">
        <v>70</v>
      </c>
      <c r="J173" s="49"/>
      <c r="K173" s="50"/>
      <c r="L173" s="56"/>
      <c r="M173" t="s" s="53">
        <v>217</v>
      </c>
      <c r="N173" s="57">
        <v>96</v>
      </c>
      <c r="O173" s="44"/>
    </row>
    <row r="174" ht="23.1" customHeight="1">
      <c r="A174" t="s" s="21">
        <v>312</v>
      </c>
      <c r="B174" t="s" s="45">
        <v>312</v>
      </c>
      <c r="C174" t="s" s="45">
        <v>215</v>
      </c>
      <c r="D174" s="46">
        <v>42.7304144814577</v>
      </c>
      <c r="E174" s="46">
        <v>-73.6821105103303</v>
      </c>
      <c r="F174" s="47">
        <f>_xlfn.COUNTIFS('Connections'!$B$6:$B$589,A174)+_xlfn.COUNTIFS('Connections'!$C$6:$C$589,A174)</f>
        <v>4</v>
      </c>
      <c r="G174" s="47">
        <f>_xlfn.COUNTIFS('Connections'!$B$6:$B$589,A174,'Connections'!$D$6:$D$589,"TRUE")+_xlfn.COUNTIFS('Connections'!$C$6:$C$589,A174,'Connections'!$D$6:$D$589,"TRUE")</f>
        <v>4</v>
      </c>
      <c r="H174" t="s" s="48">
        <v>69</v>
      </c>
      <c r="I174" t="s" s="48">
        <v>70</v>
      </c>
      <c r="J174" s="49"/>
      <c r="K174" s="50"/>
      <c r="L174" s="51"/>
      <c r="M174" t="s" s="45">
        <v>217</v>
      </c>
      <c r="N174" s="52">
        <v>97</v>
      </c>
      <c r="O174" s="44"/>
    </row>
    <row r="175" ht="23.1" customHeight="1">
      <c r="A175" t="s" s="24">
        <v>313</v>
      </c>
      <c r="B175" t="s" s="53">
        <v>313</v>
      </c>
      <c r="C175" t="s" s="53">
        <v>215</v>
      </c>
      <c r="D175" s="54">
        <v>42.730545525954</v>
      </c>
      <c r="E175" s="54">
        <v>-73.6821741757997</v>
      </c>
      <c r="F175" s="55">
        <f>_xlfn.COUNTIFS('Connections'!$B$6:$B$589,A175)+_xlfn.COUNTIFS('Connections'!$C$6:$C$589,A175)</f>
        <v>3</v>
      </c>
      <c r="G175" s="55">
        <f>_xlfn.COUNTIFS('Connections'!$B$6:$B$589,A175,'Connections'!$D$6:$D$589,"TRUE")+_xlfn.COUNTIFS('Connections'!$C$6:$C$589,A175,'Connections'!$D$6:$D$589,"TRUE")</f>
        <v>3</v>
      </c>
      <c r="H175" t="s" s="48">
        <v>69</v>
      </c>
      <c r="I175" t="s" s="48">
        <v>70</v>
      </c>
      <c r="J175" s="49"/>
      <c r="K175" s="50"/>
      <c r="L175" s="56"/>
      <c r="M175" t="s" s="53">
        <v>217</v>
      </c>
      <c r="N175" s="57">
        <v>98</v>
      </c>
      <c r="O175" s="44"/>
    </row>
    <row r="176" ht="23.1" customHeight="1">
      <c r="A176" t="s" s="21">
        <v>314</v>
      </c>
      <c r="B176" t="s" s="45">
        <v>314</v>
      </c>
      <c r="C176" t="s" s="45">
        <v>215</v>
      </c>
      <c r="D176" s="46">
        <v>42.7304489668515</v>
      </c>
      <c r="E176" s="46">
        <v>-73.6826723580979</v>
      </c>
      <c r="F176" s="47">
        <f>_xlfn.COUNTIFS('Connections'!$B$6:$B$589,A176)+_xlfn.COUNTIFS('Connections'!$C$6:$C$589,A176)</f>
        <v>4</v>
      </c>
      <c r="G176" s="47">
        <f>_xlfn.COUNTIFS('Connections'!$B$6:$B$589,A176,'Connections'!$D$6:$D$589,"TRUE")+_xlfn.COUNTIFS('Connections'!$C$6:$C$589,A176,'Connections'!$D$6:$D$589,"TRUE")</f>
        <v>4</v>
      </c>
      <c r="H176" t="s" s="48">
        <v>69</v>
      </c>
      <c r="I176" t="s" s="48">
        <v>70</v>
      </c>
      <c r="J176" s="49"/>
      <c r="K176" s="50"/>
      <c r="L176" s="51"/>
      <c r="M176" t="s" s="45">
        <v>217</v>
      </c>
      <c r="N176" s="52">
        <v>99</v>
      </c>
      <c r="O176" s="44"/>
    </row>
    <row r="177" ht="23.1" customHeight="1">
      <c r="A177" t="s" s="24">
        <v>315</v>
      </c>
      <c r="B177" t="s" s="53">
        <v>315</v>
      </c>
      <c r="C177" t="s" s="53">
        <v>215</v>
      </c>
      <c r="D177" s="54">
        <v>42.7302374564364</v>
      </c>
      <c r="E177" s="54">
        <v>-73.68229195691811</v>
      </c>
      <c r="F177" s="55">
        <f>_xlfn.COUNTIFS('Connections'!$B$6:$B$589,A177)+_xlfn.COUNTIFS('Connections'!$C$6:$C$589,A177)</f>
        <v>3</v>
      </c>
      <c r="G177" s="55">
        <f>_xlfn.COUNTIFS('Connections'!$B$6:$B$589,A177,'Connections'!$D$6:$D$589,"TRUE")+_xlfn.COUNTIFS('Connections'!$C$6:$C$589,A177,'Connections'!$D$6:$D$589,"TRUE")</f>
        <v>3</v>
      </c>
      <c r="H177" t="s" s="48">
        <v>69</v>
      </c>
      <c r="I177" t="s" s="48">
        <v>70</v>
      </c>
      <c r="J177" s="49"/>
      <c r="K177" s="50"/>
      <c r="L177" s="56"/>
      <c r="M177" t="s" s="53">
        <v>217</v>
      </c>
      <c r="N177" s="57">
        <v>100</v>
      </c>
      <c r="O177" s="44"/>
    </row>
    <row r="178" ht="23.1" customHeight="1">
      <c r="A178" t="s" s="21">
        <v>316</v>
      </c>
      <c r="B178" t="s" s="45">
        <v>316</v>
      </c>
      <c r="C178" t="s" s="45">
        <v>215</v>
      </c>
      <c r="D178" s="46">
        <v>42.730628290899</v>
      </c>
      <c r="E178" s="46">
        <v>-73.68072101146041</v>
      </c>
      <c r="F178" s="47">
        <f>_xlfn.COUNTIFS('Connections'!$B$6:$B$589,A178)+_xlfn.COUNTIFS('Connections'!$C$6:$C$589,A178)</f>
        <v>3</v>
      </c>
      <c r="G178" s="47">
        <f>_xlfn.COUNTIFS('Connections'!$B$6:$B$589,A178,'Connections'!$D$6:$D$589,"TRUE")+_xlfn.COUNTIFS('Connections'!$C$6:$C$589,A178,'Connections'!$D$6:$D$589,"TRUE")</f>
        <v>3</v>
      </c>
      <c r="H178" t="s" s="48">
        <v>69</v>
      </c>
      <c r="I178" t="s" s="48">
        <v>70</v>
      </c>
      <c r="J178" s="49"/>
      <c r="K178" s="50"/>
      <c r="L178" s="51"/>
      <c r="M178" t="s" s="45">
        <v>217</v>
      </c>
      <c r="N178" s="52">
        <v>101</v>
      </c>
      <c r="O178" s="44"/>
    </row>
    <row r="179" ht="23.1" customHeight="1">
      <c r="A179" t="s" s="24">
        <v>317</v>
      </c>
      <c r="B179" t="s" s="53">
        <v>317</v>
      </c>
      <c r="C179" t="s" s="53">
        <v>215</v>
      </c>
      <c r="D179" s="54">
        <v>42.7293799196449</v>
      </c>
      <c r="E179" s="54">
        <v>-73.6813942737994</v>
      </c>
      <c r="F179" s="55">
        <f>_xlfn.COUNTIFS('Connections'!$B$6:$B$589,A179)+_xlfn.COUNTIFS('Connections'!$C$6:$C$589,A179)</f>
        <v>4</v>
      </c>
      <c r="G179" s="55">
        <f>_xlfn.COUNTIFS('Connections'!$B$6:$B$589,A179,'Connections'!$D$6:$D$589,"TRUE")+_xlfn.COUNTIFS('Connections'!$C$6:$C$589,A179,'Connections'!$D$6:$D$589,"TRUE")</f>
        <v>4</v>
      </c>
      <c r="H179" t="s" s="48">
        <v>69</v>
      </c>
      <c r="I179" t="s" s="48">
        <v>70</v>
      </c>
      <c r="J179" s="49"/>
      <c r="K179" s="50"/>
      <c r="L179" s="56"/>
      <c r="M179" t="s" s="53">
        <v>217</v>
      </c>
      <c r="N179" s="57">
        <v>102</v>
      </c>
      <c r="O179" s="44"/>
    </row>
    <row r="180" ht="23.1" customHeight="1">
      <c r="A180" t="s" s="21">
        <v>318</v>
      </c>
      <c r="B180" t="s" s="45">
        <v>318</v>
      </c>
      <c r="C180" t="s" s="45">
        <v>215</v>
      </c>
      <c r="D180" s="46">
        <v>42.7295063660887</v>
      </c>
      <c r="E180" s="46">
        <v>-73.681036155534</v>
      </c>
      <c r="F180" s="47">
        <f>_xlfn.COUNTIFS('Connections'!$B$6:$B$589,A180)+_xlfn.COUNTIFS('Connections'!$C$6:$C$589,A180)</f>
        <v>4</v>
      </c>
      <c r="G180" s="47">
        <f>_xlfn.COUNTIFS('Connections'!$B$6:$B$589,A180,'Connections'!$D$6:$D$589,"TRUE")+_xlfn.COUNTIFS('Connections'!$C$6:$C$589,A180,'Connections'!$D$6:$D$589,"TRUE")</f>
        <v>4</v>
      </c>
      <c r="H180" t="s" s="48">
        <v>69</v>
      </c>
      <c r="I180" t="s" s="48">
        <v>70</v>
      </c>
      <c r="J180" s="49"/>
      <c r="K180" s="50"/>
      <c r="L180" s="51"/>
      <c r="M180" t="s" s="45">
        <v>217</v>
      </c>
      <c r="N180" s="52">
        <v>103</v>
      </c>
      <c r="O180" s="44"/>
    </row>
    <row r="181" ht="23.1" customHeight="1">
      <c r="A181" t="s" s="24">
        <v>319</v>
      </c>
      <c r="B181" t="s" s="53">
        <v>319</v>
      </c>
      <c r="C181" t="s" s="53">
        <v>215</v>
      </c>
      <c r="D181" s="54">
        <v>42.7293799196449</v>
      </c>
      <c r="E181" s="54">
        <v>-73.6819513466568</v>
      </c>
      <c r="F181" s="55">
        <f>_xlfn.COUNTIFS('Connections'!$B$6:$B$589,A181)+_xlfn.COUNTIFS('Connections'!$C$6:$C$589,A181)</f>
        <v>3</v>
      </c>
      <c r="G181" s="55">
        <f>_xlfn.COUNTIFS('Connections'!$B$6:$B$589,A181,'Connections'!$D$6:$D$589,"TRUE")+_xlfn.COUNTIFS('Connections'!$C$6:$C$589,A181,'Connections'!$D$6:$D$589,"TRUE")</f>
        <v>3</v>
      </c>
      <c r="H181" t="s" s="48">
        <v>69</v>
      </c>
      <c r="I181" t="s" s="48">
        <v>70</v>
      </c>
      <c r="J181" s="49"/>
      <c r="K181" s="50"/>
      <c r="L181" s="56"/>
      <c r="M181" t="s" s="53">
        <v>217</v>
      </c>
      <c r="N181" s="57">
        <v>104</v>
      </c>
      <c r="O181" s="44"/>
    </row>
    <row r="182" ht="23.1" customHeight="1">
      <c r="A182" t="s" s="21">
        <v>320</v>
      </c>
      <c r="B182" t="s" s="45">
        <v>320</v>
      </c>
      <c r="C182" t="s" s="45">
        <v>215</v>
      </c>
      <c r="D182" s="46">
        <v>42.728325816109</v>
      </c>
      <c r="E182" s="46">
        <v>-73.6807528441951</v>
      </c>
      <c r="F182" s="47">
        <f>_xlfn.COUNTIFS('Connections'!$B$6:$B$589,A182)+_xlfn.COUNTIFS('Connections'!$C$6:$C$589,A182)</f>
        <v>3</v>
      </c>
      <c r="G182" s="47">
        <f>_xlfn.COUNTIFS('Connections'!$B$6:$B$589,A182,'Connections'!$D$6:$D$589,"TRUE")+_xlfn.COUNTIFS('Connections'!$C$6:$C$589,A182,'Connections'!$D$6:$D$589,"TRUE")</f>
        <v>3</v>
      </c>
      <c r="H182" t="s" s="48">
        <v>69</v>
      </c>
      <c r="I182" t="s" s="48">
        <v>70</v>
      </c>
      <c r="J182" s="49"/>
      <c r="K182" s="50"/>
      <c r="L182" s="51"/>
      <c r="M182" t="s" s="45">
        <v>217</v>
      </c>
      <c r="N182" s="52">
        <v>105</v>
      </c>
      <c r="O182" s="44"/>
    </row>
    <row r="183" ht="23.1" customHeight="1">
      <c r="A183" t="s" s="24">
        <v>321</v>
      </c>
      <c r="B183" t="s" s="53">
        <v>321</v>
      </c>
      <c r="C183" t="s" s="53">
        <v>215</v>
      </c>
      <c r="D183" s="54">
        <v>42.7295201602462</v>
      </c>
      <c r="E183" s="54">
        <v>-73.6784465625657</v>
      </c>
      <c r="F183" s="55">
        <f>_xlfn.COUNTIFS('Connections'!$B$6:$B$589,A183)+_xlfn.COUNTIFS('Connections'!$C$6:$C$589,A183)</f>
        <v>3</v>
      </c>
      <c r="G183" s="55">
        <f>_xlfn.COUNTIFS('Connections'!$B$6:$B$589,A183,'Connections'!$D$6:$D$589,"TRUE")+_xlfn.COUNTIFS('Connections'!$C$6:$C$589,A183,'Connections'!$D$6:$D$589,"TRUE")</f>
        <v>3</v>
      </c>
      <c r="H183" t="s" s="48">
        <v>69</v>
      </c>
      <c r="I183" t="s" s="48">
        <v>70</v>
      </c>
      <c r="J183" s="49"/>
      <c r="K183" s="50"/>
      <c r="L183" s="56"/>
      <c r="M183" t="s" s="53">
        <v>217</v>
      </c>
      <c r="N183" s="57">
        <v>106</v>
      </c>
      <c r="O183" s="44"/>
    </row>
    <row r="184" ht="23.1" customHeight="1">
      <c r="A184" t="s" s="21">
        <v>322</v>
      </c>
      <c r="B184" t="s" s="45">
        <v>322</v>
      </c>
      <c r="C184" t="s" s="45">
        <v>215</v>
      </c>
      <c r="D184" s="46">
        <v>42.7290005803136</v>
      </c>
      <c r="E184" s="46">
        <v>-73.6785181862188</v>
      </c>
      <c r="F184" s="47">
        <f>_xlfn.COUNTIFS('Connections'!$B$6:$B$589,A184)+_xlfn.COUNTIFS('Connections'!$C$6:$C$589,A184)</f>
        <v>3</v>
      </c>
      <c r="G184" s="47">
        <f>_xlfn.COUNTIFS('Connections'!$B$6:$B$589,A184,'Connections'!$D$6:$D$589,"TRUE")+_xlfn.COUNTIFS('Connections'!$C$6:$C$589,A184,'Connections'!$D$6:$D$589,"TRUE")</f>
        <v>3</v>
      </c>
      <c r="H184" t="s" s="48">
        <v>69</v>
      </c>
      <c r="I184" t="s" s="48">
        <v>70</v>
      </c>
      <c r="J184" s="49"/>
      <c r="K184" s="50"/>
      <c r="L184" s="51"/>
      <c r="M184" t="s" s="45">
        <v>217</v>
      </c>
      <c r="N184" s="52">
        <v>107</v>
      </c>
      <c r="O184" s="44"/>
    </row>
    <row r="185" ht="23.1" customHeight="1">
      <c r="A185" t="s" s="24">
        <v>323</v>
      </c>
      <c r="B185" t="s" s="53">
        <v>323</v>
      </c>
      <c r="C185" t="s" s="53">
        <v>215</v>
      </c>
      <c r="D185" s="54">
        <v>42.7294419933537</v>
      </c>
      <c r="E185" s="54">
        <v>-73.67823487487991</v>
      </c>
      <c r="F185" s="55">
        <f>_xlfn.COUNTIFS('Connections'!$B$6:$B$589,A185)+_xlfn.COUNTIFS('Connections'!$C$6:$C$589,A185)</f>
        <v>3</v>
      </c>
      <c r="G185" s="55">
        <f>_xlfn.COUNTIFS('Connections'!$B$6:$B$589,A185,'Connections'!$D$6:$D$589,"TRUE")+_xlfn.COUNTIFS('Connections'!$C$6:$C$589,A185,'Connections'!$D$6:$D$589,"TRUE")</f>
        <v>3</v>
      </c>
      <c r="H185" t="s" s="48">
        <v>69</v>
      </c>
      <c r="I185" t="s" s="48">
        <v>70</v>
      </c>
      <c r="J185" s="49"/>
      <c r="K185" s="50"/>
      <c r="L185" s="56"/>
      <c r="M185" t="s" s="53">
        <v>217</v>
      </c>
      <c r="N185" s="57">
        <v>108</v>
      </c>
      <c r="O185" s="44"/>
    </row>
    <row r="186" ht="23.1" customHeight="1">
      <c r="A186" t="s" s="21">
        <v>324</v>
      </c>
      <c r="B186" t="s" s="45">
        <v>324</v>
      </c>
      <c r="C186" t="s" s="45">
        <v>215</v>
      </c>
      <c r="D186" s="46">
        <v>42.7285177848009</v>
      </c>
      <c r="E186" s="46">
        <v>-73.6786502920678</v>
      </c>
      <c r="F186" s="47">
        <f>_xlfn.COUNTIFS('Connections'!$B$6:$B$589,A186)+_xlfn.COUNTIFS('Connections'!$C$6:$C$589,A186)</f>
        <v>2</v>
      </c>
      <c r="G186" s="47">
        <f>_xlfn.COUNTIFS('Connections'!$B$6:$B$589,A186,'Connections'!$D$6:$D$589,"TRUE")+_xlfn.COUNTIFS('Connections'!$C$6:$C$589,A186,'Connections'!$D$6:$D$589,"TRUE")</f>
        <v>2</v>
      </c>
      <c r="H186" t="s" s="48">
        <v>69</v>
      </c>
      <c r="I186" t="s" s="48">
        <v>70</v>
      </c>
      <c r="J186" s="49"/>
      <c r="K186" s="50"/>
      <c r="L186" s="51"/>
      <c r="M186" t="s" s="45">
        <v>217</v>
      </c>
      <c r="N186" s="52">
        <v>109</v>
      </c>
      <c r="O186" s="44"/>
    </row>
    <row r="187" ht="23.1" customHeight="1">
      <c r="A187" t="s" s="24">
        <v>325</v>
      </c>
      <c r="B187" t="s" s="53">
        <v>325</v>
      </c>
      <c r="C187" t="s" s="53">
        <v>215</v>
      </c>
      <c r="D187" s="54">
        <v>42.7286672215072</v>
      </c>
      <c r="E187" s="54">
        <v>-73.6798822189009</v>
      </c>
      <c r="F187" s="55">
        <f>_xlfn.COUNTIFS('Connections'!$B$6:$B$589,A187)+_xlfn.COUNTIFS('Connections'!$C$6:$C$589,A187)</f>
        <v>3</v>
      </c>
      <c r="G187" s="55">
        <f>_xlfn.COUNTIFS('Connections'!$B$6:$B$589,A187,'Connections'!$D$6:$D$589,"TRUE")+_xlfn.COUNTIFS('Connections'!$C$6:$C$589,A187,'Connections'!$D$6:$D$589,"TRUE")</f>
        <v>3</v>
      </c>
      <c r="H187" t="s" s="48">
        <v>69</v>
      </c>
      <c r="I187" t="s" s="48">
        <v>70</v>
      </c>
      <c r="J187" s="49"/>
      <c r="K187" s="50"/>
      <c r="L187" s="56"/>
      <c r="M187" t="s" s="53">
        <v>217</v>
      </c>
      <c r="N187" s="57">
        <v>110</v>
      </c>
      <c r="O187" s="44"/>
    </row>
    <row r="188" ht="23.1" customHeight="1">
      <c r="A188" t="s" s="21">
        <v>326</v>
      </c>
      <c r="B188" t="s" s="45">
        <v>326</v>
      </c>
      <c r="C188" t="s" s="45">
        <v>215</v>
      </c>
      <c r="D188" s="46">
        <v>42.7290810462323</v>
      </c>
      <c r="E188" s="46">
        <v>-73.6812128272116</v>
      </c>
      <c r="F188" s="47">
        <f>_xlfn.COUNTIFS('Connections'!$B$6:$B$589,A188)+_xlfn.COUNTIFS('Connections'!$C$6:$C$589,A188)</f>
        <v>5</v>
      </c>
      <c r="G188" s="47">
        <f>_xlfn.COUNTIFS('Connections'!$B$6:$B$589,A188,'Connections'!$D$6:$D$589,"TRUE")+_xlfn.COUNTIFS('Connections'!$C$6:$C$589,A188,'Connections'!$D$6:$D$589,"TRUE")</f>
        <v>5</v>
      </c>
      <c r="H188" t="s" s="48">
        <v>69</v>
      </c>
      <c r="I188" t="s" s="48">
        <v>70</v>
      </c>
      <c r="J188" s="49"/>
      <c r="K188" s="50"/>
      <c r="L188" s="51"/>
      <c r="M188" t="s" s="45">
        <v>217</v>
      </c>
      <c r="N188" s="52">
        <v>111</v>
      </c>
      <c r="O188" s="44"/>
    </row>
    <row r="189" ht="23.1" customHeight="1">
      <c r="A189" t="s" s="24">
        <v>327</v>
      </c>
      <c r="B189" t="s" s="53">
        <v>327</v>
      </c>
      <c r="C189" t="s" s="53">
        <v>215</v>
      </c>
      <c r="D189" s="54">
        <v>42.7289764405379</v>
      </c>
      <c r="E189" s="54">
        <v>-73.6816966847791</v>
      </c>
      <c r="F189" s="55">
        <f>_xlfn.COUNTIFS('Connections'!$B$6:$B$589,A189)+_xlfn.COUNTIFS('Connections'!$C$6:$C$589,A189)</f>
        <v>4</v>
      </c>
      <c r="G189" s="55">
        <f>_xlfn.COUNTIFS('Connections'!$B$6:$B$589,A189,'Connections'!$D$6:$D$589,"TRUE")+_xlfn.COUNTIFS('Connections'!$C$6:$C$589,A189,'Connections'!$D$6:$D$589,"TRUE")</f>
        <v>4</v>
      </c>
      <c r="H189" t="s" s="48">
        <v>69</v>
      </c>
      <c r="I189" t="s" s="48">
        <v>70</v>
      </c>
      <c r="J189" s="49"/>
      <c r="K189" s="50"/>
      <c r="L189" s="56"/>
      <c r="M189" t="s" s="53">
        <v>217</v>
      </c>
      <c r="N189" s="57">
        <v>112</v>
      </c>
      <c r="O189" s="44"/>
    </row>
    <row r="190" ht="23.1" customHeight="1">
      <c r="A190" t="s" s="21">
        <v>328</v>
      </c>
      <c r="B190" t="s" s="45">
        <v>328</v>
      </c>
      <c r="C190" t="s" s="45">
        <v>215</v>
      </c>
      <c r="D190" s="46">
        <v>42.7290925413636</v>
      </c>
      <c r="E190" s="46">
        <v>-73.6804026841134</v>
      </c>
      <c r="F190" s="47">
        <f>_xlfn.COUNTIFS('Connections'!$B$6:$B$589,A190)+_xlfn.COUNTIFS('Connections'!$C$6:$C$589,A190)</f>
        <v>3</v>
      </c>
      <c r="G190" s="47">
        <f>_xlfn.COUNTIFS('Connections'!$B$6:$B$589,A190,'Connections'!$D$6:$D$589,"TRUE")+_xlfn.COUNTIFS('Connections'!$C$6:$C$589,A190,'Connections'!$D$6:$D$589,"TRUE")</f>
        <v>3</v>
      </c>
      <c r="H190" t="s" s="48">
        <v>69</v>
      </c>
      <c r="I190" t="s" s="48">
        <v>70</v>
      </c>
      <c r="J190" s="49"/>
      <c r="K190" s="50"/>
      <c r="L190" s="51"/>
      <c r="M190" t="s" s="45">
        <v>217</v>
      </c>
      <c r="N190" s="52">
        <v>113</v>
      </c>
      <c r="O190" s="44"/>
    </row>
    <row r="191" ht="23.1" customHeight="1">
      <c r="A191" t="s" s="24">
        <v>329</v>
      </c>
      <c r="B191" t="s" s="53">
        <v>329</v>
      </c>
      <c r="C191" t="s" s="53">
        <v>215</v>
      </c>
      <c r="D191" s="54">
        <v>42.7291845024136</v>
      </c>
      <c r="E191" s="54">
        <v>-73.6798599359866</v>
      </c>
      <c r="F191" s="55">
        <f>_xlfn.COUNTIFS('Connections'!$B$6:$B$589,A191)+_xlfn.COUNTIFS('Connections'!$C$6:$C$589,A191)</f>
        <v>3</v>
      </c>
      <c r="G191" s="55">
        <f>_xlfn.COUNTIFS('Connections'!$B$6:$B$589,A191,'Connections'!$D$6:$D$589,"TRUE")+_xlfn.COUNTIFS('Connections'!$C$6:$C$589,A191,'Connections'!$D$6:$D$589,"TRUE")</f>
        <v>3</v>
      </c>
      <c r="H191" t="s" s="48">
        <v>69</v>
      </c>
      <c r="I191" t="s" s="48">
        <v>70</v>
      </c>
      <c r="J191" s="49"/>
      <c r="K191" s="50"/>
      <c r="L191" s="56"/>
      <c r="M191" t="s" s="53">
        <v>217</v>
      </c>
      <c r="N191" s="57">
        <v>114</v>
      </c>
      <c r="O191" s="44"/>
    </row>
    <row r="192" ht="23.1" customHeight="1">
      <c r="A192" t="s" s="21">
        <v>330</v>
      </c>
      <c r="B192" t="s" s="45">
        <v>330</v>
      </c>
      <c r="C192" t="s" s="45">
        <v>215</v>
      </c>
      <c r="D192" s="46">
        <v>42.7292051936499</v>
      </c>
      <c r="E192" s="46">
        <v>-73.6810472969912</v>
      </c>
      <c r="F192" s="47">
        <f>_xlfn.COUNTIFS('Connections'!$B$6:$B$589,A192)+_xlfn.COUNTIFS('Connections'!$C$6:$C$589,A192)</f>
        <v>3</v>
      </c>
      <c r="G192" s="47">
        <f>_xlfn.COUNTIFS('Connections'!$B$6:$B$589,A192,'Connections'!$D$6:$D$589,"TRUE")+_xlfn.COUNTIFS('Connections'!$C$6:$C$589,A192,'Connections'!$D$6:$D$589,"TRUE")</f>
        <v>3</v>
      </c>
      <c r="H192" t="s" s="48">
        <v>69</v>
      </c>
      <c r="I192" t="s" s="48">
        <v>70</v>
      </c>
      <c r="J192" s="49"/>
      <c r="K192" s="50"/>
      <c r="L192" s="51"/>
      <c r="M192" t="s" s="45">
        <v>217</v>
      </c>
      <c r="N192" s="52">
        <v>115</v>
      </c>
      <c r="O192" s="44"/>
    </row>
    <row r="193" ht="23.1" customHeight="1">
      <c r="A193" t="s" s="24">
        <v>331</v>
      </c>
      <c r="B193" t="s" s="53">
        <v>331</v>
      </c>
      <c r="C193" t="s" s="53">
        <v>215</v>
      </c>
      <c r="D193" s="54">
        <v>42.728784471846</v>
      </c>
      <c r="E193" s="54">
        <v>-73.681330608330</v>
      </c>
      <c r="F193" s="55">
        <f>_xlfn.COUNTIFS('Connections'!$B$6:$B$589,A193)+_xlfn.COUNTIFS('Connections'!$C$6:$C$589,A193)</f>
        <v>4</v>
      </c>
      <c r="G193" s="55">
        <f>_xlfn.COUNTIFS('Connections'!$B$6:$B$589,A193,'Connections'!$D$6:$D$589,"TRUE")+_xlfn.COUNTIFS('Connections'!$C$6:$C$589,A193,'Connections'!$D$6:$D$589,"TRUE")</f>
        <v>4</v>
      </c>
      <c r="H193" t="s" s="48">
        <v>69</v>
      </c>
      <c r="I193" t="s" s="48">
        <v>70</v>
      </c>
      <c r="J193" s="49"/>
      <c r="K193" s="50"/>
      <c r="L193" s="56"/>
      <c r="M193" t="s" s="53">
        <v>217</v>
      </c>
      <c r="N193" s="57">
        <v>116</v>
      </c>
      <c r="O193" s="44"/>
    </row>
    <row r="194" ht="23.1" customHeight="1">
      <c r="A194" t="s" s="21">
        <v>332</v>
      </c>
      <c r="B194" t="s" s="45">
        <v>332</v>
      </c>
      <c r="C194" t="s" s="45">
        <v>215</v>
      </c>
      <c r="D194" s="46">
        <v>42.7286327361135</v>
      </c>
      <c r="E194" s="46">
        <v>-73.6812064606647</v>
      </c>
      <c r="F194" s="47">
        <f>_xlfn.COUNTIFS('Connections'!$B$6:$B$589,A194)+_xlfn.COUNTIFS('Connections'!$C$6:$C$589,A194)</f>
        <v>2</v>
      </c>
      <c r="G194" s="47">
        <f>_xlfn.COUNTIFS('Connections'!$B$6:$B$589,A194,'Connections'!$D$6:$D$589,"TRUE")+_xlfn.COUNTIFS('Connections'!$C$6:$C$589,A194,'Connections'!$D$6:$D$589,"TRUE")</f>
        <v>2</v>
      </c>
      <c r="H194" t="s" s="48">
        <v>69</v>
      </c>
      <c r="I194" t="s" s="48">
        <v>70</v>
      </c>
      <c r="J194" s="49"/>
      <c r="K194" s="50"/>
      <c r="L194" s="51"/>
      <c r="M194" t="s" s="45">
        <v>217</v>
      </c>
      <c r="N194" s="52">
        <v>117</v>
      </c>
      <c r="O194" s="44"/>
    </row>
    <row r="195" ht="23.1" customHeight="1">
      <c r="A195" t="s" s="24">
        <v>333</v>
      </c>
      <c r="B195" t="s" s="53">
        <v>333</v>
      </c>
      <c r="C195" t="s" s="53">
        <v>215</v>
      </c>
      <c r="D195" s="54">
        <v>42.7283936373834</v>
      </c>
      <c r="E195" s="54">
        <v>-73.68121760212181</v>
      </c>
      <c r="F195" s="55">
        <f>_xlfn.COUNTIFS('Connections'!$B$6:$B$589,A195)+_xlfn.COUNTIFS('Connections'!$C$6:$C$589,A195)</f>
        <v>3</v>
      </c>
      <c r="G195" s="55">
        <f>_xlfn.COUNTIFS('Connections'!$B$6:$B$589,A195,'Connections'!$D$6:$D$589,"TRUE")+_xlfn.COUNTIFS('Connections'!$C$6:$C$589,A195,'Connections'!$D$6:$D$589,"TRUE")</f>
        <v>3</v>
      </c>
      <c r="H195" t="s" s="48">
        <v>69</v>
      </c>
      <c r="I195" t="s" s="48">
        <v>70</v>
      </c>
      <c r="J195" s="49"/>
      <c r="K195" s="50"/>
      <c r="L195" s="56"/>
      <c r="M195" t="s" s="53">
        <v>217</v>
      </c>
      <c r="N195" s="57">
        <v>118</v>
      </c>
      <c r="O195" s="44"/>
    </row>
    <row r="196" ht="23.1" customHeight="1">
      <c r="A196" t="s" s="21">
        <v>334</v>
      </c>
      <c r="B196" t="s" s="45">
        <v>334</v>
      </c>
      <c r="C196" t="s" s="45">
        <v>215</v>
      </c>
      <c r="D196" s="46">
        <v>42.7286419322185</v>
      </c>
      <c r="E196" s="46">
        <v>-73.6815741287505</v>
      </c>
      <c r="F196" s="47">
        <f>_xlfn.COUNTIFS('Connections'!$B$6:$B$589,A196)+_xlfn.COUNTIFS('Connections'!$C$6:$C$589,A196)</f>
        <v>2</v>
      </c>
      <c r="G196" s="47">
        <f>_xlfn.COUNTIFS('Connections'!$B$6:$B$589,A196,'Connections'!$D$6:$D$589,"TRUE")+_xlfn.COUNTIFS('Connections'!$C$6:$C$589,A196,'Connections'!$D$6:$D$589,"TRUE")</f>
        <v>2</v>
      </c>
      <c r="H196" t="s" s="48">
        <v>69</v>
      </c>
      <c r="I196" t="s" s="48">
        <v>70</v>
      </c>
      <c r="J196" s="49"/>
      <c r="K196" s="50"/>
      <c r="L196" s="51"/>
      <c r="M196" t="s" s="45">
        <v>217</v>
      </c>
      <c r="N196" s="52">
        <v>119</v>
      </c>
      <c r="O196" s="44"/>
    </row>
    <row r="197" ht="23.1" customHeight="1">
      <c r="A197" t="s" s="24">
        <v>335</v>
      </c>
      <c r="B197" t="s" s="53">
        <v>335</v>
      </c>
      <c r="C197" t="s" s="53">
        <v>215</v>
      </c>
      <c r="D197" s="54">
        <v>42.7286292875741</v>
      </c>
      <c r="E197" s="54">
        <v>-73.6819195139221</v>
      </c>
      <c r="F197" s="55">
        <f>_xlfn.COUNTIFS('Connections'!$B$6:$B$589,A197)+_xlfn.COUNTIFS('Connections'!$C$6:$C$589,A197)</f>
        <v>4</v>
      </c>
      <c r="G197" s="55">
        <f>_xlfn.COUNTIFS('Connections'!$B$6:$B$589,A197,'Connections'!$D$6:$D$589,"TRUE")+_xlfn.COUNTIFS('Connections'!$C$6:$C$589,A197,'Connections'!$D$6:$D$589,"TRUE")</f>
        <v>4</v>
      </c>
      <c r="H197" t="s" s="48">
        <v>69</v>
      </c>
      <c r="I197" t="s" s="48">
        <v>70</v>
      </c>
      <c r="J197" s="49"/>
      <c r="K197" s="50"/>
      <c r="L197" s="56"/>
      <c r="M197" t="s" s="53">
        <v>217</v>
      </c>
      <c r="N197" s="57">
        <v>120</v>
      </c>
      <c r="O197" s="44"/>
    </row>
    <row r="198" ht="23.1" customHeight="1">
      <c r="A198" t="s" s="21">
        <v>336</v>
      </c>
      <c r="B198" t="s" s="45">
        <v>336</v>
      </c>
      <c r="C198" t="s" s="45">
        <v>215</v>
      </c>
      <c r="D198" s="46">
        <v>42.7285120372353</v>
      </c>
      <c r="E198" s="46">
        <v>-73.6819163306486</v>
      </c>
      <c r="F198" s="47">
        <f>_xlfn.COUNTIFS('Connections'!$B$6:$B$589,A198)+_xlfn.COUNTIFS('Connections'!$C$6:$C$589,A198)</f>
        <v>3</v>
      </c>
      <c r="G198" s="47">
        <f>_xlfn.COUNTIFS('Connections'!$B$6:$B$589,A198,'Connections'!$D$6:$D$589,"TRUE")+_xlfn.COUNTIFS('Connections'!$C$6:$C$589,A198,'Connections'!$D$6:$D$589,"TRUE")</f>
        <v>3</v>
      </c>
      <c r="H198" t="s" s="48">
        <v>69</v>
      </c>
      <c r="I198" t="s" s="48">
        <v>70</v>
      </c>
      <c r="J198" s="49"/>
      <c r="K198" s="50"/>
      <c r="L198" s="51"/>
      <c r="M198" t="s" s="45">
        <v>217</v>
      </c>
      <c r="N198" s="52">
        <v>121</v>
      </c>
      <c r="O198" s="44"/>
    </row>
    <row r="199" ht="23.1" customHeight="1">
      <c r="A199" t="s" s="24">
        <v>337</v>
      </c>
      <c r="B199" t="s" s="53">
        <v>337</v>
      </c>
      <c r="C199" t="s" s="53">
        <v>215</v>
      </c>
      <c r="D199" s="54">
        <v>42.7287499864523</v>
      </c>
      <c r="E199" s="54">
        <v>-73.68214870961199</v>
      </c>
      <c r="F199" s="55">
        <f>_xlfn.COUNTIFS('Connections'!$B$6:$B$589,A199)+_xlfn.COUNTIFS('Connections'!$C$6:$C$589,A199)</f>
        <v>2</v>
      </c>
      <c r="G199" s="55">
        <f>_xlfn.COUNTIFS('Connections'!$B$6:$B$589,A199,'Connections'!$D$6:$D$589,"TRUE")+_xlfn.COUNTIFS('Connections'!$C$6:$C$589,A199,'Connections'!$D$6:$D$589,"TRUE")</f>
        <v>2</v>
      </c>
      <c r="H199" t="s" s="48">
        <v>69</v>
      </c>
      <c r="I199" t="s" s="48">
        <v>70</v>
      </c>
      <c r="J199" s="49"/>
      <c r="K199" s="50"/>
      <c r="L199" s="56"/>
      <c r="M199" t="s" s="53">
        <v>217</v>
      </c>
      <c r="N199" s="57">
        <v>122</v>
      </c>
      <c r="O199" s="44"/>
    </row>
    <row r="200" ht="23.1" customHeight="1">
      <c r="A200" t="s" s="21">
        <v>338</v>
      </c>
      <c r="B200" t="s" s="45">
        <v>338</v>
      </c>
      <c r="C200" t="s" s="45">
        <v>215</v>
      </c>
      <c r="D200" s="46">
        <v>42.7289568988148</v>
      </c>
      <c r="E200" s="46">
        <v>-73.68226330745691</v>
      </c>
      <c r="F200" s="47">
        <f>_xlfn.COUNTIFS('Connections'!$B$6:$B$589,A200)+_xlfn.COUNTIFS('Connections'!$C$6:$C$589,A200)</f>
        <v>4</v>
      </c>
      <c r="G200" s="47">
        <f>_xlfn.COUNTIFS('Connections'!$B$6:$B$589,A200,'Connections'!$D$6:$D$589,"TRUE")+_xlfn.COUNTIFS('Connections'!$C$6:$C$589,A200,'Connections'!$D$6:$D$589,"TRUE")</f>
        <v>4</v>
      </c>
      <c r="H200" t="s" s="48">
        <v>69</v>
      </c>
      <c r="I200" t="s" s="48">
        <v>70</v>
      </c>
      <c r="J200" s="49"/>
      <c r="K200" s="50"/>
      <c r="L200" s="51"/>
      <c r="M200" t="s" s="45">
        <v>217</v>
      </c>
      <c r="N200" s="52">
        <v>123</v>
      </c>
      <c r="O200" s="44"/>
    </row>
    <row r="201" ht="23.1" customHeight="1">
      <c r="A201" t="s" s="24">
        <v>339</v>
      </c>
      <c r="B201" t="s" s="53">
        <v>339</v>
      </c>
      <c r="C201" t="s" s="53">
        <v>215</v>
      </c>
      <c r="D201" s="54">
        <v>42.7287361922948</v>
      </c>
      <c r="E201" s="54">
        <v>-73.68269464101211</v>
      </c>
      <c r="F201" s="55">
        <f>_xlfn.COUNTIFS('Connections'!$B$6:$B$589,A201)+_xlfn.COUNTIFS('Connections'!$C$6:$C$589,A201)</f>
        <v>3</v>
      </c>
      <c r="G201" s="55">
        <f>_xlfn.COUNTIFS('Connections'!$B$6:$B$589,A201,'Connections'!$D$6:$D$589,"TRUE")+_xlfn.COUNTIFS('Connections'!$C$6:$C$589,A201,'Connections'!$D$6:$D$589,"TRUE")</f>
        <v>3</v>
      </c>
      <c r="H201" t="s" s="48">
        <v>69</v>
      </c>
      <c r="I201" t="s" s="48">
        <v>70</v>
      </c>
      <c r="J201" s="49"/>
      <c r="K201" s="50"/>
      <c r="L201" s="56"/>
      <c r="M201" t="s" s="53">
        <v>217</v>
      </c>
      <c r="N201" s="57">
        <v>124</v>
      </c>
      <c r="O201" s="44"/>
    </row>
    <row r="202" ht="23.1" customHeight="1">
      <c r="A202" t="s" s="21">
        <v>340</v>
      </c>
      <c r="B202" t="s" s="45">
        <v>340</v>
      </c>
      <c r="C202" t="s" s="45">
        <v>215</v>
      </c>
      <c r="D202" s="46">
        <v>42.728876432896</v>
      </c>
      <c r="E202" s="46">
        <v>-73.682497278057</v>
      </c>
      <c r="F202" s="47">
        <f>_xlfn.COUNTIFS('Connections'!$B$6:$B$589,A202)+_xlfn.COUNTIFS('Connections'!$C$6:$C$589,A202)</f>
        <v>2</v>
      </c>
      <c r="G202" s="47">
        <f>_xlfn.COUNTIFS('Connections'!$B$6:$B$589,A202,'Connections'!$D$6:$D$589,"TRUE")+_xlfn.COUNTIFS('Connections'!$C$6:$C$589,A202,'Connections'!$D$6:$D$589,"TRUE")</f>
        <v>2</v>
      </c>
      <c r="H202" t="s" s="48">
        <v>69</v>
      </c>
      <c r="I202" t="s" s="48">
        <v>70</v>
      </c>
      <c r="J202" s="49"/>
      <c r="K202" s="50"/>
      <c r="L202" s="51"/>
      <c r="M202" t="s" s="45">
        <v>217</v>
      </c>
      <c r="N202" s="52">
        <v>125</v>
      </c>
      <c r="O202" s="44"/>
    </row>
    <row r="203" ht="23.1" customHeight="1">
      <c r="A203" t="s" s="24">
        <v>341</v>
      </c>
      <c r="B203" t="s" s="53">
        <v>341</v>
      </c>
      <c r="C203" t="s" s="53">
        <v>215</v>
      </c>
      <c r="D203" s="54">
        <v>42.7311386747266</v>
      </c>
      <c r="E203" s="54">
        <v>-73.6798663025336</v>
      </c>
      <c r="F203" s="55">
        <f>_xlfn.COUNTIFS('Connections'!$B$6:$B$589,A203)+_xlfn.COUNTIFS('Connections'!$C$6:$C$589,A203)</f>
        <v>3</v>
      </c>
      <c r="G203" s="55">
        <f>_xlfn.COUNTIFS('Connections'!$B$6:$B$589,A203,'Connections'!$D$6:$D$589,"TRUE")+_xlfn.COUNTIFS('Connections'!$C$6:$C$589,A203,'Connections'!$D$6:$D$589,"TRUE")</f>
        <v>3</v>
      </c>
      <c r="H203" t="s" s="48">
        <v>69</v>
      </c>
      <c r="I203" t="s" s="48">
        <v>70</v>
      </c>
      <c r="J203" s="49"/>
      <c r="K203" s="50"/>
      <c r="L203" s="56"/>
      <c r="M203" t="s" s="53">
        <v>217</v>
      </c>
      <c r="N203" s="57">
        <v>126</v>
      </c>
      <c r="O203" s="44"/>
    </row>
    <row r="204" ht="23.1" customHeight="1">
      <c r="A204" t="s" s="21">
        <v>342</v>
      </c>
      <c r="B204" t="s" s="45">
        <v>342</v>
      </c>
      <c r="C204" t="s" s="45">
        <v>215</v>
      </c>
      <c r="D204" s="46">
        <v>42.7289201143948</v>
      </c>
      <c r="E204" s="46">
        <v>-73.6781950839616</v>
      </c>
      <c r="F204" s="47">
        <f>_xlfn.COUNTIFS('Connections'!$B$6:$B$589,A204)+_xlfn.COUNTIFS('Connections'!$C$6:$C$589,A204)</f>
        <v>4</v>
      </c>
      <c r="G204" s="47">
        <f>_xlfn.COUNTIFS('Connections'!$B$6:$B$589,A204,'Connections'!$D$6:$D$589,"TRUE")+_xlfn.COUNTIFS('Connections'!$C$6:$C$589,A204,'Connections'!$D$6:$D$589,"TRUE")</f>
        <v>4</v>
      </c>
      <c r="H204" t="s" s="48">
        <v>69</v>
      </c>
      <c r="I204" t="s" s="48">
        <v>70</v>
      </c>
      <c r="J204" s="49"/>
      <c r="K204" s="50"/>
      <c r="L204" s="51"/>
      <c r="M204" t="s" s="45">
        <v>217</v>
      </c>
      <c r="N204" s="52">
        <v>127</v>
      </c>
      <c r="O204" s="44"/>
    </row>
    <row r="205" ht="23.1" customHeight="1">
      <c r="A205" t="s" s="24">
        <v>343</v>
      </c>
      <c r="B205" t="s" s="53">
        <v>343</v>
      </c>
      <c r="C205" t="s" s="53">
        <v>215</v>
      </c>
      <c r="D205" s="54">
        <v>42.7289729919986</v>
      </c>
      <c r="E205" s="54">
        <v>-73.6776793936593</v>
      </c>
      <c r="F205" s="55">
        <f>_xlfn.COUNTIFS('Connections'!$B$6:$B$589,A205)+_xlfn.COUNTIFS('Connections'!$C$6:$C$589,A205)</f>
        <v>4</v>
      </c>
      <c r="G205" s="55">
        <f>_xlfn.COUNTIFS('Connections'!$B$6:$B$589,A205,'Connections'!$D$6:$D$589,"TRUE")+_xlfn.COUNTIFS('Connections'!$C$6:$C$589,A205,'Connections'!$D$6:$D$589,"TRUE")</f>
        <v>4</v>
      </c>
      <c r="H205" t="s" s="48">
        <v>69</v>
      </c>
      <c r="I205" t="s" s="48">
        <v>70</v>
      </c>
      <c r="J205" s="49"/>
      <c r="K205" s="50"/>
      <c r="L205" s="56"/>
      <c r="M205" t="s" s="53">
        <v>217</v>
      </c>
      <c r="N205" s="57">
        <v>128</v>
      </c>
      <c r="O205" s="44"/>
    </row>
    <row r="206" ht="23.1" customHeight="1">
      <c r="A206" t="s" s="21">
        <v>344</v>
      </c>
      <c r="B206" t="s" s="45">
        <v>344</v>
      </c>
      <c r="C206" t="s" s="45">
        <v>215</v>
      </c>
      <c r="D206" s="46">
        <v>42.7289385066048</v>
      </c>
      <c r="E206" s="46">
        <v>-73.67727830120209</v>
      </c>
      <c r="F206" s="47">
        <f>_xlfn.COUNTIFS('Connections'!$B$6:$B$589,A206)+_xlfn.COUNTIFS('Connections'!$C$6:$C$589,A206)</f>
        <v>3</v>
      </c>
      <c r="G206" s="47">
        <f>_xlfn.COUNTIFS('Connections'!$B$6:$B$589,A206,'Connections'!$D$6:$D$589,"TRUE")+_xlfn.COUNTIFS('Connections'!$C$6:$C$589,A206,'Connections'!$D$6:$D$589,"TRUE")</f>
        <v>3</v>
      </c>
      <c r="H206" t="s" s="48">
        <v>69</v>
      </c>
      <c r="I206" t="s" s="48">
        <v>70</v>
      </c>
      <c r="J206" s="49"/>
      <c r="K206" s="50"/>
      <c r="L206" s="51"/>
      <c r="M206" t="s" s="45">
        <v>217</v>
      </c>
      <c r="N206" s="52">
        <v>129</v>
      </c>
      <c r="O206" s="44"/>
    </row>
    <row r="207" ht="23.1" customHeight="1">
      <c r="A207" t="s" s="24">
        <v>345</v>
      </c>
      <c r="B207" t="s" s="53">
        <v>345</v>
      </c>
      <c r="C207" t="s" s="53">
        <v>215</v>
      </c>
      <c r="D207" s="54">
        <v>42.7294718806949</v>
      </c>
      <c r="E207" s="54">
        <v>-73.67713982880611</v>
      </c>
      <c r="F207" s="55">
        <f>_xlfn.COUNTIFS('Connections'!$B$6:$B$589,A207)+_xlfn.COUNTIFS('Connections'!$C$6:$C$589,A207)</f>
        <v>3</v>
      </c>
      <c r="G207" s="55">
        <f>_xlfn.COUNTIFS('Connections'!$B$6:$B$589,A207,'Connections'!$D$6:$D$589,"TRUE")+_xlfn.COUNTIFS('Connections'!$C$6:$C$589,A207,'Connections'!$D$6:$D$589,"TRUE")</f>
        <v>3</v>
      </c>
      <c r="H207" t="s" s="48">
        <v>69</v>
      </c>
      <c r="I207" t="s" s="48">
        <v>70</v>
      </c>
      <c r="J207" s="49"/>
      <c r="K207" s="50"/>
      <c r="L207" s="56"/>
      <c r="M207" t="s" s="53">
        <v>217</v>
      </c>
      <c r="N207" s="57">
        <v>130</v>
      </c>
      <c r="O207" s="44"/>
    </row>
    <row r="208" ht="23.1" customHeight="1">
      <c r="A208" t="s" s="21">
        <v>346</v>
      </c>
      <c r="B208" t="s" s="45">
        <v>346</v>
      </c>
      <c r="C208" t="s" s="45">
        <v>215</v>
      </c>
      <c r="D208" s="46">
        <v>42.7297190260169</v>
      </c>
      <c r="E208" s="46">
        <v>-73.67711277098159</v>
      </c>
      <c r="F208" s="47">
        <f>_xlfn.COUNTIFS('Connections'!$B$6:$B$589,A208)+_xlfn.COUNTIFS('Connections'!$C$6:$C$589,A208)</f>
        <v>2</v>
      </c>
      <c r="G208" s="47">
        <f>_xlfn.COUNTIFS('Connections'!$B$6:$B$589,A208,'Connections'!$D$6:$D$589,"TRUE")+_xlfn.COUNTIFS('Connections'!$C$6:$C$589,A208,'Connections'!$D$6:$D$589,"TRUE")</f>
        <v>1</v>
      </c>
      <c r="H208" t="s" s="48">
        <v>69</v>
      </c>
      <c r="I208" t="s" s="48">
        <v>70</v>
      </c>
      <c r="J208" s="49"/>
      <c r="K208" s="50"/>
      <c r="L208" s="51"/>
      <c r="M208" t="s" s="45">
        <v>217</v>
      </c>
      <c r="N208" s="52">
        <v>131</v>
      </c>
      <c r="O208" s="44"/>
    </row>
    <row r="209" ht="23.1" customHeight="1">
      <c r="A209" t="s" s="24">
        <v>347</v>
      </c>
      <c r="B209" t="s" s="53">
        <v>347</v>
      </c>
      <c r="C209" t="s" s="53">
        <v>215</v>
      </c>
      <c r="D209" s="54">
        <v>42.7299604237732</v>
      </c>
      <c r="E209" s="54">
        <v>-73.6771286873489</v>
      </c>
      <c r="F209" s="55">
        <f>_xlfn.COUNTIFS('Connections'!$B$6:$B$589,A209)+_xlfn.COUNTIFS('Connections'!$C$6:$C$589,A209)</f>
        <v>3</v>
      </c>
      <c r="G209" s="55">
        <f>_xlfn.COUNTIFS('Connections'!$B$6:$B$589,A209,'Connections'!$D$6:$D$589,"TRUE")+_xlfn.COUNTIFS('Connections'!$C$6:$C$589,A209,'Connections'!$D$6:$D$589,"TRUE")</f>
        <v>2</v>
      </c>
      <c r="H209" t="s" s="48">
        <v>69</v>
      </c>
      <c r="I209" t="s" s="48">
        <v>70</v>
      </c>
      <c r="J209" s="49"/>
      <c r="K209" s="50"/>
      <c r="L209" s="56"/>
      <c r="M209" t="s" s="53">
        <v>217</v>
      </c>
      <c r="N209" s="57">
        <v>132</v>
      </c>
      <c r="O209" s="44"/>
    </row>
    <row r="210" ht="23.1" customHeight="1">
      <c r="A210" t="s" s="21">
        <v>348</v>
      </c>
      <c r="B210" t="s" s="45">
        <v>348</v>
      </c>
      <c r="C210" t="s" s="45">
        <v>215</v>
      </c>
      <c r="D210" s="46">
        <v>42.7290856442848</v>
      </c>
      <c r="E210" s="46">
        <v>-73.6769854400428</v>
      </c>
      <c r="F210" s="47">
        <f>_xlfn.COUNTIFS('Connections'!$B$6:$B$589,A210)+_xlfn.COUNTIFS('Connections'!$C$6:$C$589,A210)</f>
        <v>4</v>
      </c>
      <c r="G210" s="47">
        <f>_xlfn.COUNTIFS('Connections'!$B$6:$B$589,A210,'Connections'!$D$6:$D$589,"TRUE")+_xlfn.COUNTIFS('Connections'!$C$6:$C$589,A210,'Connections'!$D$6:$D$589,"TRUE")</f>
        <v>4</v>
      </c>
      <c r="H210" t="s" s="48">
        <v>69</v>
      </c>
      <c r="I210" t="s" s="48">
        <v>70</v>
      </c>
      <c r="J210" s="49"/>
      <c r="K210" s="50"/>
      <c r="L210" s="51"/>
      <c r="M210" t="s" s="45">
        <v>217</v>
      </c>
      <c r="N210" s="52">
        <v>133</v>
      </c>
      <c r="O210" s="44"/>
    </row>
    <row r="211" ht="23.1" customHeight="1">
      <c r="A211" t="s" s="24">
        <v>349</v>
      </c>
      <c r="B211" t="s" s="53">
        <v>349</v>
      </c>
      <c r="C211" t="s" s="53">
        <v>215</v>
      </c>
      <c r="D211" s="54">
        <v>42.7295523466137</v>
      </c>
      <c r="E211" s="54">
        <v>-73.6769376909407</v>
      </c>
      <c r="F211" s="55">
        <f>_xlfn.COUNTIFS('Connections'!$B$6:$B$589,A211)+_xlfn.COUNTIFS('Connections'!$C$6:$C$589,A211)</f>
        <v>3</v>
      </c>
      <c r="G211" s="55">
        <f>_xlfn.COUNTIFS('Connections'!$B$6:$B$589,A211,'Connections'!$D$6:$D$589,"TRUE")+_xlfn.COUNTIFS('Connections'!$C$6:$C$589,A211,'Connections'!$D$6:$D$589,"TRUE")</f>
        <v>3</v>
      </c>
      <c r="H211" t="s" s="48">
        <v>69</v>
      </c>
      <c r="I211" t="s" s="48">
        <v>70</v>
      </c>
      <c r="J211" s="49"/>
      <c r="K211" s="50"/>
      <c r="L211" s="56"/>
      <c r="M211" t="s" s="53">
        <v>217</v>
      </c>
      <c r="N211" s="57">
        <v>134</v>
      </c>
      <c r="O211" s="44"/>
    </row>
    <row r="212" ht="23.1" customHeight="1">
      <c r="A212" t="s" s="21">
        <v>350</v>
      </c>
      <c r="B212" t="s" s="45">
        <v>350</v>
      </c>
      <c r="C212" t="s" s="45">
        <v>215</v>
      </c>
      <c r="D212" s="46">
        <v>42.7289201143948</v>
      </c>
      <c r="E212" s="46">
        <v>-73.6760622907363</v>
      </c>
      <c r="F212" s="47">
        <f>_xlfn.COUNTIFS('Connections'!$B$6:$B$589,A212)+_xlfn.COUNTIFS('Connections'!$C$6:$C$589,A212)</f>
        <v>2</v>
      </c>
      <c r="G212" s="47">
        <f>_xlfn.COUNTIFS('Connections'!$B$6:$B$589,A212,'Connections'!$D$6:$D$589,"TRUE")+_xlfn.COUNTIFS('Connections'!$C$6:$C$589,A212,'Connections'!$D$6:$D$589,"TRUE")</f>
        <v>2</v>
      </c>
      <c r="H212" t="s" s="48">
        <v>69</v>
      </c>
      <c r="I212" t="s" s="48">
        <v>70</v>
      </c>
      <c r="J212" s="49"/>
      <c r="K212" s="50"/>
      <c r="L212" s="51"/>
      <c r="M212" t="s" s="45">
        <v>217</v>
      </c>
      <c r="N212" s="52">
        <v>135</v>
      </c>
      <c r="O212" s="44"/>
    </row>
    <row r="213" ht="23.1" customHeight="1">
      <c r="A213" t="s" s="24">
        <v>351</v>
      </c>
      <c r="B213" t="s" s="53">
        <v>351</v>
      </c>
      <c r="C213" t="s" s="53">
        <v>215</v>
      </c>
      <c r="D213" s="54">
        <v>42.7286902117697</v>
      </c>
      <c r="E213" s="54">
        <v>-73.6760622907363</v>
      </c>
      <c r="F213" s="55">
        <f>_xlfn.COUNTIFS('Connections'!$B$6:$B$589,A213)+_xlfn.COUNTIFS('Connections'!$C$6:$C$589,A213)</f>
        <v>3</v>
      </c>
      <c r="G213" s="55">
        <f>_xlfn.COUNTIFS('Connections'!$B$6:$B$589,A213,'Connections'!$D$6:$D$589,"TRUE")+_xlfn.COUNTIFS('Connections'!$C$6:$C$589,A213,'Connections'!$D$6:$D$589,"TRUE")</f>
        <v>3</v>
      </c>
      <c r="H213" t="s" s="48">
        <v>69</v>
      </c>
      <c r="I213" t="s" s="48">
        <v>70</v>
      </c>
      <c r="J213" s="49"/>
      <c r="K213" s="50"/>
      <c r="L213" s="56"/>
      <c r="M213" t="s" s="53">
        <v>217</v>
      </c>
      <c r="N213" s="57">
        <v>136</v>
      </c>
      <c r="O213" s="44"/>
    </row>
    <row r="214" ht="23.1" customHeight="1">
      <c r="A214" t="s" s="21">
        <v>352</v>
      </c>
      <c r="B214" t="s" s="45">
        <v>352</v>
      </c>
      <c r="C214" t="s" s="45">
        <v>215</v>
      </c>
      <c r="D214" s="46">
        <v>42.7286603244285</v>
      </c>
      <c r="E214" s="46">
        <v>-73.67589516887909</v>
      </c>
      <c r="F214" s="47">
        <f>_xlfn.COUNTIFS('Connections'!$B$6:$B$589,A214)+_xlfn.COUNTIFS('Connections'!$C$6:$C$589,A214)</f>
        <v>3</v>
      </c>
      <c r="G214" s="47">
        <f>_xlfn.COUNTIFS('Connections'!$B$6:$B$589,A214,'Connections'!$D$6:$D$589,"TRUE")+_xlfn.COUNTIFS('Connections'!$C$6:$C$589,A214,'Connections'!$D$6:$D$589,"TRUE")</f>
        <v>3</v>
      </c>
      <c r="H214" t="s" s="48">
        <v>69</v>
      </c>
      <c r="I214" t="s" s="48">
        <v>70</v>
      </c>
      <c r="J214" s="49"/>
      <c r="K214" s="50"/>
      <c r="L214" s="51"/>
      <c r="M214" t="s" s="45">
        <v>217</v>
      </c>
      <c r="N214" s="52">
        <v>137</v>
      </c>
      <c r="O214" s="44"/>
    </row>
    <row r="215" ht="23.1" customHeight="1">
      <c r="A215" t="s" s="24">
        <v>353</v>
      </c>
      <c r="B215" t="s" s="53">
        <v>353</v>
      </c>
      <c r="C215" t="s" s="53">
        <v>215</v>
      </c>
      <c r="D215" s="54">
        <v>42.7284787013547</v>
      </c>
      <c r="E215" s="54">
        <v>-73.6757917124913</v>
      </c>
      <c r="F215" s="55">
        <f>_xlfn.COUNTIFS('Connections'!$B$6:$B$589,A215)+_xlfn.COUNTIFS('Connections'!$C$6:$C$589,A215)</f>
        <v>2</v>
      </c>
      <c r="G215" s="55">
        <f>_xlfn.COUNTIFS('Connections'!$B$6:$B$589,A215,'Connections'!$D$6:$D$589,"TRUE")+_xlfn.COUNTIFS('Connections'!$C$6:$C$589,A215,'Connections'!$D$6:$D$589,"TRUE")</f>
        <v>2</v>
      </c>
      <c r="H215" t="s" s="48">
        <v>69</v>
      </c>
      <c r="I215" t="s" s="48">
        <v>70</v>
      </c>
      <c r="J215" s="49"/>
      <c r="K215" s="50"/>
      <c r="L215" s="56"/>
      <c r="M215" t="s" s="53">
        <v>217</v>
      </c>
      <c r="N215" s="57">
        <v>138</v>
      </c>
      <c r="O215" s="44"/>
    </row>
    <row r="216" ht="23.1" customHeight="1">
      <c r="A216" t="s" s="21">
        <v>354</v>
      </c>
      <c r="B216" t="s" s="45">
        <v>354</v>
      </c>
      <c r="C216" t="s" s="45">
        <v>215</v>
      </c>
      <c r="D216" s="46">
        <v>42.7282189113884</v>
      </c>
      <c r="E216" s="46">
        <v>-73.6779245057166</v>
      </c>
      <c r="F216" s="47">
        <f>_xlfn.COUNTIFS('Connections'!$B$6:$B$589,A216)+_xlfn.COUNTIFS('Connections'!$C$6:$C$589,A216)</f>
        <v>3</v>
      </c>
      <c r="G216" s="47">
        <f>_xlfn.COUNTIFS('Connections'!$B$6:$B$589,A216,'Connections'!$D$6:$D$589,"TRUE")+_xlfn.COUNTIFS('Connections'!$C$6:$C$589,A216,'Connections'!$D$6:$D$589,"TRUE")</f>
        <v>3</v>
      </c>
      <c r="H216" t="s" s="48">
        <v>69</v>
      </c>
      <c r="I216" t="s" s="48">
        <v>70</v>
      </c>
      <c r="J216" s="49"/>
      <c r="K216" s="50"/>
      <c r="L216" s="51"/>
      <c r="M216" t="s" s="45">
        <v>217</v>
      </c>
      <c r="N216" s="52">
        <v>139</v>
      </c>
      <c r="O216" s="44"/>
    </row>
    <row r="217" ht="23.1" customHeight="1">
      <c r="A217" t="s" s="24">
        <v>355</v>
      </c>
      <c r="B217" t="s" s="53">
        <v>355</v>
      </c>
      <c r="C217" t="s" s="53">
        <v>215</v>
      </c>
      <c r="D217" s="54">
        <v>42.7282591443478</v>
      </c>
      <c r="E217" s="54">
        <v>-73.67745019796951</v>
      </c>
      <c r="F217" s="55">
        <f>_xlfn.COUNTIFS('Connections'!$B$6:$B$589,A217)+_xlfn.COUNTIFS('Connections'!$C$6:$C$589,A217)</f>
        <v>2</v>
      </c>
      <c r="G217" s="55">
        <f>_xlfn.COUNTIFS('Connections'!$B$6:$B$589,A217,'Connections'!$D$6:$D$589,"TRUE")+_xlfn.COUNTIFS('Connections'!$C$6:$C$589,A217,'Connections'!$D$6:$D$589,"TRUE")</f>
        <v>2</v>
      </c>
      <c r="H217" t="s" s="48">
        <v>69</v>
      </c>
      <c r="I217" t="s" s="48">
        <v>70</v>
      </c>
      <c r="J217" s="49"/>
      <c r="K217" s="50"/>
      <c r="L217" s="56"/>
      <c r="M217" t="s" s="53">
        <v>217</v>
      </c>
      <c r="N217" s="57">
        <v>140</v>
      </c>
      <c r="O217" s="44"/>
    </row>
    <row r="218" ht="23.1" customHeight="1">
      <c r="A218" t="s" s="21">
        <v>356</v>
      </c>
      <c r="B218" t="s" s="45">
        <v>356</v>
      </c>
      <c r="C218" t="s" s="45">
        <v>215</v>
      </c>
      <c r="D218" s="46">
        <v>42.7274062056088</v>
      </c>
      <c r="E218" s="46">
        <v>-73.6780677530227</v>
      </c>
      <c r="F218" s="47">
        <f>_xlfn.COUNTIFS('Connections'!$B$6:$B$589,A218)+_xlfn.COUNTIFS('Connections'!$C$6:$C$589,A218)</f>
        <v>4</v>
      </c>
      <c r="G218" s="47">
        <f>_xlfn.COUNTIFS('Connections'!$B$6:$B$589,A218,'Connections'!$D$6:$D$589,"TRUE")+_xlfn.COUNTIFS('Connections'!$C$6:$C$589,A218,'Connections'!$D$6:$D$589,"TRUE")</f>
        <v>4</v>
      </c>
      <c r="H218" t="s" s="48">
        <v>69</v>
      </c>
      <c r="I218" t="s" s="48">
        <v>70</v>
      </c>
      <c r="J218" s="49"/>
      <c r="K218" s="50"/>
      <c r="L218" s="51"/>
      <c r="M218" t="s" s="45">
        <v>217</v>
      </c>
      <c r="N218" s="52">
        <v>141</v>
      </c>
      <c r="O218" s="44"/>
    </row>
    <row r="219" ht="23.1" customHeight="1">
      <c r="A219" t="s" s="24">
        <v>357</v>
      </c>
      <c r="B219" t="s" s="53">
        <v>357</v>
      </c>
      <c r="C219" t="s" s="53">
        <v>215</v>
      </c>
      <c r="D219" s="54">
        <v>42.7284373188822</v>
      </c>
      <c r="E219" s="54">
        <v>-73.68023237898269</v>
      </c>
      <c r="F219" s="55">
        <f>_xlfn.COUNTIFS('Connections'!$B$6:$B$589,A219)+_xlfn.COUNTIFS('Connections'!$C$6:$C$589,A219)</f>
        <v>3</v>
      </c>
      <c r="G219" s="55">
        <f>_xlfn.COUNTIFS('Connections'!$B$6:$B$589,A219,'Connections'!$D$6:$D$589,"TRUE")+_xlfn.COUNTIFS('Connections'!$C$6:$C$589,A219,'Connections'!$D$6:$D$589,"TRUE")</f>
        <v>3</v>
      </c>
      <c r="H219" t="s" s="48">
        <v>69</v>
      </c>
      <c r="I219" t="s" s="48">
        <v>70</v>
      </c>
      <c r="J219" s="49"/>
      <c r="K219" s="50"/>
      <c r="L219" s="56"/>
      <c r="M219" t="s" s="53">
        <v>217</v>
      </c>
      <c r="N219" s="57">
        <v>142</v>
      </c>
      <c r="O219" s="44"/>
    </row>
    <row r="220" ht="23.1" customHeight="1">
      <c r="A220" t="s" s="21">
        <v>358</v>
      </c>
      <c r="B220" t="s" s="45">
        <v>358</v>
      </c>
      <c r="C220" t="s" s="45">
        <v>215</v>
      </c>
      <c r="D220" s="46">
        <v>42.7282419016509</v>
      </c>
      <c r="E220" s="46">
        <v>-73.6802801280848</v>
      </c>
      <c r="F220" s="47">
        <f>_xlfn.COUNTIFS('Connections'!$B$6:$B$589,A220)+_xlfn.COUNTIFS('Connections'!$C$6:$C$589,A220)</f>
        <v>4</v>
      </c>
      <c r="G220" s="47">
        <f>_xlfn.COUNTIFS('Connections'!$B$6:$B$589,A220,'Connections'!$D$6:$D$589,"TRUE")+_xlfn.COUNTIFS('Connections'!$C$6:$C$589,A220,'Connections'!$D$6:$D$589,"TRUE")</f>
        <v>4</v>
      </c>
      <c r="H220" t="s" s="48">
        <v>69</v>
      </c>
      <c r="I220" t="s" s="48">
        <v>70</v>
      </c>
      <c r="J220" s="49"/>
      <c r="K220" s="50"/>
      <c r="L220" s="51"/>
      <c r="M220" t="s" s="45">
        <v>217</v>
      </c>
      <c r="N220" s="52">
        <v>143</v>
      </c>
      <c r="O220" s="44"/>
    </row>
    <row r="221" ht="23.1" customHeight="1">
      <c r="A221" t="s" s="24">
        <v>359</v>
      </c>
      <c r="B221" t="s" s="53">
        <v>359</v>
      </c>
      <c r="C221" t="s" s="53">
        <v>215</v>
      </c>
      <c r="D221" s="54">
        <v>42.7306673743453</v>
      </c>
      <c r="E221" s="54">
        <v>-73.6823699471182</v>
      </c>
      <c r="F221" s="55">
        <f>_xlfn.COUNTIFS('Connections'!$B$6:$B$589,A221)+_xlfn.COUNTIFS('Connections'!$C$6:$C$589,A221)</f>
        <v>3</v>
      </c>
      <c r="G221" s="55">
        <f>_xlfn.COUNTIFS('Connections'!$B$6:$B$589,A221,'Connections'!$D$6:$D$589,"TRUE")+_xlfn.COUNTIFS('Connections'!$C$6:$C$589,A221,'Connections'!$D$6:$D$589,"TRUE")</f>
        <v>3</v>
      </c>
      <c r="H221" t="s" s="48">
        <v>69</v>
      </c>
      <c r="I221" t="s" s="48">
        <v>70</v>
      </c>
      <c r="J221" s="49"/>
      <c r="K221" s="50"/>
      <c r="L221" s="56"/>
      <c r="M221" t="s" s="53">
        <v>217</v>
      </c>
      <c r="N221" s="57">
        <v>144</v>
      </c>
      <c r="O221" s="44"/>
    </row>
    <row r="222" ht="23.1" customHeight="1">
      <c r="A222" t="s" s="21">
        <v>360</v>
      </c>
      <c r="B222" t="s" s="45">
        <v>360</v>
      </c>
      <c r="C222" t="s" s="45">
        <v>215</v>
      </c>
      <c r="D222" s="46">
        <v>42.7306030016103</v>
      </c>
      <c r="E222" s="46">
        <v>-73.6826277922693</v>
      </c>
      <c r="F222" s="47">
        <f>_xlfn.COUNTIFS('Connections'!$B$6:$B$589,A222)+_xlfn.COUNTIFS('Connections'!$C$6:$C$589,A222)</f>
        <v>3</v>
      </c>
      <c r="G222" s="47">
        <f>_xlfn.COUNTIFS('Connections'!$B$6:$B$589,A222,'Connections'!$D$6:$D$589,"TRUE")+_xlfn.COUNTIFS('Connections'!$C$6:$C$589,A222,'Connections'!$D$6:$D$589,"TRUE")</f>
        <v>3</v>
      </c>
      <c r="H222" t="s" s="48">
        <v>69</v>
      </c>
      <c r="I222" t="s" s="48">
        <v>70</v>
      </c>
      <c r="J222" s="49"/>
      <c r="K222" s="50"/>
      <c r="L222" s="51"/>
      <c r="M222" t="s" s="45">
        <v>217</v>
      </c>
      <c r="N222" s="52">
        <v>145</v>
      </c>
      <c r="O222" s="44"/>
    </row>
    <row r="223" ht="23.1" customHeight="1">
      <c r="A223" t="s" s="24">
        <v>361</v>
      </c>
      <c r="B223" t="s" s="53">
        <v>361</v>
      </c>
      <c r="C223" t="s" s="53">
        <v>215</v>
      </c>
      <c r="D223" s="54">
        <v>42.7305754132952</v>
      </c>
      <c r="E223" s="54">
        <v>-73.6829381614326</v>
      </c>
      <c r="F223" s="55">
        <f>_xlfn.COUNTIFS('Connections'!$B$6:$B$589,A223)+_xlfn.COUNTIFS('Connections'!$C$6:$C$589,A223)</f>
        <v>4</v>
      </c>
      <c r="G223" s="55">
        <f>_xlfn.COUNTIFS('Connections'!$B$6:$B$589,A223,'Connections'!$D$6:$D$589,"TRUE")+_xlfn.COUNTIFS('Connections'!$C$6:$C$589,A223,'Connections'!$D$6:$D$589,"TRUE")</f>
        <v>3</v>
      </c>
      <c r="H223" t="s" s="48">
        <v>69</v>
      </c>
      <c r="I223" t="s" s="48">
        <v>70</v>
      </c>
      <c r="J223" s="49"/>
      <c r="K223" s="50"/>
      <c r="L223" s="56"/>
      <c r="M223" t="s" s="53">
        <v>217</v>
      </c>
      <c r="N223" s="57">
        <v>146</v>
      </c>
      <c r="O223" s="44"/>
    </row>
    <row r="224" ht="23.1" customHeight="1">
      <c r="A224" t="s" s="21">
        <v>362</v>
      </c>
      <c r="B224" t="s" s="45">
        <v>362</v>
      </c>
      <c r="C224" t="s" s="45">
        <v>215</v>
      </c>
      <c r="D224" s="46">
        <v>42.7304144814577</v>
      </c>
      <c r="E224" s="46">
        <v>-73.6830654923715</v>
      </c>
      <c r="F224" s="47">
        <f>_xlfn.COUNTIFS('Connections'!$B$6:$B$589,A224)+_xlfn.COUNTIFS('Connections'!$C$6:$C$589,A224)</f>
        <v>3</v>
      </c>
      <c r="G224" s="47">
        <f>_xlfn.COUNTIFS('Connections'!$B$6:$B$589,A224,'Connections'!$D$6:$D$589,"TRUE")+_xlfn.COUNTIFS('Connections'!$C$6:$C$589,A224,'Connections'!$D$6:$D$589,"TRUE")</f>
        <v>3</v>
      </c>
      <c r="H224" t="s" s="48">
        <v>69</v>
      </c>
      <c r="I224" t="s" s="48">
        <v>70</v>
      </c>
      <c r="J224" s="49"/>
      <c r="K224" s="50"/>
      <c r="L224" s="51"/>
      <c r="M224" t="s" s="45">
        <v>217</v>
      </c>
      <c r="N224" s="52">
        <v>147</v>
      </c>
      <c r="O224" s="44"/>
    </row>
    <row r="225" ht="23.1" customHeight="1">
      <c r="A225" t="s" s="24">
        <v>363</v>
      </c>
      <c r="B225" t="s" s="53">
        <v>363</v>
      </c>
      <c r="C225" t="s" s="53">
        <v>215</v>
      </c>
      <c r="D225" s="54">
        <v>42.7271809010362</v>
      </c>
      <c r="E225" s="54">
        <v>-73.6773196837572</v>
      </c>
      <c r="F225" s="55">
        <f>_xlfn.COUNTIFS('Connections'!$B$6:$B$589,A225)+_xlfn.COUNTIFS('Connections'!$C$6:$C$589,A225)</f>
        <v>3</v>
      </c>
      <c r="G225" s="55">
        <f>_xlfn.COUNTIFS('Connections'!$B$6:$B$589,A225,'Connections'!$D$6:$D$589,"TRUE")+_xlfn.COUNTIFS('Connections'!$C$6:$C$589,A225,'Connections'!$D$6:$D$589,"TRUE")</f>
        <v>3</v>
      </c>
      <c r="H225" t="s" s="48">
        <v>69</v>
      </c>
      <c r="I225" t="s" s="48">
        <v>70</v>
      </c>
      <c r="J225" s="49"/>
      <c r="K225" s="50"/>
      <c r="L225" s="56"/>
      <c r="M225" t="s" s="53">
        <v>217</v>
      </c>
      <c r="N225" s="57">
        <v>148</v>
      </c>
      <c r="O225" s="44"/>
    </row>
    <row r="226" ht="23.1" customHeight="1">
      <c r="A226" t="s" s="21">
        <v>364</v>
      </c>
      <c r="B226" t="s" s="45">
        <v>364</v>
      </c>
      <c r="C226" t="s" s="45">
        <v>215</v>
      </c>
      <c r="D226" s="46">
        <v>42.7270429594612</v>
      </c>
      <c r="E226" s="46">
        <v>-73.6768581091039</v>
      </c>
      <c r="F226" s="47">
        <f>_xlfn.COUNTIFS('Connections'!$B$6:$B$589,A226)+_xlfn.COUNTIFS('Connections'!$C$6:$C$589,A226)</f>
        <v>2</v>
      </c>
      <c r="G226" s="47">
        <f>_xlfn.COUNTIFS('Connections'!$B$6:$B$589,A226,'Connections'!$D$6:$D$589,"TRUE")+_xlfn.COUNTIFS('Connections'!$C$6:$C$589,A226,'Connections'!$D$6:$D$589,"TRUE")</f>
        <v>2</v>
      </c>
      <c r="H226" t="s" s="48">
        <v>69</v>
      </c>
      <c r="I226" t="s" s="48">
        <v>70</v>
      </c>
      <c r="J226" s="49"/>
      <c r="K226" s="50"/>
      <c r="L226" s="51"/>
      <c r="M226" t="s" s="45">
        <v>217</v>
      </c>
      <c r="N226" s="52">
        <v>149</v>
      </c>
      <c r="O226" s="44"/>
    </row>
    <row r="227" ht="23.1" customHeight="1">
      <c r="A227" t="s" s="24">
        <v>365</v>
      </c>
      <c r="B227" t="s" s="53">
        <v>365</v>
      </c>
      <c r="C227" t="s" s="53">
        <v>215</v>
      </c>
      <c r="D227" s="54">
        <v>42.726747534588</v>
      </c>
      <c r="E227" s="54">
        <v>-73.67633286898131</v>
      </c>
      <c r="F227" s="55">
        <f>_xlfn.COUNTIFS('Connections'!$B$6:$B$589,A227)+_xlfn.COUNTIFS('Connections'!$C$6:$C$589,A227)</f>
        <v>3</v>
      </c>
      <c r="G227" s="55">
        <f>_xlfn.COUNTIFS('Connections'!$B$6:$B$589,A227,'Connections'!$D$6:$D$589,"TRUE")+_xlfn.COUNTIFS('Connections'!$C$6:$C$589,A227,'Connections'!$D$6:$D$589,"TRUE")</f>
        <v>3</v>
      </c>
      <c r="H227" t="s" s="48">
        <v>69</v>
      </c>
      <c r="I227" t="s" s="48">
        <v>70</v>
      </c>
      <c r="J227" s="49"/>
      <c r="K227" s="50"/>
      <c r="L227" s="56"/>
      <c r="M227" t="s" s="53">
        <v>217</v>
      </c>
      <c r="N227" s="57">
        <v>150</v>
      </c>
      <c r="O227" s="44"/>
    </row>
    <row r="228" ht="23.1" customHeight="1">
      <c r="A228" t="s" s="21">
        <v>366</v>
      </c>
      <c r="B228" t="s" s="45">
        <v>366</v>
      </c>
      <c r="C228" t="s" s="45">
        <v>215</v>
      </c>
      <c r="D228" s="46">
        <v>42.7267050026023</v>
      </c>
      <c r="E228" s="46">
        <v>-73.67588721069539</v>
      </c>
      <c r="F228" s="47">
        <f>_xlfn.COUNTIFS('Connections'!$B$6:$B$589,A228)+_xlfn.COUNTIFS('Connections'!$C$6:$C$589,A228)</f>
        <v>2</v>
      </c>
      <c r="G228" s="47">
        <f>_xlfn.COUNTIFS('Connections'!$B$6:$B$589,A228,'Connections'!$D$6:$D$589,"TRUE")+_xlfn.COUNTIFS('Connections'!$C$6:$C$589,A228,'Connections'!$D$6:$D$589,"TRUE")</f>
        <v>2</v>
      </c>
      <c r="H228" t="s" s="48">
        <v>69</v>
      </c>
      <c r="I228" t="s" s="48">
        <v>70</v>
      </c>
      <c r="J228" s="49"/>
      <c r="K228" s="50"/>
      <c r="L228" s="51"/>
      <c r="M228" t="s" s="45">
        <v>217</v>
      </c>
      <c r="N228" s="52">
        <v>151</v>
      </c>
      <c r="O228" s="44"/>
    </row>
    <row r="229" ht="23.1" customHeight="1">
      <c r="A229" t="s" s="24">
        <v>367</v>
      </c>
      <c r="B229" t="s" s="53">
        <v>367</v>
      </c>
      <c r="C229" t="s" s="53">
        <v>215</v>
      </c>
      <c r="D229" s="54">
        <v>42.7268165053755</v>
      </c>
      <c r="E229" s="54">
        <v>-73.6754654269606</v>
      </c>
      <c r="F229" s="55">
        <f>_xlfn.COUNTIFS('Connections'!$B$6:$B$589,A229)+_xlfn.COUNTIFS('Connections'!$C$6:$C$589,A229)</f>
        <v>2</v>
      </c>
      <c r="G229" s="55">
        <f>_xlfn.COUNTIFS('Connections'!$B$6:$B$589,A229,'Connections'!$D$6:$D$589,"TRUE")+_xlfn.COUNTIFS('Connections'!$C$6:$C$589,A229,'Connections'!$D$6:$D$589,"TRUE")</f>
        <v>2</v>
      </c>
      <c r="H229" t="s" s="48">
        <v>69</v>
      </c>
      <c r="I229" t="s" s="48">
        <v>70</v>
      </c>
      <c r="J229" s="49"/>
      <c r="K229" s="50"/>
      <c r="L229" s="56"/>
      <c r="M229" t="s" s="53">
        <v>217</v>
      </c>
      <c r="N229" s="57">
        <v>152</v>
      </c>
      <c r="O229" s="44"/>
    </row>
    <row r="230" ht="23.1" customHeight="1">
      <c r="A230" t="s" s="21">
        <v>368</v>
      </c>
      <c r="B230" t="s" s="45">
        <v>368</v>
      </c>
      <c r="C230" t="s" s="45">
        <v>215</v>
      </c>
      <c r="D230" s="46">
        <v>42.7270199691987</v>
      </c>
      <c r="E230" s="46">
        <v>-73.67535401238911</v>
      </c>
      <c r="F230" s="47">
        <f>_xlfn.COUNTIFS('Connections'!$B$6:$B$589,A230)+_xlfn.COUNTIFS('Connections'!$C$6:$C$589,A230)</f>
        <v>4</v>
      </c>
      <c r="G230" s="47">
        <f>_xlfn.COUNTIFS('Connections'!$B$6:$B$589,A230,'Connections'!$D$6:$D$589,"TRUE")+_xlfn.COUNTIFS('Connections'!$C$6:$C$589,A230,'Connections'!$D$6:$D$589,"TRUE")</f>
        <v>4</v>
      </c>
      <c r="H230" t="s" s="48">
        <v>69</v>
      </c>
      <c r="I230" t="s" s="48">
        <v>70</v>
      </c>
      <c r="J230" s="49"/>
      <c r="K230" s="50"/>
      <c r="L230" s="51"/>
      <c r="M230" t="s" s="45">
        <v>217</v>
      </c>
      <c r="N230" s="52">
        <v>153</v>
      </c>
      <c r="O230" s="44"/>
    </row>
    <row r="231" ht="23.1" customHeight="1">
      <c r="A231" t="s" s="24">
        <v>369</v>
      </c>
      <c r="B231" t="s" s="53">
        <v>369</v>
      </c>
      <c r="C231" t="s" s="53">
        <v>215</v>
      </c>
      <c r="D231" s="54">
        <v>42.7263187661922</v>
      </c>
      <c r="E231" s="54">
        <v>-73.6756962142872</v>
      </c>
      <c r="F231" s="55">
        <f>_xlfn.COUNTIFS('Connections'!$B$6:$B$589,A231)+_xlfn.COUNTIFS('Connections'!$C$6:$C$589,A231)</f>
        <v>2</v>
      </c>
      <c r="G231" s="55">
        <f>_xlfn.COUNTIFS('Connections'!$B$6:$B$589,A231,'Connections'!$D$6:$D$589,"TRUE")+_xlfn.COUNTIFS('Connections'!$C$6:$C$589,A231,'Connections'!$D$6:$D$589,"TRUE")</f>
        <v>2</v>
      </c>
      <c r="H231" t="s" s="48">
        <v>69</v>
      </c>
      <c r="I231" t="s" s="48">
        <v>70</v>
      </c>
      <c r="J231" s="49"/>
      <c r="K231" s="50"/>
      <c r="L231" s="56"/>
      <c r="M231" t="s" s="53">
        <v>217</v>
      </c>
      <c r="N231" s="57">
        <v>154</v>
      </c>
      <c r="O231" s="44"/>
    </row>
    <row r="232" ht="23.1" customHeight="1">
      <c r="A232" t="s" s="21">
        <v>370</v>
      </c>
      <c r="B232" t="s" s="45">
        <v>370</v>
      </c>
      <c r="C232" t="s" s="45">
        <v>215</v>
      </c>
      <c r="D232" s="46">
        <v>42.7258049338252</v>
      </c>
      <c r="E232" s="46">
        <v>-73.6753301378381</v>
      </c>
      <c r="F232" s="47">
        <f>_xlfn.COUNTIFS('Connections'!$B$6:$B$589,A232)+_xlfn.COUNTIFS('Connections'!$C$6:$C$589,A232)</f>
        <v>2</v>
      </c>
      <c r="G232" s="47">
        <f>_xlfn.COUNTIFS('Connections'!$B$6:$B$589,A232,'Connections'!$D$6:$D$589,"TRUE")+_xlfn.COUNTIFS('Connections'!$C$6:$C$589,A232,'Connections'!$D$6:$D$589,"TRUE")</f>
        <v>2</v>
      </c>
      <c r="H232" t="s" s="48">
        <v>69</v>
      </c>
      <c r="I232" t="s" s="48">
        <v>70</v>
      </c>
      <c r="J232" s="49"/>
      <c r="K232" s="50"/>
      <c r="L232" s="51"/>
      <c r="M232" t="s" s="45">
        <v>217</v>
      </c>
      <c r="N232" s="52">
        <v>155</v>
      </c>
      <c r="O232" s="44"/>
    </row>
    <row r="233" ht="23.1" customHeight="1">
      <c r="A233" t="s" s="24">
        <v>371</v>
      </c>
      <c r="B233" t="s" s="53">
        <v>371</v>
      </c>
      <c r="C233" t="s" s="53">
        <v>215</v>
      </c>
      <c r="D233" s="54">
        <v>42.7251922433294</v>
      </c>
      <c r="E233" s="54">
        <v>-73.6753301378381</v>
      </c>
      <c r="F233" s="55">
        <f>_xlfn.COUNTIFS('Connections'!$B$6:$B$589,A233)+_xlfn.COUNTIFS('Connections'!$C$6:$C$589,A233)</f>
        <v>3</v>
      </c>
      <c r="G233" s="55">
        <f>_xlfn.COUNTIFS('Connections'!$B$6:$B$589,A233,'Connections'!$D$6:$D$589,"TRUE")+_xlfn.COUNTIFS('Connections'!$C$6:$C$589,A233,'Connections'!$D$6:$D$589,"TRUE")</f>
        <v>3</v>
      </c>
      <c r="H233" t="s" s="48">
        <v>69</v>
      </c>
      <c r="I233" t="s" s="48">
        <v>70</v>
      </c>
      <c r="J233" s="49"/>
      <c r="K233" s="50"/>
      <c r="L233" s="56"/>
      <c r="M233" t="s" s="53">
        <v>217</v>
      </c>
      <c r="N233" s="57">
        <v>156</v>
      </c>
      <c r="O233" s="44"/>
    </row>
    <row r="234" ht="23.1" customHeight="1">
      <c r="A234" t="s" s="21">
        <v>372</v>
      </c>
      <c r="B234" t="s" s="45">
        <v>372</v>
      </c>
      <c r="C234" t="s" s="45">
        <v>215</v>
      </c>
      <c r="D234" s="46">
        <v>42.7301845788326</v>
      </c>
      <c r="E234" s="46">
        <v>-73.683224656045</v>
      </c>
      <c r="F234" s="47">
        <f>_xlfn.COUNTIFS('Connections'!$B$6:$B$589,A234)+_xlfn.COUNTIFS('Connections'!$C$6:$C$589,A234)</f>
        <v>2</v>
      </c>
      <c r="G234" s="47">
        <f>_xlfn.COUNTIFS('Connections'!$B$6:$B$589,A234,'Connections'!$D$6:$D$589,"TRUE")+_xlfn.COUNTIFS('Connections'!$C$6:$C$589,A234,'Connections'!$D$6:$D$589,"TRUE")</f>
        <v>2</v>
      </c>
      <c r="H234" t="s" s="48">
        <v>69</v>
      </c>
      <c r="I234" t="s" s="48">
        <v>70</v>
      </c>
      <c r="J234" s="49"/>
      <c r="K234" s="50"/>
      <c r="L234" s="51"/>
      <c r="M234" t="s" s="45">
        <v>217</v>
      </c>
      <c r="N234" s="52">
        <v>157</v>
      </c>
      <c r="O234" s="44"/>
    </row>
    <row r="235" ht="23.1" customHeight="1">
      <c r="A235" t="s" s="24">
        <v>373</v>
      </c>
      <c r="B235" t="s" s="53">
        <v>373</v>
      </c>
      <c r="C235" t="s" s="53">
        <v>215</v>
      </c>
      <c r="D235" s="54">
        <v>42.730178831267</v>
      </c>
      <c r="E235" s="54">
        <v>-73.6835079673839</v>
      </c>
      <c r="F235" s="55">
        <f>_xlfn.COUNTIFS('Connections'!$B$6:$B$589,A235)+_xlfn.COUNTIFS('Connections'!$C$6:$C$589,A235)</f>
        <v>2</v>
      </c>
      <c r="G235" s="55">
        <f>_xlfn.COUNTIFS('Connections'!$B$6:$B$589,A235,'Connections'!$D$6:$D$589,"TRUE")+_xlfn.COUNTIFS('Connections'!$C$6:$C$589,A235,'Connections'!$D$6:$D$589,"TRUE")</f>
        <v>2</v>
      </c>
      <c r="H235" t="s" s="48">
        <v>69</v>
      </c>
      <c r="I235" t="s" s="48">
        <v>70</v>
      </c>
      <c r="J235" s="49"/>
      <c r="K235" s="50"/>
      <c r="L235" s="56"/>
      <c r="M235" t="s" s="53">
        <v>217</v>
      </c>
      <c r="N235" s="57">
        <v>158</v>
      </c>
      <c r="O235" s="44"/>
    </row>
    <row r="236" ht="23.1" customHeight="1">
      <c r="A236" t="s" s="21">
        <v>374</v>
      </c>
      <c r="B236" t="s" s="45">
        <v>374</v>
      </c>
      <c r="C236" t="s" s="45">
        <v>215</v>
      </c>
      <c r="D236" s="46">
        <v>42.7305524230327</v>
      </c>
      <c r="E236" s="46">
        <v>-73.68359709904099</v>
      </c>
      <c r="F236" s="47">
        <f>_xlfn.COUNTIFS('Connections'!$B$6:$B$589,A236)+_xlfn.COUNTIFS('Connections'!$C$6:$C$589,A236)</f>
        <v>2</v>
      </c>
      <c r="G236" s="47">
        <f>_xlfn.COUNTIFS('Connections'!$B$6:$B$589,A236,'Connections'!$D$6:$D$589,"TRUE")+_xlfn.COUNTIFS('Connections'!$C$6:$C$589,A236,'Connections'!$D$6:$D$589,"TRUE")</f>
        <v>2</v>
      </c>
      <c r="H236" t="s" s="48">
        <v>69</v>
      </c>
      <c r="I236" t="s" s="48">
        <v>70</v>
      </c>
      <c r="J236" s="49"/>
      <c r="K236" s="50"/>
      <c r="L236" s="51"/>
      <c r="M236" t="s" s="45">
        <v>217</v>
      </c>
      <c r="N236" s="52">
        <v>159</v>
      </c>
      <c r="O236" s="44"/>
    </row>
    <row r="237" ht="23.1" customHeight="1">
      <c r="A237" t="s" s="24">
        <v>375</v>
      </c>
      <c r="B237" t="s" s="53">
        <v>375</v>
      </c>
      <c r="C237" t="s" s="53">
        <v>215</v>
      </c>
      <c r="D237" s="54">
        <v>42.7308076149466</v>
      </c>
      <c r="E237" s="54">
        <v>-73.6834395270043</v>
      </c>
      <c r="F237" s="55">
        <f>_xlfn.COUNTIFS('Connections'!$B$6:$B$589,A237)+_xlfn.COUNTIFS('Connections'!$C$6:$C$589,A237)</f>
        <v>3</v>
      </c>
      <c r="G237" s="55">
        <f>_xlfn.COUNTIFS('Connections'!$B$6:$B$589,A237,'Connections'!$D$6:$D$589,"TRUE")+_xlfn.COUNTIFS('Connections'!$C$6:$C$589,A237,'Connections'!$D$6:$D$589,"TRUE")</f>
        <v>3</v>
      </c>
      <c r="H237" t="s" s="48">
        <v>69</v>
      </c>
      <c r="I237" t="s" s="48">
        <v>70</v>
      </c>
      <c r="J237" s="49"/>
      <c r="K237" s="50"/>
      <c r="L237" s="56"/>
      <c r="M237" t="s" s="53">
        <v>217</v>
      </c>
      <c r="N237" s="57">
        <v>160</v>
      </c>
      <c r="O237" s="44"/>
    </row>
    <row r="238" ht="23.1" customHeight="1">
      <c r="A238" t="s" s="21">
        <v>376</v>
      </c>
      <c r="B238" t="s" s="45">
        <v>376</v>
      </c>
      <c r="C238" t="s" s="45">
        <v>215</v>
      </c>
      <c r="D238" s="46">
        <v>42.7308949779441</v>
      </c>
      <c r="E238" s="46">
        <v>-73.6836225652288</v>
      </c>
      <c r="F238" s="47">
        <f>_xlfn.COUNTIFS('Connections'!$B$6:$B$589,A238)+_xlfn.COUNTIFS('Connections'!$C$6:$C$589,A238)</f>
        <v>3</v>
      </c>
      <c r="G238" s="47">
        <f>_xlfn.COUNTIFS('Connections'!$B$6:$B$589,A238,'Connections'!$D$6:$D$589,"TRUE")+_xlfn.COUNTIFS('Connections'!$C$6:$C$589,A238,'Connections'!$D$6:$D$589,"TRUE")</f>
        <v>3</v>
      </c>
      <c r="H238" t="s" s="48">
        <v>69</v>
      </c>
      <c r="I238" t="s" s="48">
        <v>70</v>
      </c>
      <c r="J238" s="49"/>
      <c r="K238" s="50"/>
      <c r="L238" s="51"/>
      <c r="M238" t="s" s="45">
        <v>217</v>
      </c>
      <c r="N238" s="52">
        <v>161</v>
      </c>
      <c r="O238" s="44"/>
    </row>
    <row r="239" ht="23.1" customHeight="1">
      <c r="A239" t="s" s="24">
        <v>377</v>
      </c>
      <c r="B239" t="s" s="53">
        <v>377</v>
      </c>
      <c r="C239" t="s" s="53">
        <v>215</v>
      </c>
      <c r="D239" s="54">
        <v>42.7302512505939</v>
      </c>
      <c r="E239" s="54">
        <v>-73.68438973413519</v>
      </c>
      <c r="F239" s="55">
        <f>_xlfn.COUNTIFS('Connections'!$B$6:$B$589,A239)+_xlfn.COUNTIFS('Connections'!$C$6:$C$589,A239)</f>
        <v>3</v>
      </c>
      <c r="G239" s="55">
        <f>_xlfn.COUNTIFS('Connections'!$B$6:$B$589,A239,'Connections'!$D$6:$D$589,"TRUE")+_xlfn.COUNTIFS('Connections'!$C$6:$C$589,A239,'Connections'!$D$6:$D$589,"TRUE")</f>
        <v>3</v>
      </c>
      <c r="H239" t="s" s="48">
        <v>69</v>
      </c>
      <c r="I239" t="s" s="48">
        <v>70</v>
      </c>
      <c r="J239" s="49"/>
      <c r="K239" s="50"/>
      <c r="L239" s="56"/>
      <c r="M239" t="s" s="53">
        <v>217</v>
      </c>
      <c r="N239" s="57">
        <v>162</v>
      </c>
      <c r="O239" s="44"/>
    </row>
    <row r="240" ht="23.1" customHeight="1">
      <c r="A240" t="s" s="21">
        <v>378</v>
      </c>
      <c r="B240" t="s" s="45">
        <v>378</v>
      </c>
      <c r="C240" t="s" s="45">
        <v>215</v>
      </c>
      <c r="D240" s="46">
        <v>42.7297132784513</v>
      </c>
      <c r="E240" s="46">
        <v>-73.68452502325771</v>
      </c>
      <c r="F240" s="47">
        <f>_xlfn.COUNTIFS('Connections'!$B$6:$B$589,A240)+_xlfn.COUNTIFS('Connections'!$C$6:$C$589,A240)</f>
        <v>3</v>
      </c>
      <c r="G240" s="47">
        <f>_xlfn.COUNTIFS('Connections'!$B$6:$B$589,A240,'Connections'!$D$6:$D$589,"TRUE")+_xlfn.COUNTIFS('Connections'!$C$6:$C$589,A240,'Connections'!$D$6:$D$589,"TRUE")</f>
        <v>3</v>
      </c>
      <c r="H240" t="s" s="48">
        <v>69</v>
      </c>
      <c r="I240" t="s" s="48">
        <v>70</v>
      </c>
      <c r="J240" s="49"/>
      <c r="K240" s="50"/>
      <c r="L240" s="51"/>
      <c r="M240" t="s" s="45">
        <v>217</v>
      </c>
      <c r="N240" s="52">
        <v>163</v>
      </c>
      <c r="O240" s="44"/>
    </row>
    <row r="241" ht="23.1" customHeight="1">
      <c r="A241" t="s" s="24">
        <v>379</v>
      </c>
      <c r="B241" t="s" s="53">
        <v>379</v>
      </c>
      <c r="C241" t="s" s="53">
        <v>215</v>
      </c>
      <c r="D241" s="54">
        <v>42.7294718806949</v>
      </c>
      <c r="E241" s="54">
        <v>-73.68440246722911</v>
      </c>
      <c r="F241" s="55">
        <f>_xlfn.COUNTIFS('Connections'!$B$6:$B$589,A241)+_xlfn.COUNTIFS('Connections'!$C$6:$C$589,A241)</f>
        <v>2</v>
      </c>
      <c r="G241" s="55">
        <f>_xlfn.COUNTIFS('Connections'!$B$6:$B$589,A241,'Connections'!$D$6:$D$589,"TRUE")+_xlfn.COUNTIFS('Connections'!$C$6:$C$589,A241,'Connections'!$D$6:$D$589,"TRUE")</f>
        <v>2</v>
      </c>
      <c r="H241" t="s" s="48">
        <v>69</v>
      </c>
      <c r="I241" t="s" s="48">
        <v>70</v>
      </c>
      <c r="J241" s="49"/>
      <c r="K241" s="50"/>
      <c r="L241" s="56"/>
      <c r="M241" t="s" s="53">
        <v>217</v>
      </c>
      <c r="N241" s="57">
        <v>164</v>
      </c>
      <c r="O241" s="44"/>
    </row>
    <row r="242" ht="23.1" customHeight="1">
      <c r="A242" t="s" s="21">
        <v>380</v>
      </c>
      <c r="B242" t="s" s="45">
        <v>380</v>
      </c>
      <c r="C242" t="s" s="45">
        <v>215</v>
      </c>
      <c r="D242" s="46">
        <v>42.7291822033874</v>
      </c>
      <c r="E242" s="46">
        <v>-73.6844979654332</v>
      </c>
      <c r="F242" s="47">
        <f>_xlfn.COUNTIFS('Connections'!$B$6:$B$589,A242)+_xlfn.COUNTIFS('Connections'!$C$6:$C$589,A242)</f>
        <v>2</v>
      </c>
      <c r="G242" s="47">
        <f>_xlfn.COUNTIFS('Connections'!$B$6:$B$589,A242,'Connections'!$D$6:$D$589,"TRUE")+_xlfn.COUNTIFS('Connections'!$C$6:$C$589,A242,'Connections'!$D$6:$D$589,"TRUE")</f>
        <v>2</v>
      </c>
      <c r="H242" t="s" s="48">
        <v>69</v>
      </c>
      <c r="I242" t="s" s="48">
        <v>70</v>
      </c>
      <c r="J242" s="49"/>
      <c r="K242" s="50"/>
      <c r="L242" s="51"/>
      <c r="M242" t="s" s="45">
        <v>217</v>
      </c>
      <c r="N242" s="52">
        <v>165</v>
      </c>
      <c r="O242" s="44"/>
    </row>
    <row r="243" ht="23.1" customHeight="1">
      <c r="A243" t="s" s="24">
        <v>381</v>
      </c>
      <c r="B243" t="s" s="53">
        <v>381</v>
      </c>
      <c r="C243" t="s" s="53">
        <v>215</v>
      </c>
      <c r="D243" s="54">
        <v>42.7290270191155</v>
      </c>
      <c r="E243" s="54">
        <v>-73.6845886887271</v>
      </c>
      <c r="F243" s="55">
        <f>_xlfn.COUNTIFS('Connections'!$B$6:$B$589,A243)+_xlfn.COUNTIFS('Connections'!$C$6:$C$589,A243)</f>
        <v>2</v>
      </c>
      <c r="G243" s="55">
        <f>_xlfn.COUNTIFS('Connections'!$B$6:$B$589,A243,'Connections'!$D$6:$D$589,"TRUE")+_xlfn.COUNTIFS('Connections'!$C$6:$C$589,A243,'Connections'!$D$6:$D$589,"TRUE")</f>
        <v>2</v>
      </c>
      <c r="H243" t="s" s="48">
        <v>69</v>
      </c>
      <c r="I243" t="s" s="48">
        <v>70</v>
      </c>
      <c r="J243" s="49"/>
      <c r="K243" s="50"/>
      <c r="L243" s="56"/>
      <c r="M243" t="s" s="53">
        <v>217</v>
      </c>
      <c r="N243" s="57">
        <v>166</v>
      </c>
      <c r="O243" s="44"/>
    </row>
    <row r="244" ht="23.1" customHeight="1">
      <c r="A244" t="s" s="21">
        <v>382</v>
      </c>
      <c r="B244" t="s" s="45">
        <v>382</v>
      </c>
      <c r="C244" t="s" s="45">
        <v>215</v>
      </c>
      <c r="D244" s="46">
        <v>42.7289936832348</v>
      </c>
      <c r="E244" s="46">
        <v>-73.6847367109435</v>
      </c>
      <c r="F244" s="47">
        <f>_xlfn.COUNTIFS('Connections'!$B$6:$B$589,A244)+_xlfn.COUNTIFS('Connections'!$C$6:$C$589,A244)</f>
        <v>3</v>
      </c>
      <c r="G244" s="47">
        <f>_xlfn.COUNTIFS('Connections'!$B$6:$B$589,A244,'Connections'!$D$6:$D$589,"TRUE")+_xlfn.COUNTIFS('Connections'!$C$6:$C$589,A244,'Connections'!$D$6:$D$589,"TRUE")</f>
        <v>3</v>
      </c>
      <c r="H244" t="s" s="48">
        <v>69</v>
      </c>
      <c r="I244" t="s" s="48">
        <v>70</v>
      </c>
      <c r="J244" s="49"/>
      <c r="K244" s="50"/>
      <c r="L244" s="51"/>
      <c r="M244" t="s" s="45">
        <v>217</v>
      </c>
      <c r="N244" s="52">
        <v>167</v>
      </c>
      <c r="O244" s="44"/>
    </row>
    <row r="245" ht="23.1" customHeight="1">
      <c r="A245" t="s" s="24">
        <v>383</v>
      </c>
      <c r="B245" t="s" s="53">
        <v>383</v>
      </c>
      <c r="C245" t="s" s="53">
        <v>215</v>
      </c>
      <c r="D245" s="54">
        <v>42.7285373265241</v>
      </c>
      <c r="E245" s="54">
        <v>-73.6848529004252</v>
      </c>
      <c r="F245" s="55">
        <f>_xlfn.COUNTIFS('Connections'!$B$6:$B$589,A245)+_xlfn.COUNTIFS('Connections'!$C$6:$C$589,A245)</f>
        <v>3</v>
      </c>
      <c r="G245" s="55">
        <f>_xlfn.COUNTIFS('Connections'!$B$6:$B$589,A245,'Connections'!$D$6:$D$589,"TRUE")+_xlfn.COUNTIFS('Connections'!$C$6:$C$589,A245,'Connections'!$D$6:$D$589,"TRUE")</f>
        <v>3</v>
      </c>
      <c r="H245" t="s" s="48">
        <v>69</v>
      </c>
      <c r="I245" t="s" s="48">
        <v>70</v>
      </c>
      <c r="J245" s="49"/>
      <c r="K245" s="50"/>
      <c r="L245" s="56"/>
      <c r="M245" t="s" s="53">
        <v>217</v>
      </c>
      <c r="N245" s="57">
        <v>168</v>
      </c>
      <c r="O245" s="44"/>
    </row>
    <row r="246" ht="23.1" customHeight="1">
      <c r="A246" t="s" s="21">
        <v>384</v>
      </c>
      <c r="B246" t="s" s="45">
        <v>384</v>
      </c>
      <c r="C246" t="s" s="45">
        <v>215</v>
      </c>
      <c r="D246" s="46">
        <v>42.7284832994072</v>
      </c>
      <c r="E246" s="46">
        <v>-73.6846141549149</v>
      </c>
      <c r="F246" s="47">
        <f>_xlfn.COUNTIFS('Connections'!$B$6:$B$589,A246)+_xlfn.COUNTIFS('Connections'!$C$6:$C$589,A246)</f>
        <v>2</v>
      </c>
      <c r="G246" s="47">
        <f>_xlfn.COUNTIFS('Connections'!$B$6:$B$589,A246,'Connections'!$D$6:$D$589,"TRUE")+_xlfn.COUNTIFS('Connections'!$C$6:$C$589,A246,'Connections'!$D$6:$D$589,"TRUE")</f>
        <v>2</v>
      </c>
      <c r="H246" t="s" s="48">
        <v>69</v>
      </c>
      <c r="I246" t="s" s="48">
        <v>70</v>
      </c>
      <c r="J246" s="49"/>
      <c r="K246" s="50"/>
      <c r="L246" s="51"/>
      <c r="M246" t="s" s="45">
        <v>217</v>
      </c>
      <c r="N246" s="52">
        <v>169</v>
      </c>
      <c r="O246" s="44"/>
    </row>
    <row r="247" ht="23.1" customHeight="1">
      <c r="A247" t="s" s="24">
        <v>385</v>
      </c>
      <c r="B247" t="s" s="53">
        <v>385</v>
      </c>
      <c r="C247" t="s" s="53">
        <v>215</v>
      </c>
      <c r="D247" s="54">
        <v>42.7287246971635</v>
      </c>
      <c r="E247" s="54">
        <v>-73.6844661326985</v>
      </c>
      <c r="F247" s="55">
        <f>_xlfn.COUNTIFS('Connections'!$B$6:$B$589,A247)+_xlfn.COUNTIFS('Connections'!$C$6:$C$589,A247)</f>
        <v>2</v>
      </c>
      <c r="G247" s="55">
        <f>_xlfn.COUNTIFS('Connections'!$B$6:$B$589,A247,'Connections'!$D$6:$D$589,"TRUE")+_xlfn.COUNTIFS('Connections'!$C$6:$C$589,A247,'Connections'!$D$6:$D$589,"TRUE")</f>
        <v>2</v>
      </c>
      <c r="H247" t="s" s="48">
        <v>69</v>
      </c>
      <c r="I247" t="s" s="48">
        <v>70</v>
      </c>
      <c r="J247" s="49"/>
      <c r="K247" s="50"/>
      <c r="L247" s="56"/>
      <c r="M247" t="s" s="53">
        <v>217</v>
      </c>
      <c r="N247" s="57">
        <v>170</v>
      </c>
      <c r="O247" s="44"/>
    </row>
    <row r="248" ht="23.1" customHeight="1">
      <c r="A248" t="s" s="21">
        <v>386</v>
      </c>
      <c r="B248" t="s" s="45">
        <v>386</v>
      </c>
      <c r="C248" t="s" s="45">
        <v>215</v>
      </c>
      <c r="D248" s="46">
        <v>42.7300638799545</v>
      </c>
      <c r="E248" s="46">
        <v>-73.6828076472204</v>
      </c>
      <c r="F248" s="47">
        <f>_xlfn.COUNTIFS('Connections'!$B$6:$B$589,A248)+_xlfn.COUNTIFS('Connections'!$C$6:$C$589,A248)</f>
        <v>2</v>
      </c>
      <c r="G248" s="47">
        <f>_xlfn.COUNTIFS('Connections'!$B$6:$B$589,A248,'Connections'!$D$6:$D$589,"TRUE")+_xlfn.COUNTIFS('Connections'!$C$6:$C$589,A248,'Connections'!$D$6:$D$589,"TRUE")</f>
        <v>2</v>
      </c>
      <c r="H248" t="s" s="48">
        <v>69</v>
      </c>
      <c r="I248" t="s" s="48">
        <v>70</v>
      </c>
      <c r="J248" s="49"/>
      <c r="K248" s="50"/>
      <c r="L248" s="51"/>
      <c r="M248" t="s" s="45">
        <v>217</v>
      </c>
      <c r="N248" s="52">
        <v>171</v>
      </c>
      <c r="O248" s="44"/>
    </row>
    <row r="249" ht="23.1" customHeight="1">
      <c r="A249" t="s" s="24">
        <v>387</v>
      </c>
      <c r="B249" t="s" s="53">
        <v>387</v>
      </c>
      <c r="C249" t="s" s="53">
        <v>215</v>
      </c>
      <c r="D249" s="54">
        <v>42.7298282297638</v>
      </c>
      <c r="E249" s="54">
        <v>-73.68278218103259</v>
      </c>
      <c r="F249" s="55">
        <f>_xlfn.COUNTIFS('Connections'!$B$6:$B$589,A249)+_xlfn.COUNTIFS('Connections'!$C$6:$C$589,A249)</f>
        <v>3</v>
      </c>
      <c r="G249" s="55">
        <f>_xlfn.COUNTIFS('Connections'!$B$6:$B$589,A249,'Connections'!$D$6:$D$589,"TRUE")+_xlfn.COUNTIFS('Connections'!$C$6:$C$589,A249,'Connections'!$D$6:$D$589,"TRUE")</f>
        <v>3</v>
      </c>
      <c r="H249" t="s" s="48">
        <v>69</v>
      </c>
      <c r="I249" t="s" s="48">
        <v>70</v>
      </c>
      <c r="J249" s="49"/>
      <c r="K249" s="50"/>
      <c r="L249" s="56"/>
      <c r="M249" t="s" s="53">
        <v>217</v>
      </c>
      <c r="N249" s="57">
        <v>172</v>
      </c>
      <c r="O249" s="44"/>
    </row>
    <row r="250" ht="23.1" customHeight="1">
      <c r="A250" t="s" s="21">
        <v>388</v>
      </c>
      <c r="B250" t="s" s="45">
        <v>388</v>
      </c>
      <c r="C250" t="s" s="45">
        <v>215</v>
      </c>
      <c r="D250" s="46">
        <v>42.729985713062</v>
      </c>
      <c r="E250" s="46">
        <v>-73.68231423983239</v>
      </c>
      <c r="F250" s="47">
        <f>_xlfn.COUNTIFS('Connections'!$B$6:$B$589,A250)+_xlfn.COUNTIFS('Connections'!$C$6:$C$589,A250)</f>
        <v>2</v>
      </c>
      <c r="G250" s="47">
        <f>_xlfn.COUNTIFS('Connections'!$B$6:$B$589,A250,'Connections'!$D$6:$D$589,"TRUE")+_xlfn.COUNTIFS('Connections'!$C$6:$C$589,A250,'Connections'!$D$6:$D$589,"TRUE")</f>
        <v>2</v>
      </c>
      <c r="H250" t="s" s="48">
        <v>69</v>
      </c>
      <c r="I250" t="s" s="48">
        <v>70</v>
      </c>
      <c r="J250" s="49"/>
      <c r="K250" s="50"/>
      <c r="L250" s="51"/>
      <c r="M250" t="s" s="45">
        <v>217</v>
      </c>
      <c r="N250" s="52">
        <v>173</v>
      </c>
      <c r="O250" s="44"/>
    </row>
    <row r="251" ht="23.1" customHeight="1">
      <c r="A251" t="s" s="24">
        <v>389</v>
      </c>
      <c r="B251" t="s" s="53">
        <v>389</v>
      </c>
      <c r="C251" t="s" s="53">
        <v>215</v>
      </c>
      <c r="D251" s="54">
        <v>42.729692587215</v>
      </c>
      <c r="E251" s="54">
        <v>-73.682977952351</v>
      </c>
      <c r="F251" s="55">
        <f>_xlfn.COUNTIFS('Connections'!$B$6:$B$589,A251)+_xlfn.COUNTIFS('Connections'!$C$6:$C$589,A251)</f>
        <v>2</v>
      </c>
      <c r="G251" s="55">
        <f>_xlfn.COUNTIFS('Connections'!$B$6:$B$589,A251,'Connections'!$D$6:$D$589,"TRUE")+_xlfn.COUNTIFS('Connections'!$C$6:$C$589,A251,'Connections'!$D$6:$D$589,"TRUE")</f>
        <v>2</v>
      </c>
      <c r="H251" t="s" s="48">
        <v>69</v>
      </c>
      <c r="I251" t="s" s="48">
        <v>70</v>
      </c>
      <c r="J251" s="49"/>
      <c r="K251" s="50"/>
      <c r="L251" s="56"/>
      <c r="M251" t="s" s="53">
        <v>217</v>
      </c>
      <c r="N251" s="57">
        <v>174</v>
      </c>
      <c r="O251" s="44"/>
    </row>
    <row r="252" ht="23.1" customHeight="1">
      <c r="A252" t="s" s="21">
        <v>390</v>
      </c>
      <c r="B252" t="s" s="45">
        <v>390</v>
      </c>
      <c r="C252" t="s" s="45">
        <v>215</v>
      </c>
      <c r="D252" s="46">
        <v>42.7294190030912</v>
      </c>
      <c r="E252" s="46">
        <v>-73.68305594255099</v>
      </c>
      <c r="F252" s="47">
        <f>_xlfn.COUNTIFS('Connections'!$B$6:$B$589,A252)+_xlfn.COUNTIFS('Connections'!$C$6:$C$589,A252)</f>
        <v>3</v>
      </c>
      <c r="G252" s="47">
        <f>_xlfn.COUNTIFS('Connections'!$B$6:$B$589,A252,'Connections'!$D$6:$D$589,"TRUE")+_xlfn.COUNTIFS('Connections'!$C$6:$C$589,A252,'Connections'!$D$6:$D$589,"TRUE")</f>
        <v>3</v>
      </c>
      <c r="H252" t="s" s="48">
        <v>69</v>
      </c>
      <c r="I252" t="s" s="48">
        <v>70</v>
      </c>
      <c r="J252" s="49"/>
      <c r="K252" s="50"/>
      <c r="L252" s="51"/>
      <c r="M252" t="s" s="45">
        <v>217</v>
      </c>
      <c r="N252" s="52">
        <v>175</v>
      </c>
      <c r="O252" s="44"/>
    </row>
    <row r="253" ht="23.1" customHeight="1">
      <c r="A253" t="s" s="24">
        <v>391</v>
      </c>
      <c r="B253" t="s" s="53">
        <v>391</v>
      </c>
      <c r="C253" t="s" s="53">
        <v>215</v>
      </c>
      <c r="D253" s="54">
        <v>42.7292074926761</v>
      </c>
      <c r="E253" s="54">
        <v>-73.6831021000164</v>
      </c>
      <c r="F253" s="55">
        <f>_xlfn.COUNTIFS('Connections'!$B$6:$B$589,A253)+_xlfn.COUNTIFS('Connections'!$C$6:$C$589,A253)</f>
        <v>2</v>
      </c>
      <c r="G253" s="55">
        <f>_xlfn.COUNTIFS('Connections'!$B$6:$B$589,A253,'Connections'!$D$6:$D$589,"TRUE")+_xlfn.COUNTIFS('Connections'!$C$6:$C$589,A253,'Connections'!$D$6:$D$589,"TRUE")</f>
        <v>2</v>
      </c>
      <c r="H253" t="s" s="48">
        <v>69</v>
      </c>
      <c r="I253" t="s" s="48">
        <v>70</v>
      </c>
      <c r="J253" s="49"/>
      <c r="K253" s="50"/>
      <c r="L253" s="56"/>
      <c r="M253" t="s" s="53">
        <v>217</v>
      </c>
      <c r="N253" s="57">
        <v>176</v>
      </c>
      <c r="O253" s="44"/>
    </row>
    <row r="254" ht="23.1" customHeight="1">
      <c r="A254" t="s" s="21">
        <v>392</v>
      </c>
      <c r="B254" t="s" s="45">
        <v>392</v>
      </c>
      <c r="C254" t="s" s="45">
        <v>215</v>
      </c>
      <c r="D254" s="46">
        <v>42.7288051630823</v>
      </c>
      <c r="E254" s="46">
        <v>-73.6831227912939</v>
      </c>
      <c r="F254" s="47">
        <f>_xlfn.COUNTIFS('Connections'!$B$6:$B$589,A254)+_xlfn.COUNTIFS('Connections'!$C$6:$C$589,A254)</f>
        <v>3</v>
      </c>
      <c r="G254" s="47">
        <f>_xlfn.COUNTIFS('Connections'!$B$6:$B$589,A254,'Connections'!$D$6:$D$589,"TRUE")+_xlfn.COUNTIFS('Connections'!$C$6:$C$589,A254,'Connections'!$D$6:$D$589,"TRUE")</f>
        <v>3</v>
      </c>
      <c r="H254" t="s" s="48">
        <v>69</v>
      </c>
      <c r="I254" t="s" s="48">
        <v>70</v>
      </c>
      <c r="J254" s="49"/>
      <c r="K254" s="50"/>
      <c r="L254" s="51"/>
      <c r="M254" t="s" s="45">
        <v>217</v>
      </c>
      <c r="N254" s="52">
        <v>177</v>
      </c>
      <c r="O254" s="44"/>
    </row>
    <row r="255" ht="23.1" customHeight="1">
      <c r="A255" t="s" s="24">
        <v>393</v>
      </c>
      <c r="B255" t="s" s="53">
        <v>393</v>
      </c>
      <c r="C255" t="s" s="53">
        <v>215</v>
      </c>
      <c r="D255" s="54">
        <v>42.7291649606905</v>
      </c>
      <c r="E255" s="54">
        <v>-73.68228559037119</v>
      </c>
      <c r="F255" s="55">
        <f>_xlfn.COUNTIFS('Connections'!$B$6:$B$589,A255)+_xlfn.COUNTIFS('Connections'!$C$6:$C$589,A255)</f>
        <v>2</v>
      </c>
      <c r="G255" s="55">
        <f>_xlfn.COUNTIFS('Connections'!$B$6:$B$589,A255,'Connections'!$D$6:$D$589,"TRUE")+_xlfn.COUNTIFS('Connections'!$C$6:$C$589,A255,'Connections'!$D$6:$D$589,"TRUE")</f>
        <v>2</v>
      </c>
      <c r="H255" t="s" s="48">
        <v>69</v>
      </c>
      <c r="I255" t="s" s="48">
        <v>70</v>
      </c>
      <c r="J255" s="49"/>
      <c r="K255" s="50"/>
      <c r="L255" s="56"/>
      <c r="M255" t="s" s="53">
        <v>217</v>
      </c>
      <c r="N255" s="57">
        <v>178</v>
      </c>
      <c r="O255" s="44"/>
    </row>
    <row r="256" ht="23.1" customHeight="1">
      <c r="A256" t="s" s="21">
        <v>394</v>
      </c>
      <c r="B256" t="s" s="45">
        <v>394</v>
      </c>
      <c r="C256" t="s" s="45">
        <v>215</v>
      </c>
      <c r="D256" s="46">
        <v>42.728591353641</v>
      </c>
      <c r="E256" s="46">
        <v>-73.6832771800573</v>
      </c>
      <c r="F256" s="47">
        <f>_xlfn.COUNTIFS('Connections'!$B$6:$B$589,A256)+_xlfn.COUNTIFS('Connections'!$C$6:$C$589,A256)</f>
        <v>2</v>
      </c>
      <c r="G256" s="47">
        <f>_xlfn.COUNTIFS('Connections'!$B$6:$B$589,A256,'Connections'!$D$6:$D$589,"TRUE")+_xlfn.COUNTIFS('Connections'!$C$6:$C$589,A256,'Connections'!$D$6:$D$589,"TRUE")</f>
        <v>2</v>
      </c>
      <c r="H256" t="s" s="48">
        <v>69</v>
      </c>
      <c r="I256" t="s" s="48">
        <v>70</v>
      </c>
      <c r="J256" s="49"/>
      <c r="K256" s="50"/>
      <c r="L256" s="51"/>
      <c r="M256" t="s" s="45">
        <v>217</v>
      </c>
      <c r="N256" s="52">
        <v>179</v>
      </c>
      <c r="O256" s="44"/>
    </row>
    <row r="257" ht="23.1" customHeight="1">
      <c r="A257" t="s" s="24">
        <v>395</v>
      </c>
      <c r="B257" t="s" s="53">
        <v>395</v>
      </c>
      <c r="C257" t="s" s="53">
        <v>215</v>
      </c>
      <c r="D257" s="54">
        <v>42.7283855907915</v>
      </c>
      <c r="E257" s="54">
        <v>-73.683326520796</v>
      </c>
      <c r="F257" s="55">
        <f>_xlfn.COUNTIFS('Connections'!$B$6:$B$589,A257)+_xlfn.COUNTIFS('Connections'!$C$6:$C$589,A257)</f>
        <v>2</v>
      </c>
      <c r="G257" s="55">
        <f>_xlfn.COUNTIFS('Connections'!$B$6:$B$589,A257,'Connections'!$D$6:$D$589,"TRUE")+_xlfn.COUNTIFS('Connections'!$C$6:$C$589,A257,'Connections'!$D$6:$D$589,"TRUE")</f>
        <v>2</v>
      </c>
      <c r="H257" t="s" s="48">
        <v>69</v>
      </c>
      <c r="I257" t="s" s="48">
        <v>70</v>
      </c>
      <c r="J257" s="49"/>
      <c r="K257" s="50"/>
      <c r="L257" s="56"/>
      <c r="M257" t="s" s="53">
        <v>217</v>
      </c>
      <c r="N257" s="57">
        <v>180</v>
      </c>
      <c r="O257" s="44"/>
    </row>
    <row r="258" ht="23.1" customHeight="1">
      <c r="A258" t="s" s="21">
        <v>396</v>
      </c>
      <c r="B258" t="s" s="45">
        <v>396</v>
      </c>
      <c r="C258" t="s" s="45">
        <v>215</v>
      </c>
      <c r="D258" s="46">
        <v>42.7276958829164</v>
      </c>
      <c r="E258" s="46">
        <v>-73.6824606704121</v>
      </c>
      <c r="F258" s="47">
        <f>_xlfn.COUNTIFS('Connections'!$B$6:$B$589,A258)+_xlfn.COUNTIFS('Connections'!$C$6:$C$589,A258)</f>
        <v>3</v>
      </c>
      <c r="G258" s="47">
        <f>_xlfn.COUNTIFS('Connections'!$B$6:$B$589,A258,'Connections'!$D$6:$D$589,"TRUE")+_xlfn.COUNTIFS('Connections'!$C$6:$C$589,A258,'Connections'!$D$6:$D$589,"TRUE")</f>
        <v>3</v>
      </c>
      <c r="H258" t="s" s="48">
        <v>69</v>
      </c>
      <c r="I258" t="s" s="48">
        <v>70</v>
      </c>
      <c r="J258" s="49"/>
      <c r="K258" s="50"/>
      <c r="L258" s="51"/>
      <c r="M258" t="s" s="45">
        <v>217</v>
      </c>
      <c r="N258" s="52">
        <v>181</v>
      </c>
      <c r="O258" s="44"/>
    </row>
    <row r="259" ht="23.1" customHeight="1">
      <c r="A259" t="s" s="24">
        <v>397</v>
      </c>
      <c r="B259" t="s" s="53">
        <v>397</v>
      </c>
      <c r="C259" t="s" s="53">
        <v>215</v>
      </c>
      <c r="D259" s="54">
        <v>42.7280028029208</v>
      </c>
      <c r="E259" s="54">
        <v>-73.68154229601581</v>
      </c>
      <c r="F259" s="55">
        <f>_xlfn.COUNTIFS('Connections'!$B$6:$B$589,A259)+_xlfn.COUNTIFS('Connections'!$C$6:$C$589,A259)</f>
        <v>2</v>
      </c>
      <c r="G259" s="55">
        <f>_xlfn.COUNTIFS('Connections'!$B$6:$B$589,A259,'Connections'!$D$6:$D$589,"TRUE")+_xlfn.COUNTIFS('Connections'!$C$6:$C$589,A259,'Connections'!$D$6:$D$589,"TRUE")</f>
        <v>2</v>
      </c>
      <c r="H259" t="s" s="48">
        <v>69</v>
      </c>
      <c r="I259" t="s" s="48">
        <v>70</v>
      </c>
      <c r="J259" s="49"/>
      <c r="K259" s="50"/>
      <c r="L259" s="56"/>
      <c r="M259" t="s" s="53">
        <v>217</v>
      </c>
      <c r="N259" s="57">
        <v>182</v>
      </c>
      <c r="O259" s="44"/>
    </row>
    <row r="260" ht="23.1" customHeight="1">
      <c r="A260" t="s" s="21">
        <v>398</v>
      </c>
      <c r="B260" t="s" s="45">
        <v>398</v>
      </c>
      <c r="C260" t="s" s="45">
        <v>215</v>
      </c>
      <c r="D260" s="46">
        <v>42.7283016763334</v>
      </c>
      <c r="E260" s="46">
        <v>-73.6801480222357</v>
      </c>
      <c r="F260" s="47">
        <f>_xlfn.COUNTIFS('Connections'!$B$6:$B$589,A260)+_xlfn.COUNTIFS('Connections'!$C$6:$C$589,A260)</f>
        <v>3</v>
      </c>
      <c r="G260" s="47">
        <f>_xlfn.COUNTIFS('Connections'!$B$6:$B$589,A260,'Connections'!$D$6:$D$589,"TRUE")+_xlfn.COUNTIFS('Connections'!$C$6:$C$589,A260,'Connections'!$D$6:$D$589,"TRUE")</f>
        <v>3</v>
      </c>
      <c r="H260" t="s" s="48">
        <v>69</v>
      </c>
      <c r="I260" t="s" s="48">
        <v>70</v>
      </c>
      <c r="J260" s="49"/>
      <c r="K260" s="50"/>
      <c r="L260" s="51"/>
      <c r="M260" t="s" s="45">
        <v>217</v>
      </c>
      <c r="N260" s="52">
        <v>183</v>
      </c>
      <c r="O260" s="44"/>
    </row>
    <row r="261" ht="23.1" customHeight="1">
      <c r="A261" t="s" s="24">
        <v>399</v>
      </c>
      <c r="B261" t="s" s="53">
        <v>399</v>
      </c>
      <c r="C261" t="s" s="53">
        <v>215</v>
      </c>
      <c r="D261" s="54">
        <v>42.7280694746821</v>
      </c>
      <c r="E261" s="54">
        <v>-73.6786502920678</v>
      </c>
      <c r="F261" s="55">
        <f>_xlfn.COUNTIFS('Connections'!$B$6:$B$589,A261)+_xlfn.COUNTIFS('Connections'!$C$6:$C$589,A261)</f>
        <v>2</v>
      </c>
      <c r="G261" s="55">
        <f>_xlfn.COUNTIFS('Connections'!$B$6:$B$589,A261,'Connections'!$D$6:$D$589,"TRUE")+_xlfn.COUNTIFS('Connections'!$C$6:$C$589,A261,'Connections'!$D$6:$D$589,"TRUE")</f>
        <v>2</v>
      </c>
      <c r="H261" t="s" s="48">
        <v>69</v>
      </c>
      <c r="I261" t="s" s="48">
        <v>70</v>
      </c>
      <c r="J261" s="49"/>
      <c r="K261" s="50"/>
      <c r="L261" s="56"/>
      <c r="M261" t="s" s="53">
        <v>217</v>
      </c>
      <c r="N261" s="57">
        <v>184</v>
      </c>
      <c r="O261" s="44"/>
    </row>
    <row r="262" ht="23.1" customHeight="1">
      <c r="A262" t="s" s="21">
        <v>400</v>
      </c>
      <c r="B262" t="s" s="45">
        <v>400</v>
      </c>
      <c r="C262" t="s" s="45">
        <v>215</v>
      </c>
      <c r="D262" s="46">
        <v>42.7278935991739</v>
      </c>
      <c r="E262" s="46">
        <v>-73.6786884913495</v>
      </c>
      <c r="F262" s="47">
        <f>_xlfn.COUNTIFS('Connections'!$B$6:$B$589,A262)+_xlfn.COUNTIFS('Connections'!$C$6:$C$589,A262)</f>
        <v>3</v>
      </c>
      <c r="G262" s="47">
        <f>_xlfn.COUNTIFS('Connections'!$B$6:$B$589,A262,'Connections'!$D$6:$D$589,"TRUE")+_xlfn.COUNTIFS('Connections'!$C$6:$C$589,A262,'Connections'!$D$6:$D$589,"TRUE")</f>
        <v>3</v>
      </c>
      <c r="H262" t="s" s="48">
        <v>69</v>
      </c>
      <c r="I262" t="s" s="48">
        <v>70</v>
      </c>
      <c r="J262" s="49"/>
      <c r="K262" s="50"/>
      <c r="L262" s="51"/>
      <c r="M262" t="s" s="45">
        <v>217</v>
      </c>
      <c r="N262" s="52">
        <v>185</v>
      </c>
      <c r="O262" s="44"/>
    </row>
    <row r="263" ht="23.1" customHeight="1">
      <c r="A263" t="s" s="24">
        <v>401</v>
      </c>
      <c r="B263" t="s" s="53">
        <v>401</v>
      </c>
      <c r="C263" t="s" s="53">
        <v>215</v>
      </c>
      <c r="D263" s="54">
        <v>42.7277706012695</v>
      </c>
      <c r="E263" s="54">
        <v>-73.6787680731863</v>
      </c>
      <c r="F263" s="55">
        <f>_xlfn.COUNTIFS('Connections'!$B$6:$B$589,A263)+_xlfn.COUNTIFS('Connections'!$C$6:$C$589,A263)</f>
        <v>2</v>
      </c>
      <c r="G263" s="55">
        <f>_xlfn.COUNTIFS('Connections'!$B$6:$B$589,A263,'Connections'!$D$6:$D$589,"TRUE")+_xlfn.COUNTIFS('Connections'!$C$6:$C$589,A263,'Connections'!$D$6:$D$589,"TRUE")</f>
        <v>2</v>
      </c>
      <c r="H263" t="s" s="48">
        <v>69</v>
      </c>
      <c r="I263" t="s" s="48">
        <v>70</v>
      </c>
      <c r="J263" s="49"/>
      <c r="K263" s="50"/>
      <c r="L263" s="56"/>
      <c r="M263" t="s" s="53">
        <v>217</v>
      </c>
      <c r="N263" s="57">
        <v>186</v>
      </c>
      <c r="O263" s="44"/>
    </row>
    <row r="264" ht="23.1" customHeight="1">
      <c r="A264" t="s" s="21">
        <v>402</v>
      </c>
      <c r="B264" t="s" s="45">
        <v>402</v>
      </c>
      <c r="C264" t="s" s="45">
        <v>215</v>
      </c>
      <c r="D264" s="46">
        <v>42.7278798050164</v>
      </c>
      <c r="E264" s="46">
        <v>-73.67960527410899</v>
      </c>
      <c r="F264" s="47">
        <f>_xlfn.COUNTIFS('Connections'!$B$6:$B$589,A264)+_xlfn.COUNTIFS('Connections'!$C$6:$C$589,A264)</f>
        <v>2</v>
      </c>
      <c r="G264" s="47">
        <f>_xlfn.COUNTIFS('Connections'!$B$6:$B$589,A264,'Connections'!$D$6:$D$589,"TRUE")+_xlfn.COUNTIFS('Connections'!$C$6:$C$589,A264,'Connections'!$D$6:$D$589,"TRUE")</f>
        <v>2</v>
      </c>
      <c r="H264" t="s" s="48">
        <v>69</v>
      </c>
      <c r="I264" t="s" s="48">
        <v>70</v>
      </c>
      <c r="J264" s="49"/>
      <c r="K264" s="50"/>
      <c r="L264" s="51"/>
      <c r="M264" t="s" s="45">
        <v>217</v>
      </c>
      <c r="N264" s="52">
        <v>187</v>
      </c>
      <c r="O264" s="44"/>
    </row>
    <row r="265" ht="23.1" customHeight="1">
      <c r="A265" t="s" s="24">
        <v>403</v>
      </c>
      <c r="B265" t="s" s="53">
        <v>403</v>
      </c>
      <c r="C265" t="s" s="53">
        <v>215</v>
      </c>
      <c r="D265" s="54">
        <v>42.7280579795508</v>
      </c>
      <c r="E265" s="54">
        <v>-73.67991405163561</v>
      </c>
      <c r="F265" s="55">
        <f>_xlfn.COUNTIFS('Connections'!$B$6:$B$589,A265)+_xlfn.COUNTIFS('Connections'!$C$6:$C$589,A265)</f>
        <v>2</v>
      </c>
      <c r="G265" s="55">
        <f>_xlfn.COUNTIFS('Connections'!$B$6:$B$589,A265,'Connections'!$D$6:$D$589,"TRUE")+_xlfn.COUNTIFS('Connections'!$C$6:$C$589,A265,'Connections'!$D$6:$D$589,"TRUE")</f>
        <v>2</v>
      </c>
      <c r="H265" t="s" s="48">
        <v>69</v>
      </c>
      <c r="I265" t="s" s="48">
        <v>70</v>
      </c>
      <c r="J265" s="49"/>
      <c r="K265" s="50"/>
      <c r="L265" s="56"/>
      <c r="M265" t="s" s="53">
        <v>217</v>
      </c>
      <c r="N265" s="57">
        <v>188</v>
      </c>
      <c r="O265" s="44"/>
    </row>
    <row r="266" ht="23.1" customHeight="1">
      <c r="A266" t="s" s="21">
        <v>404</v>
      </c>
      <c r="B266" t="s" s="45">
        <v>404</v>
      </c>
      <c r="C266" t="s" s="45">
        <v>215</v>
      </c>
      <c r="D266" s="46">
        <v>42.7280832688396</v>
      </c>
      <c r="E266" s="46">
        <v>-73.6803597099215</v>
      </c>
      <c r="F266" s="47">
        <f>_xlfn.COUNTIFS('Connections'!$B$6:$B$589,A266)+_xlfn.COUNTIFS('Connections'!$C$6:$C$589,A266)</f>
        <v>3</v>
      </c>
      <c r="G266" s="47">
        <f>_xlfn.COUNTIFS('Connections'!$B$6:$B$589,A266,'Connections'!$D$6:$D$589,"TRUE")+_xlfn.COUNTIFS('Connections'!$C$6:$C$589,A266,'Connections'!$D$6:$D$589,"TRUE")</f>
        <v>3</v>
      </c>
      <c r="H266" t="s" s="48">
        <v>69</v>
      </c>
      <c r="I266" t="s" s="48">
        <v>70</v>
      </c>
      <c r="J266" s="49"/>
      <c r="K266" s="50"/>
      <c r="L266" s="51"/>
      <c r="M266" t="s" s="45">
        <v>217</v>
      </c>
      <c r="N266" s="52">
        <v>189</v>
      </c>
      <c r="O266" s="44"/>
    </row>
    <row r="267" ht="23.1" customHeight="1">
      <c r="A267" t="s" s="24">
        <v>405</v>
      </c>
      <c r="B267" t="s" s="53">
        <v>405</v>
      </c>
      <c r="C267" t="s" s="53">
        <v>215</v>
      </c>
      <c r="D267" s="54">
        <v>42.7268509907693</v>
      </c>
      <c r="E267" s="54">
        <v>-73.6781314184922</v>
      </c>
      <c r="F267" s="55">
        <f>_xlfn.COUNTIFS('Connections'!$B$6:$B$589,A267)+_xlfn.COUNTIFS('Connections'!$C$6:$C$589,A267)</f>
        <v>3</v>
      </c>
      <c r="G267" s="55">
        <f>_xlfn.COUNTIFS('Connections'!$B$6:$B$589,A267,'Connections'!$D$6:$D$589,"TRUE")+_xlfn.COUNTIFS('Connections'!$C$6:$C$589,A267,'Connections'!$D$6:$D$589,"TRUE")</f>
        <v>3</v>
      </c>
      <c r="H267" t="s" s="48">
        <v>69</v>
      </c>
      <c r="I267" t="s" s="48">
        <v>70</v>
      </c>
      <c r="J267" s="49"/>
      <c r="K267" s="50"/>
      <c r="L267" s="56"/>
      <c r="M267" t="s" s="53">
        <v>217</v>
      </c>
      <c r="N267" s="57">
        <v>190</v>
      </c>
      <c r="O267" s="44"/>
    </row>
    <row r="268" ht="23.1" customHeight="1">
      <c r="A268" t="s" s="21">
        <v>406</v>
      </c>
      <c r="B268" t="s" s="45">
        <v>406</v>
      </c>
      <c r="C268" t="s" s="45">
        <v>215</v>
      </c>
      <c r="D268" s="46">
        <v>42.7270579031318</v>
      </c>
      <c r="E268" s="46">
        <v>-73.6775043136185</v>
      </c>
      <c r="F268" s="47">
        <f>_xlfn.COUNTIFS('Connections'!$B$6:$B$589,A268)+_xlfn.COUNTIFS('Connections'!$C$6:$C$589,A268)</f>
        <v>2</v>
      </c>
      <c r="G268" s="47">
        <f>_xlfn.COUNTIFS('Connections'!$B$6:$B$589,A268,'Connections'!$D$6:$D$589,"TRUE")+_xlfn.COUNTIFS('Connections'!$C$6:$C$589,A268,'Connections'!$D$6:$D$589,"TRUE")</f>
        <v>2</v>
      </c>
      <c r="H268" t="s" s="48">
        <v>69</v>
      </c>
      <c r="I268" t="s" s="48">
        <v>70</v>
      </c>
      <c r="J268" s="49"/>
      <c r="K268" s="50"/>
      <c r="L268" s="51"/>
      <c r="M268" t="s" s="45">
        <v>217</v>
      </c>
      <c r="N268" s="52">
        <v>191</v>
      </c>
      <c r="O268" s="44"/>
    </row>
    <row r="269" ht="23.1" customHeight="1">
      <c r="A269" t="s" s="24">
        <v>407</v>
      </c>
      <c r="B269" t="s" s="53">
        <v>407</v>
      </c>
      <c r="C269" t="s" s="53">
        <v>215</v>
      </c>
      <c r="D269" s="54">
        <v>42.7270785943681</v>
      </c>
      <c r="E269" s="54">
        <v>-73.678090035937</v>
      </c>
      <c r="F269" s="55">
        <f>_xlfn.COUNTIFS('Connections'!$B$6:$B$589,A269)+_xlfn.COUNTIFS('Connections'!$C$6:$C$589,A269)</f>
        <v>3</v>
      </c>
      <c r="G269" s="55">
        <f>_xlfn.COUNTIFS('Connections'!$B$6:$B$589,A269,'Connections'!$D$6:$D$589,"TRUE")+_xlfn.COUNTIFS('Connections'!$C$6:$C$589,A269,'Connections'!$D$6:$D$589,"TRUE")</f>
        <v>3</v>
      </c>
      <c r="H269" t="s" s="48">
        <v>69</v>
      </c>
      <c r="I269" t="s" s="48">
        <v>70</v>
      </c>
      <c r="J269" s="49"/>
      <c r="K269" s="50"/>
      <c r="L269" s="56"/>
      <c r="M269" t="s" s="53">
        <v>217</v>
      </c>
      <c r="N269" s="57">
        <v>192</v>
      </c>
      <c r="O269" s="44"/>
    </row>
    <row r="270" ht="23.1" customHeight="1">
      <c r="A270" t="s" s="21">
        <v>408</v>
      </c>
      <c r="B270" t="s" s="45">
        <v>408</v>
      </c>
      <c r="C270" t="s" s="45">
        <v>215</v>
      </c>
      <c r="D270" s="46">
        <v>42.7257589533002</v>
      </c>
      <c r="E270" s="46">
        <v>-73.6784545207494</v>
      </c>
      <c r="F270" s="47">
        <f>_xlfn.COUNTIFS('Connections'!$B$6:$B$589,A270)+_xlfn.COUNTIFS('Connections'!$C$6:$C$589,A270)</f>
        <v>2</v>
      </c>
      <c r="G270" s="47">
        <f>_xlfn.COUNTIFS('Connections'!$B$6:$B$589,A270,'Connections'!$D$6:$D$589,"TRUE")+_xlfn.COUNTIFS('Connections'!$C$6:$C$589,A270,'Connections'!$D$6:$D$589,"TRUE")</f>
        <v>2</v>
      </c>
      <c r="H270" t="s" s="48">
        <v>69</v>
      </c>
      <c r="I270" t="s" s="48">
        <v>70</v>
      </c>
      <c r="J270" s="49"/>
      <c r="K270" s="50"/>
      <c r="L270" s="51"/>
      <c r="M270" t="s" s="45">
        <v>217</v>
      </c>
      <c r="N270" s="52">
        <v>193</v>
      </c>
      <c r="O270" s="44"/>
    </row>
    <row r="271" ht="23.1" customHeight="1">
      <c r="A271" t="s" s="24">
        <v>409</v>
      </c>
      <c r="B271" t="s" s="53">
        <v>409</v>
      </c>
      <c r="C271" t="s" s="53">
        <v>215</v>
      </c>
      <c r="D271" s="54">
        <v>42.7248899213775</v>
      </c>
      <c r="E271" s="54">
        <v>-73.6736812021804</v>
      </c>
      <c r="F271" s="55">
        <f>_xlfn.COUNTIFS('Connections'!$B$6:$B$589,A271)+_xlfn.COUNTIFS('Connections'!$C$6:$C$589,A271)</f>
        <v>2</v>
      </c>
      <c r="G271" s="55">
        <f>_xlfn.COUNTIFS('Connections'!$B$6:$B$589,A271,'Connections'!$D$6:$D$589,"TRUE")+_xlfn.COUNTIFS('Connections'!$C$6:$C$589,A271,'Connections'!$D$6:$D$589,"TRUE")</f>
        <v>2</v>
      </c>
      <c r="H271" t="s" s="48">
        <v>69</v>
      </c>
      <c r="I271" t="s" s="48">
        <v>70</v>
      </c>
      <c r="J271" s="49"/>
      <c r="K271" s="50"/>
      <c r="L271" s="56"/>
      <c r="M271" t="s" s="53">
        <v>217</v>
      </c>
      <c r="N271" s="57">
        <v>194</v>
      </c>
      <c r="O271" s="44"/>
    </row>
    <row r="272" ht="23.1" customHeight="1">
      <c r="A272" t="s" s="21">
        <v>410</v>
      </c>
      <c r="B272" t="s" s="45">
        <v>410</v>
      </c>
      <c r="C272" t="s" s="45">
        <v>215</v>
      </c>
      <c r="D272" s="46">
        <v>42.7268969712943</v>
      </c>
      <c r="E272" s="46">
        <v>-73.6735156719599</v>
      </c>
      <c r="F272" s="47">
        <f>_xlfn.COUNTIFS('Connections'!$B$6:$B$589,A272)+_xlfn.COUNTIFS('Connections'!$C$6:$C$589,A272)</f>
        <v>1</v>
      </c>
      <c r="G272" s="47">
        <f>_xlfn.COUNTIFS('Connections'!$B$6:$B$589,A272,'Connections'!$D$6:$D$589,"TRUE")+_xlfn.COUNTIFS('Connections'!$C$6:$C$589,A272,'Connections'!$D$6:$D$589,"TRUE")</f>
        <v>1</v>
      </c>
      <c r="H272" t="s" s="48">
        <v>69</v>
      </c>
      <c r="I272" t="s" s="48">
        <v>70</v>
      </c>
      <c r="J272" s="49"/>
      <c r="K272" s="50"/>
      <c r="L272" s="51"/>
      <c r="M272" t="s" s="45">
        <v>217</v>
      </c>
      <c r="N272" s="52">
        <v>195</v>
      </c>
      <c r="O272" s="44"/>
    </row>
    <row r="273" ht="23.1" customHeight="1">
      <c r="A273" t="s" s="24">
        <v>411</v>
      </c>
      <c r="B273" t="s" s="53">
        <v>411</v>
      </c>
      <c r="C273" t="s" s="53">
        <v>215</v>
      </c>
      <c r="D273" s="54">
        <v>42.7268257014805</v>
      </c>
      <c r="E273" s="54">
        <v>-73.6731448206006</v>
      </c>
      <c r="F273" s="55">
        <f>_xlfn.COUNTIFS('Connections'!$B$6:$B$589,A273)+_xlfn.COUNTIFS('Connections'!$C$6:$C$589,A273)</f>
        <v>3</v>
      </c>
      <c r="G273" s="55">
        <f>_xlfn.COUNTIFS('Connections'!$B$6:$B$589,A273,'Connections'!$D$6:$D$589,"TRUE")+_xlfn.COUNTIFS('Connections'!$C$6:$C$589,A273,'Connections'!$D$6:$D$589,"TRUE")</f>
        <v>3</v>
      </c>
      <c r="H273" t="s" s="48">
        <v>69</v>
      </c>
      <c r="I273" t="s" s="48">
        <v>70</v>
      </c>
      <c r="J273" s="49"/>
      <c r="K273" s="50"/>
      <c r="L273" s="56"/>
      <c r="M273" t="s" s="53">
        <v>217</v>
      </c>
      <c r="N273" s="57">
        <v>196</v>
      </c>
      <c r="O273" s="44"/>
    </row>
    <row r="274" ht="23.1" customHeight="1">
      <c r="A274" t="s" s="21">
        <v>412</v>
      </c>
      <c r="B274" t="s" s="45">
        <v>412</v>
      </c>
      <c r="C274" t="s" s="45">
        <v>215</v>
      </c>
      <c r="D274" s="46">
        <v>42.7268889247024</v>
      </c>
      <c r="E274" s="46">
        <v>-73.67405682844991</v>
      </c>
      <c r="F274" s="47">
        <f>_xlfn.COUNTIFS('Connections'!$B$6:$B$589,A274)+_xlfn.COUNTIFS('Connections'!$C$6:$C$589,A274)</f>
        <v>2</v>
      </c>
      <c r="G274" s="47">
        <f>_xlfn.COUNTIFS('Connections'!$B$6:$B$589,A274,'Connections'!$D$6:$D$589,"TRUE")+_xlfn.COUNTIFS('Connections'!$C$6:$C$589,A274,'Connections'!$D$6:$D$589,"TRUE")</f>
        <v>2</v>
      </c>
      <c r="H274" t="s" s="48">
        <v>69</v>
      </c>
      <c r="I274" t="s" s="48">
        <v>70</v>
      </c>
      <c r="J274" s="49"/>
      <c r="K274" s="50"/>
      <c r="L274" s="51"/>
      <c r="M274" t="s" s="45">
        <v>217</v>
      </c>
      <c r="N274" s="52">
        <v>197</v>
      </c>
      <c r="O274" s="44"/>
    </row>
    <row r="275" ht="23.1" customHeight="1">
      <c r="A275" t="s" s="24">
        <v>413</v>
      </c>
      <c r="B275" t="s" s="53">
        <v>413</v>
      </c>
      <c r="C275" t="s" s="53">
        <v>215</v>
      </c>
      <c r="D275" s="54">
        <v>42.7268532897955</v>
      </c>
      <c r="E275" s="54">
        <v>-73.67435923942961</v>
      </c>
      <c r="F275" s="55">
        <f>_xlfn.COUNTIFS('Connections'!$B$6:$B$589,A275)+_xlfn.COUNTIFS('Connections'!$C$6:$C$589,A275)</f>
        <v>2</v>
      </c>
      <c r="G275" s="55">
        <f>_xlfn.COUNTIFS('Connections'!$B$6:$B$589,A275,'Connections'!$D$6:$D$589,"TRUE")+_xlfn.COUNTIFS('Connections'!$C$6:$C$589,A275,'Connections'!$D$6:$D$589,"TRUE")</f>
        <v>2</v>
      </c>
      <c r="H275" t="s" s="48">
        <v>69</v>
      </c>
      <c r="I275" t="s" s="48">
        <v>70</v>
      </c>
      <c r="J275" s="49"/>
      <c r="K275" s="50"/>
      <c r="L275" s="56"/>
      <c r="M275" t="s" s="53">
        <v>217</v>
      </c>
      <c r="N275" s="57">
        <v>198</v>
      </c>
      <c r="O275" s="44"/>
    </row>
    <row r="276" ht="23.1" customHeight="1">
      <c r="A276" t="s" s="21">
        <v>414</v>
      </c>
      <c r="B276" t="s" s="45">
        <v>414</v>
      </c>
      <c r="C276" t="s" s="45">
        <v>215</v>
      </c>
      <c r="D276" s="46">
        <v>42.7282901812021</v>
      </c>
      <c r="E276" s="46">
        <v>-73.6761959882221</v>
      </c>
      <c r="F276" s="47">
        <f>_xlfn.COUNTIFS('Connections'!$B$6:$B$589,A276)+_xlfn.COUNTIFS('Connections'!$C$6:$C$589,A276)</f>
        <v>2</v>
      </c>
      <c r="G276" s="47">
        <f>_xlfn.COUNTIFS('Connections'!$B$6:$B$589,A276,'Connections'!$D$6:$D$589,"TRUE")+_xlfn.COUNTIFS('Connections'!$C$6:$C$589,A276,'Connections'!$D$6:$D$589,"TRUE")</f>
        <v>2</v>
      </c>
      <c r="H276" t="s" s="48">
        <v>69</v>
      </c>
      <c r="I276" t="s" s="48">
        <v>70</v>
      </c>
      <c r="J276" s="49"/>
      <c r="K276" s="50"/>
      <c r="L276" s="51"/>
      <c r="M276" t="s" s="45">
        <v>217</v>
      </c>
      <c r="N276" s="52">
        <v>199</v>
      </c>
      <c r="O276" s="44"/>
    </row>
    <row r="277" ht="23.1" customHeight="1">
      <c r="A277" t="s" s="24">
        <v>415</v>
      </c>
      <c r="B277" t="s" s="53">
        <v>415</v>
      </c>
      <c r="C277" t="s" s="53">
        <v>215</v>
      </c>
      <c r="D277" s="54">
        <v>42.7275981743007</v>
      </c>
      <c r="E277" s="54">
        <v>-73.67550521787901</v>
      </c>
      <c r="F277" s="55">
        <f>_xlfn.COUNTIFS('Connections'!$B$6:$B$589,A277)+_xlfn.COUNTIFS('Connections'!$C$6:$C$589,A277)</f>
        <v>3</v>
      </c>
      <c r="G277" s="55">
        <f>_xlfn.COUNTIFS('Connections'!$B$6:$B$589,A277,'Connections'!$D$6:$D$589,"TRUE")+_xlfn.COUNTIFS('Connections'!$C$6:$C$589,A277,'Connections'!$D$6:$D$589,"TRUE")</f>
        <v>2</v>
      </c>
      <c r="H277" t="s" s="48">
        <v>69</v>
      </c>
      <c r="I277" t="s" s="48">
        <v>70</v>
      </c>
      <c r="J277" s="49"/>
      <c r="K277" s="50"/>
      <c r="L277" s="56"/>
      <c r="M277" t="s" s="53">
        <v>217</v>
      </c>
      <c r="N277" s="57">
        <v>200</v>
      </c>
      <c r="O277" s="44"/>
    </row>
    <row r="278" ht="23.1" customHeight="1">
      <c r="A278" t="s" s="21">
        <v>416</v>
      </c>
      <c r="B278" t="s" s="45">
        <v>416</v>
      </c>
      <c r="C278" t="s" s="45">
        <v>215</v>
      </c>
      <c r="D278" s="46">
        <v>42.7270579031318</v>
      </c>
      <c r="E278" s="46">
        <v>-73.6755688833484</v>
      </c>
      <c r="F278" s="47">
        <f>_xlfn.COUNTIFS('Connections'!$B$6:$B$589,A278)+_xlfn.COUNTIFS('Connections'!$C$6:$C$589,A278)</f>
        <v>2</v>
      </c>
      <c r="G278" s="47">
        <f>_xlfn.COUNTIFS('Connections'!$B$6:$B$589,A278,'Connections'!$D$6:$D$589,"TRUE")+_xlfn.COUNTIFS('Connections'!$C$6:$C$589,A278,'Connections'!$D$6:$D$589,"TRUE")</f>
        <v>2</v>
      </c>
      <c r="H278" t="s" s="48">
        <v>69</v>
      </c>
      <c r="I278" t="s" s="48">
        <v>70</v>
      </c>
      <c r="J278" s="49"/>
      <c r="K278" s="50"/>
      <c r="L278" s="51"/>
      <c r="M278" t="s" s="45">
        <v>217</v>
      </c>
      <c r="N278" s="52">
        <v>201</v>
      </c>
      <c r="O278" s="44"/>
    </row>
    <row r="279" ht="23.1" customHeight="1">
      <c r="A279" t="s" s="24">
        <v>417</v>
      </c>
      <c r="B279" t="s" s="53">
        <v>417</v>
      </c>
      <c r="C279" t="s" s="53">
        <v>215</v>
      </c>
      <c r="D279" s="54">
        <v>42.7278533662145</v>
      </c>
      <c r="E279" s="54">
        <v>-73.67464891731539</v>
      </c>
      <c r="F279" s="55">
        <f>_xlfn.COUNTIFS('Connections'!$B$6:$B$589,A279)+_xlfn.COUNTIFS('Connections'!$C$6:$C$589,A279)</f>
        <v>3</v>
      </c>
      <c r="G279" s="55">
        <f>_xlfn.COUNTIFS('Connections'!$B$6:$B$589,A279,'Connections'!$D$6:$D$589,"TRUE")+_xlfn.COUNTIFS('Connections'!$C$6:$C$589,A279,'Connections'!$D$6:$D$589,"TRUE")</f>
        <v>3</v>
      </c>
      <c r="H279" t="s" s="48">
        <v>69</v>
      </c>
      <c r="I279" t="s" s="48">
        <v>70</v>
      </c>
      <c r="J279" s="49"/>
      <c r="K279" s="50"/>
      <c r="L279" s="56"/>
      <c r="M279" t="s" s="53">
        <v>217</v>
      </c>
      <c r="N279" s="57">
        <v>202</v>
      </c>
      <c r="O279" s="44"/>
    </row>
    <row r="280" ht="23.1" customHeight="1">
      <c r="A280" t="s" s="21">
        <v>418</v>
      </c>
      <c r="B280" t="s" s="45">
        <v>418</v>
      </c>
      <c r="C280" t="s" s="45">
        <v>215</v>
      </c>
      <c r="D280" s="46">
        <v>42.7276384072601</v>
      </c>
      <c r="E280" s="46">
        <v>-73.6758824357852</v>
      </c>
      <c r="F280" s="47">
        <f>_xlfn.COUNTIFS('Connections'!$B$6:$B$589,A280)+_xlfn.COUNTIFS('Connections'!$C$6:$C$589,A280)</f>
        <v>2</v>
      </c>
      <c r="G280" s="47">
        <f>_xlfn.COUNTIFS('Connections'!$B$6:$B$589,A280,'Connections'!$D$6:$D$589,"TRUE")+_xlfn.COUNTIFS('Connections'!$C$6:$C$589,A280,'Connections'!$D$6:$D$589,"TRUE")</f>
        <v>1</v>
      </c>
      <c r="H280" t="s" s="48">
        <v>69</v>
      </c>
      <c r="I280" t="s" s="48">
        <v>70</v>
      </c>
      <c r="J280" s="49"/>
      <c r="K280" s="50"/>
      <c r="L280" s="51"/>
      <c r="M280" t="s" s="45">
        <v>217</v>
      </c>
      <c r="N280" s="52">
        <v>203</v>
      </c>
      <c r="O280" s="44"/>
    </row>
    <row r="281" ht="23.1" customHeight="1">
      <c r="A281" t="s" s="24">
        <v>419</v>
      </c>
      <c r="B281" t="s" s="53">
        <v>419</v>
      </c>
      <c r="C281" t="s" s="53">
        <v>215</v>
      </c>
      <c r="D281" s="54">
        <v>42.7314295015473</v>
      </c>
      <c r="E281" s="54">
        <v>-73.6812669428606</v>
      </c>
      <c r="F281" s="55">
        <f>_xlfn.COUNTIFS('Connections'!$B$6:$B$589,A281)+_xlfn.COUNTIFS('Connections'!$C$6:$C$589,A281)</f>
        <v>2</v>
      </c>
      <c r="G281" s="55">
        <f>_xlfn.COUNTIFS('Connections'!$B$6:$B$589,A281,'Connections'!$D$6:$D$589,"TRUE")+_xlfn.COUNTIFS('Connections'!$C$6:$C$589,A281,'Connections'!$D$6:$D$589,"TRUE")</f>
        <v>2</v>
      </c>
      <c r="H281" t="s" s="48">
        <v>69</v>
      </c>
      <c r="I281" t="s" s="48">
        <v>70</v>
      </c>
      <c r="J281" s="49"/>
      <c r="K281" s="50"/>
      <c r="L281" s="56"/>
      <c r="M281" t="s" s="53">
        <v>217</v>
      </c>
      <c r="N281" s="57">
        <v>204</v>
      </c>
      <c r="O281" s="44"/>
    </row>
    <row r="282" ht="23.1" customHeight="1">
      <c r="A282" t="s" s="21">
        <v>420</v>
      </c>
      <c r="B282" t="s" s="45">
        <v>420</v>
      </c>
      <c r="C282" t="s" s="45">
        <v>215</v>
      </c>
      <c r="D282" s="46">
        <v>42.7321157608832</v>
      </c>
      <c r="E282" s="46">
        <v>-73.6818335655384</v>
      </c>
      <c r="F282" s="47">
        <f>_xlfn.COUNTIFS('Connections'!$B$6:$B$589,A282)+_xlfn.COUNTIFS('Connections'!$C$6:$C$589,A282)</f>
        <v>3</v>
      </c>
      <c r="G282" s="47">
        <f>_xlfn.COUNTIFS('Connections'!$B$6:$B$589,A282,'Connections'!$D$6:$D$589,"TRUE")+_xlfn.COUNTIFS('Connections'!$C$6:$C$589,A282,'Connections'!$D$6:$D$589,"TRUE")</f>
        <v>3</v>
      </c>
      <c r="H282" t="s" s="48">
        <v>69</v>
      </c>
      <c r="I282" t="s" s="48">
        <v>70</v>
      </c>
      <c r="J282" s="49"/>
      <c r="K282" s="50"/>
      <c r="L282" s="51"/>
      <c r="M282" t="s" s="45">
        <v>217</v>
      </c>
      <c r="N282" s="52">
        <v>205</v>
      </c>
      <c r="O282" s="44"/>
    </row>
    <row r="283" ht="23.1" customHeight="1">
      <c r="A283" t="s" s="24">
        <v>421</v>
      </c>
      <c r="B283" t="s" s="53">
        <v>421</v>
      </c>
      <c r="C283" t="s" s="53">
        <v>215</v>
      </c>
      <c r="D283" s="54">
        <v>42.7316961885924</v>
      </c>
      <c r="E283" s="54">
        <v>-73.6815900451179</v>
      </c>
      <c r="F283" s="55">
        <f>_xlfn.COUNTIFS('Connections'!$B$6:$B$589,A283)+_xlfn.COUNTIFS('Connections'!$C$6:$C$589,A283)</f>
        <v>2</v>
      </c>
      <c r="G283" s="55">
        <f>_xlfn.COUNTIFS('Connections'!$B$6:$B$589,A283,'Connections'!$D$6:$D$589,"TRUE")+_xlfn.COUNTIFS('Connections'!$C$6:$C$589,A283,'Connections'!$D$6:$D$589,"TRUE")</f>
        <v>2</v>
      </c>
      <c r="H283" t="s" s="48">
        <v>69</v>
      </c>
      <c r="I283" t="s" s="48">
        <v>70</v>
      </c>
      <c r="J283" s="49"/>
      <c r="K283" s="50"/>
      <c r="L283" s="56"/>
      <c r="M283" t="s" s="53">
        <v>217</v>
      </c>
      <c r="N283" s="57">
        <v>206</v>
      </c>
      <c r="O283" s="44"/>
    </row>
    <row r="284" ht="23.1" customHeight="1">
      <c r="A284" t="s" s="21">
        <v>422</v>
      </c>
      <c r="B284" t="s" s="45">
        <v>422</v>
      </c>
      <c r="C284" t="s" s="45">
        <v>215</v>
      </c>
      <c r="D284" s="46">
        <v>42.731563994583</v>
      </c>
      <c r="E284" s="46">
        <v>-73.6814738556362</v>
      </c>
      <c r="F284" s="47">
        <f>_xlfn.COUNTIFS('Connections'!$B$6:$B$589,A284)+_xlfn.COUNTIFS('Connections'!$C$6:$C$589,A284)</f>
        <v>3</v>
      </c>
      <c r="G284" s="47">
        <f>_xlfn.COUNTIFS('Connections'!$B$6:$B$589,A284,'Connections'!$D$6:$D$589,"TRUE")+_xlfn.COUNTIFS('Connections'!$C$6:$C$589,A284,'Connections'!$D$6:$D$589,"TRUE")</f>
        <v>3</v>
      </c>
      <c r="H284" t="s" s="48">
        <v>69</v>
      </c>
      <c r="I284" t="s" s="48">
        <v>70</v>
      </c>
      <c r="J284" s="49"/>
      <c r="K284" s="50"/>
      <c r="L284" s="51"/>
      <c r="M284" t="s" s="45">
        <v>217</v>
      </c>
      <c r="N284" s="52">
        <v>207</v>
      </c>
      <c r="O284" s="44"/>
    </row>
    <row r="285" ht="23.1" customHeight="1">
      <c r="A285" t="s" s="24">
        <v>423</v>
      </c>
      <c r="B285" t="s" s="53">
        <v>423</v>
      </c>
      <c r="C285" t="s" s="53">
        <v>215</v>
      </c>
      <c r="D285" s="54">
        <v>42.7314961733086</v>
      </c>
      <c r="E285" s="54">
        <v>-73.68159322839131</v>
      </c>
      <c r="F285" s="55">
        <f>_xlfn.COUNTIFS('Connections'!$B$6:$B$589,A285)+_xlfn.COUNTIFS('Connections'!$C$6:$C$589,A285)</f>
        <v>4</v>
      </c>
      <c r="G285" s="55">
        <f>_xlfn.COUNTIFS('Connections'!$B$6:$B$589,A285,'Connections'!$D$6:$D$589,"TRUE")+_xlfn.COUNTIFS('Connections'!$C$6:$C$589,A285,'Connections'!$D$6:$D$589,"TRUE")</f>
        <v>4</v>
      </c>
      <c r="H285" t="s" s="48">
        <v>69</v>
      </c>
      <c r="I285" t="s" s="48">
        <v>70</v>
      </c>
      <c r="J285" s="49"/>
      <c r="K285" s="50"/>
      <c r="L285" s="56"/>
      <c r="M285" t="s" s="53">
        <v>217</v>
      </c>
      <c r="N285" s="57">
        <v>208</v>
      </c>
      <c r="O285" s="44"/>
    </row>
    <row r="286" ht="23.1" customHeight="1">
      <c r="A286" t="s" s="21">
        <v>424</v>
      </c>
      <c r="B286" t="s" s="45">
        <v>424</v>
      </c>
      <c r="C286" t="s" s="45">
        <v>215</v>
      </c>
      <c r="D286" s="46">
        <v>42.7312283367504</v>
      </c>
      <c r="E286" s="46">
        <v>-73.6816123280322</v>
      </c>
      <c r="F286" s="47">
        <f>_xlfn.COUNTIFS('Connections'!$B$6:$B$589,A286)+_xlfn.COUNTIFS('Connections'!$C$6:$C$589,A286)</f>
        <v>2</v>
      </c>
      <c r="G286" s="47">
        <f>_xlfn.COUNTIFS('Connections'!$B$6:$B$589,A286,'Connections'!$D$6:$D$589,"TRUE")+_xlfn.COUNTIFS('Connections'!$C$6:$C$589,A286,'Connections'!$D$6:$D$589,"TRUE")</f>
        <v>2</v>
      </c>
      <c r="H286" t="s" s="48">
        <v>69</v>
      </c>
      <c r="I286" t="s" s="48">
        <v>70</v>
      </c>
      <c r="J286" s="49"/>
      <c r="K286" s="50"/>
      <c r="L286" s="51"/>
      <c r="M286" t="s" s="45">
        <v>217</v>
      </c>
      <c r="N286" s="52">
        <v>209</v>
      </c>
      <c r="O286" s="44"/>
    </row>
    <row r="287" ht="23.1" customHeight="1">
      <c r="A287" t="s" s="24">
        <v>425</v>
      </c>
      <c r="B287" t="s" s="53">
        <v>425</v>
      </c>
      <c r="C287" t="s" s="53">
        <v>215</v>
      </c>
      <c r="D287" s="54">
        <v>42.7321088638044</v>
      </c>
      <c r="E287" s="54">
        <v>-73.6827057824693</v>
      </c>
      <c r="F287" s="55">
        <f>_xlfn.COUNTIFS('Connections'!$B$6:$B$589,A287)+_xlfn.COUNTIFS('Connections'!$C$6:$C$589,A287)</f>
        <v>2</v>
      </c>
      <c r="G287" s="55">
        <f>_xlfn.COUNTIFS('Connections'!$B$6:$B$589,A287,'Connections'!$D$6:$D$589,"TRUE")+_xlfn.COUNTIFS('Connections'!$C$6:$C$589,A287,'Connections'!$D$6:$D$589,"TRUE")</f>
        <v>2</v>
      </c>
      <c r="H287" t="s" s="48">
        <v>69</v>
      </c>
      <c r="I287" t="s" s="48">
        <v>70</v>
      </c>
      <c r="J287" s="49"/>
      <c r="K287" s="50"/>
      <c r="L287" s="56"/>
      <c r="M287" t="s" s="53">
        <v>217</v>
      </c>
      <c r="N287" s="57">
        <v>210</v>
      </c>
      <c r="O287" s="44"/>
    </row>
    <row r="288" ht="23.1" customHeight="1">
      <c r="A288" t="s" s="21">
        <v>426</v>
      </c>
      <c r="B288" t="s" s="45">
        <v>426</v>
      </c>
      <c r="C288" t="s" s="45">
        <v>215</v>
      </c>
      <c r="D288" s="46">
        <v>42.7318513728643</v>
      </c>
      <c r="E288" s="46">
        <v>-73.6831450742082</v>
      </c>
      <c r="F288" s="47">
        <f>_xlfn.COUNTIFS('Connections'!$B$6:$B$589,A288)+_xlfn.COUNTIFS('Connections'!$C$6:$C$589,A288)</f>
        <v>3</v>
      </c>
      <c r="G288" s="47">
        <f>_xlfn.COUNTIFS('Connections'!$B$6:$B$589,A288,'Connections'!$D$6:$D$589,"TRUE")+_xlfn.COUNTIFS('Connections'!$C$6:$C$589,A288,'Connections'!$D$6:$D$589,"TRUE")</f>
        <v>3</v>
      </c>
      <c r="H288" t="s" s="48">
        <v>69</v>
      </c>
      <c r="I288" t="s" s="48">
        <v>70</v>
      </c>
      <c r="J288" s="49"/>
      <c r="K288" s="50"/>
      <c r="L288" s="51"/>
      <c r="M288" t="s" s="45">
        <v>217</v>
      </c>
      <c r="N288" s="52">
        <v>211</v>
      </c>
      <c r="O288" s="44"/>
    </row>
    <row r="289" ht="23.1" customHeight="1">
      <c r="A289" t="s" s="24">
        <v>427</v>
      </c>
      <c r="B289" t="s" s="53">
        <v>427</v>
      </c>
      <c r="C289" t="s" s="53">
        <v>215</v>
      </c>
      <c r="D289" s="54">
        <v>42.7318513728643</v>
      </c>
      <c r="E289" s="54">
        <v>-73.68258800135089</v>
      </c>
      <c r="F289" s="55">
        <f>_xlfn.COUNTIFS('Connections'!$B$6:$B$589,A289)+_xlfn.COUNTIFS('Connections'!$C$6:$C$589,A289)</f>
        <v>3</v>
      </c>
      <c r="G289" s="55">
        <f>_xlfn.COUNTIFS('Connections'!$B$6:$B$589,A289,'Connections'!$D$6:$D$589,"TRUE")+_xlfn.COUNTIFS('Connections'!$C$6:$C$589,A289,'Connections'!$D$6:$D$589,"TRUE")</f>
        <v>3</v>
      </c>
      <c r="H289" t="s" s="48">
        <v>69</v>
      </c>
      <c r="I289" t="s" s="48">
        <v>70</v>
      </c>
      <c r="J289" s="49"/>
      <c r="K289" s="50"/>
      <c r="L289" s="56"/>
      <c r="M289" t="s" s="53">
        <v>217</v>
      </c>
      <c r="N289" s="57">
        <v>212</v>
      </c>
      <c r="O289" s="44"/>
    </row>
    <row r="290" ht="23.1" customHeight="1">
      <c r="A290" t="s" s="21">
        <v>428</v>
      </c>
      <c r="B290" t="s" s="45">
        <v>428</v>
      </c>
      <c r="C290" t="s" s="45">
        <v>215</v>
      </c>
      <c r="D290" s="46">
        <v>42.7314651364542</v>
      </c>
      <c r="E290" s="46">
        <v>-73.68275989811831</v>
      </c>
      <c r="F290" s="47">
        <f>_xlfn.COUNTIFS('Connections'!$B$6:$B$589,A290)+_xlfn.COUNTIFS('Connections'!$C$6:$C$589,A290)</f>
        <v>4</v>
      </c>
      <c r="G290" s="47">
        <f>_xlfn.COUNTIFS('Connections'!$B$6:$B$589,A290,'Connections'!$D$6:$D$589,"TRUE")+_xlfn.COUNTIFS('Connections'!$C$6:$C$589,A290,'Connections'!$D$6:$D$589,"TRUE")</f>
        <v>4</v>
      </c>
      <c r="H290" t="s" s="48">
        <v>69</v>
      </c>
      <c r="I290" t="s" s="48">
        <v>70</v>
      </c>
      <c r="J290" s="49"/>
      <c r="K290" s="50"/>
      <c r="L290" s="51"/>
      <c r="M290" t="s" s="45">
        <v>217</v>
      </c>
      <c r="N290" s="52">
        <v>213</v>
      </c>
      <c r="O290" s="44"/>
    </row>
    <row r="291" ht="23.1" customHeight="1">
      <c r="A291" t="s" s="24">
        <v>429</v>
      </c>
      <c r="B291" t="s" s="53">
        <v>429</v>
      </c>
      <c r="C291" t="s" s="53">
        <v>215</v>
      </c>
      <c r="D291" s="54">
        <v>42.7310306204929</v>
      </c>
      <c r="E291" s="54">
        <v>-73.68239223003241</v>
      </c>
      <c r="F291" s="55">
        <f>_xlfn.COUNTIFS('Connections'!$B$6:$B$589,A291)+_xlfn.COUNTIFS('Connections'!$C$6:$C$589,A291)</f>
        <v>2</v>
      </c>
      <c r="G291" s="55">
        <f>_xlfn.COUNTIFS('Connections'!$B$6:$B$589,A291,'Connections'!$D$6:$D$589,"TRUE")+_xlfn.COUNTIFS('Connections'!$C$6:$C$589,A291,'Connections'!$D$6:$D$589,"TRUE")</f>
        <v>1</v>
      </c>
      <c r="H291" t="s" s="48">
        <v>69</v>
      </c>
      <c r="I291" t="s" s="48">
        <v>70</v>
      </c>
      <c r="J291" s="49"/>
      <c r="K291" s="50"/>
      <c r="L291" s="56"/>
      <c r="M291" t="s" s="53">
        <v>217</v>
      </c>
      <c r="N291" s="57">
        <v>214</v>
      </c>
      <c r="O291" s="44"/>
    </row>
    <row r="292" ht="23.1" customHeight="1">
      <c r="A292" t="s" s="21">
        <v>430</v>
      </c>
      <c r="B292" t="s" s="45">
        <v>430</v>
      </c>
      <c r="C292" t="s" s="45">
        <v>215</v>
      </c>
      <c r="D292" s="46">
        <v>42.7311616649891</v>
      </c>
      <c r="E292" s="46">
        <v>-73.6829063286979</v>
      </c>
      <c r="F292" s="47">
        <f>_xlfn.COUNTIFS('Connections'!$B$6:$B$589,A292)+_xlfn.COUNTIFS('Connections'!$C$6:$C$589,A292)</f>
        <v>2</v>
      </c>
      <c r="G292" s="47">
        <f>_xlfn.COUNTIFS('Connections'!$B$6:$B$589,A292,'Connections'!$D$6:$D$589,"TRUE")+_xlfn.COUNTIFS('Connections'!$C$6:$C$589,A292,'Connections'!$D$6:$D$589,"TRUE")</f>
        <v>2</v>
      </c>
      <c r="H292" t="s" s="48">
        <v>69</v>
      </c>
      <c r="I292" t="s" s="48">
        <v>70</v>
      </c>
      <c r="J292" s="49"/>
      <c r="K292" s="50"/>
      <c r="L292" s="51"/>
      <c r="M292" t="s" s="45">
        <v>217</v>
      </c>
      <c r="N292" s="52">
        <v>215</v>
      </c>
      <c r="O292" s="44"/>
    </row>
    <row r="293" ht="23.1" customHeight="1">
      <c r="A293" t="s" s="24">
        <v>431</v>
      </c>
      <c r="B293" t="s" s="53">
        <v>431</v>
      </c>
      <c r="C293" t="s" s="53">
        <v>215</v>
      </c>
      <c r="D293" s="54">
        <v>42.7309915370466</v>
      </c>
      <c r="E293" s="54">
        <v>-73.6831036916531</v>
      </c>
      <c r="F293" s="55">
        <f>_xlfn.COUNTIFS('Connections'!$B$6:$B$589,A293)+_xlfn.COUNTIFS('Connections'!$C$6:$C$589,A293)</f>
        <v>2</v>
      </c>
      <c r="G293" s="55">
        <f>_xlfn.COUNTIFS('Connections'!$B$6:$B$589,A293,'Connections'!$D$6:$D$589,"TRUE")+_xlfn.COUNTIFS('Connections'!$C$6:$C$589,A293,'Connections'!$D$6:$D$589,"TRUE")</f>
        <v>2</v>
      </c>
      <c r="H293" t="s" s="48">
        <v>69</v>
      </c>
      <c r="I293" t="s" s="48">
        <v>70</v>
      </c>
      <c r="J293" s="49"/>
      <c r="K293" s="50"/>
      <c r="L293" s="56"/>
      <c r="M293" t="s" s="53">
        <v>217</v>
      </c>
      <c r="N293" s="57">
        <v>216</v>
      </c>
      <c r="O293" s="44"/>
    </row>
    <row r="294" ht="23.1" customHeight="1">
      <c r="A294" t="s" s="21">
        <v>432</v>
      </c>
      <c r="B294" t="s" s="45">
        <v>432</v>
      </c>
      <c r="C294" t="s" s="45">
        <v>215</v>
      </c>
      <c r="D294" s="46">
        <v>42.7309616497053</v>
      </c>
      <c r="E294" s="46">
        <v>-73.68335835353071</v>
      </c>
      <c r="F294" s="47">
        <f>_xlfn.COUNTIFS('Connections'!$B$6:$B$589,A294)+_xlfn.COUNTIFS('Connections'!$C$6:$C$589,A294)</f>
        <v>4</v>
      </c>
      <c r="G294" s="47">
        <f>_xlfn.COUNTIFS('Connections'!$B$6:$B$589,A294,'Connections'!$D$6:$D$589,"TRUE")+_xlfn.COUNTIFS('Connections'!$C$6:$C$589,A294,'Connections'!$D$6:$D$589,"TRUE")</f>
        <v>3</v>
      </c>
      <c r="H294" t="s" s="48">
        <v>69</v>
      </c>
      <c r="I294" t="s" s="48">
        <v>70</v>
      </c>
      <c r="J294" s="49"/>
      <c r="K294" s="50"/>
      <c r="L294" s="51"/>
      <c r="M294" t="s" s="45">
        <v>217</v>
      </c>
      <c r="N294" s="52">
        <v>217</v>
      </c>
      <c r="O294" s="44"/>
    </row>
    <row r="295" ht="23.1" customHeight="1">
      <c r="A295" t="s" s="24">
        <v>433</v>
      </c>
      <c r="B295" t="s" s="53">
        <v>433</v>
      </c>
      <c r="C295" t="s" s="53">
        <v>215</v>
      </c>
      <c r="D295" s="54">
        <v>42.730912220641</v>
      </c>
      <c r="E295" s="54">
        <v>-73.68232060637941</v>
      </c>
      <c r="F295" s="55">
        <f>_xlfn.COUNTIFS('Connections'!$B$6:$B$589,A295)+_xlfn.COUNTIFS('Connections'!$C$6:$C$589,A295)</f>
        <v>2</v>
      </c>
      <c r="G295" s="55">
        <f>_xlfn.COUNTIFS('Connections'!$B$6:$B$589,A295,'Connections'!$D$6:$D$589,"TRUE")+_xlfn.COUNTIFS('Connections'!$C$6:$C$589,A295,'Connections'!$D$6:$D$589,"TRUE")</f>
        <v>1</v>
      </c>
      <c r="H295" t="s" s="48">
        <v>69</v>
      </c>
      <c r="I295" t="s" s="48">
        <v>70</v>
      </c>
      <c r="J295" s="49"/>
      <c r="K295" s="50"/>
      <c r="L295" s="56"/>
      <c r="M295" t="s" s="53">
        <v>217</v>
      </c>
      <c r="N295" s="57">
        <v>218</v>
      </c>
      <c r="O295" s="44"/>
    </row>
    <row r="296" ht="23.1" customHeight="1">
      <c r="A296" t="s" s="21">
        <v>434</v>
      </c>
      <c r="B296" t="s" s="45">
        <v>434</v>
      </c>
      <c r="C296" t="s" s="45">
        <v>215</v>
      </c>
      <c r="D296" s="46">
        <v>42.7311041893329</v>
      </c>
      <c r="E296" s="46">
        <v>-73.68099636461559</v>
      </c>
      <c r="F296" s="47">
        <f>_xlfn.COUNTIFS('Connections'!$B$6:$B$589,A296)+_xlfn.COUNTIFS('Connections'!$C$6:$C$589,A296)</f>
        <v>2</v>
      </c>
      <c r="G296" s="47">
        <f>_xlfn.COUNTIFS('Connections'!$B$6:$B$589,A296,'Connections'!$D$6:$D$589,"TRUE")+_xlfn.COUNTIFS('Connections'!$C$6:$C$589,A296,'Connections'!$D$6:$D$589,"TRUE")</f>
        <v>2</v>
      </c>
      <c r="H296" t="s" s="48">
        <v>69</v>
      </c>
      <c r="I296" t="s" s="48">
        <v>70</v>
      </c>
      <c r="J296" s="49"/>
      <c r="K296" s="50"/>
      <c r="L296" s="51"/>
      <c r="M296" t="s" s="45">
        <v>217</v>
      </c>
      <c r="N296" s="52">
        <v>219</v>
      </c>
      <c r="O296" s="44"/>
    </row>
    <row r="297" ht="23.1" customHeight="1">
      <c r="A297" t="s" s="24">
        <v>435</v>
      </c>
      <c r="B297" t="s" s="53">
        <v>435</v>
      </c>
      <c r="C297" t="s" s="53">
        <v>215</v>
      </c>
      <c r="D297" s="54">
        <v>42.7311214320298</v>
      </c>
      <c r="E297" s="54">
        <v>-73.6813735825219</v>
      </c>
      <c r="F297" s="55">
        <f>_xlfn.COUNTIFS('Connections'!$B$6:$B$589,A297)+_xlfn.COUNTIFS('Connections'!$C$6:$C$589,A297)</f>
        <v>2</v>
      </c>
      <c r="G297" s="55">
        <f>_xlfn.COUNTIFS('Connections'!$B$6:$B$589,A297,'Connections'!$D$6:$D$589,"TRUE")+_xlfn.COUNTIFS('Connections'!$C$6:$C$589,A297,'Connections'!$D$6:$D$589,"TRUE")</f>
        <v>2</v>
      </c>
      <c r="H297" t="s" s="48">
        <v>69</v>
      </c>
      <c r="I297" t="s" s="48">
        <v>70</v>
      </c>
      <c r="J297" s="49"/>
      <c r="K297" s="50"/>
      <c r="L297" s="56"/>
      <c r="M297" t="s" s="53">
        <v>217</v>
      </c>
      <c r="N297" s="57">
        <v>220</v>
      </c>
      <c r="O297" s="44"/>
    </row>
    <row r="298" ht="23.1" customHeight="1">
      <c r="A298" t="s" s="21">
        <v>436</v>
      </c>
      <c r="B298" t="s" s="45">
        <v>436</v>
      </c>
      <c r="C298" t="s" s="45">
        <v>215</v>
      </c>
      <c r="D298" s="46">
        <v>42.730793820789</v>
      </c>
      <c r="E298" s="46">
        <v>-73.680603230342</v>
      </c>
      <c r="F298" s="47">
        <f>_xlfn.COUNTIFS('Connections'!$B$6:$B$589,A298)+_xlfn.COUNTIFS('Connections'!$C$6:$C$589,A298)</f>
        <v>3</v>
      </c>
      <c r="G298" s="47">
        <f>_xlfn.COUNTIFS('Connections'!$B$6:$B$589,A298,'Connections'!$D$6:$D$589,"TRUE")+_xlfn.COUNTIFS('Connections'!$C$6:$C$589,A298,'Connections'!$D$6:$D$589,"TRUE")</f>
        <v>3</v>
      </c>
      <c r="H298" t="s" s="48">
        <v>69</v>
      </c>
      <c r="I298" t="s" s="48">
        <v>70</v>
      </c>
      <c r="J298" s="49"/>
      <c r="K298" s="50"/>
      <c r="L298" s="51"/>
      <c r="M298" t="s" s="45">
        <v>217</v>
      </c>
      <c r="N298" s="52">
        <v>221</v>
      </c>
      <c r="O298" s="44"/>
    </row>
    <row r="299" ht="23.1" customHeight="1">
      <c r="A299" t="s" s="24">
        <v>437</v>
      </c>
      <c r="B299" t="s" s="53">
        <v>437</v>
      </c>
      <c r="C299" t="s" s="53">
        <v>215</v>
      </c>
      <c r="D299" s="54">
        <v>42.7312513270129</v>
      </c>
      <c r="E299" s="54">
        <v>-73.6803644848317</v>
      </c>
      <c r="F299" s="55">
        <f>_xlfn.COUNTIFS('Connections'!$B$6:$B$589,A299)+_xlfn.COUNTIFS('Connections'!$C$6:$C$589,A299)</f>
        <v>3</v>
      </c>
      <c r="G299" s="55">
        <f>_xlfn.COUNTIFS('Connections'!$B$6:$B$589,A299,'Connections'!$D$6:$D$589,"TRUE")+_xlfn.COUNTIFS('Connections'!$C$6:$C$589,A299,'Connections'!$D$6:$D$589,"TRUE")</f>
        <v>3</v>
      </c>
      <c r="H299" t="s" s="48">
        <v>69</v>
      </c>
      <c r="I299" t="s" s="48">
        <v>70</v>
      </c>
      <c r="J299" s="49"/>
      <c r="K299" s="50"/>
      <c r="L299" s="56"/>
      <c r="M299" t="s" s="53">
        <v>217</v>
      </c>
      <c r="N299" s="57">
        <v>222</v>
      </c>
      <c r="O299" s="44"/>
    </row>
    <row r="300" ht="23.1" customHeight="1">
      <c r="A300" t="s" s="21">
        <v>438</v>
      </c>
      <c r="B300" t="s" s="45">
        <v>438</v>
      </c>
      <c r="C300" t="s" s="45">
        <v>215</v>
      </c>
      <c r="D300" s="46">
        <v>42.7314191559292</v>
      </c>
      <c r="E300" s="46">
        <v>-73.68037562628891</v>
      </c>
      <c r="F300" s="47">
        <f>_xlfn.COUNTIFS('Connections'!$B$6:$B$589,A300)+_xlfn.COUNTIFS('Connections'!$C$6:$C$589,A300)</f>
        <v>2</v>
      </c>
      <c r="G300" s="47">
        <f>_xlfn.COUNTIFS('Connections'!$B$6:$B$589,A300,'Connections'!$D$6:$D$589,"TRUE")+_xlfn.COUNTIFS('Connections'!$C$6:$C$589,A300,'Connections'!$D$6:$D$589,"TRUE")</f>
        <v>2</v>
      </c>
      <c r="H300" t="s" s="48">
        <v>69</v>
      </c>
      <c r="I300" t="s" s="48">
        <v>70</v>
      </c>
      <c r="J300" s="49"/>
      <c r="K300" s="50"/>
      <c r="L300" s="51"/>
      <c r="M300" t="s" s="45">
        <v>217</v>
      </c>
      <c r="N300" s="52">
        <v>223</v>
      </c>
      <c r="O300" s="44"/>
    </row>
    <row r="301" ht="23.1" customHeight="1">
      <c r="A301" t="s" s="24">
        <v>439</v>
      </c>
      <c r="B301" t="s" s="53">
        <v>439</v>
      </c>
      <c r="C301" t="s" s="53">
        <v>215</v>
      </c>
      <c r="D301" s="54">
        <v>42.7315869848455</v>
      </c>
      <c r="E301" s="54">
        <v>-73.6808340176686</v>
      </c>
      <c r="F301" s="55">
        <f>_xlfn.COUNTIFS('Connections'!$B$6:$B$589,A301)+_xlfn.COUNTIFS('Connections'!$C$6:$C$589,A301)</f>
        <v>2</v>
      </c>
      <c r="G301" s="55">
        <f>_xlfn.COUNTIFS('Connections'!$B$6:$B$589,A301,'Connections'!$D$6:$D$589,"TRUE")+_xlfn.COUNTIFS('Connections'!$C$6:$C$589,A301,'Connections'!$D$6:$D$589,"TRUE")</f>
        <v>2</v>
      </c>
      <c r="H301" t="s" s="48">
        <v>69</v>
      </c>
      <c r="I301" t="s" s="48">
        <v>70</v>
      </c>
      <c r="J301" s="49"/>
      <c r="K301" s="50"/>
      <c r="L301" s="56"/>
      <c r="M301" t="s" s="53">
        <v>217</v>
      </c>
      <c r="N301" s="57">
        <v>224</v>
      </c>
      <c r="O301" s="44"/>
    </row>
    <row r="302" ht="23.1" customHeight="1">
      <c r="A302" t="s" s="21">
        <v>440</v>
      </c>
      <c r="B302" t="s" s="45">
        <v>440</v>
      </c>
      <c r="C302" t="s" s="45">
        <v>215</v>
      </c>
      <c r="D302" s="46">
        <v>42.7319433339144</v>
      </c>
      <c r="E302" s="46">
        <v>-73.6811937275708</v>
      </c>
      <c r="F302" s="47">
        <f>_xlfn.COUNTIFS('Connections'!$B$6:$B$589,A302)+_xlfn.COUNTIFS('Connections'!$C$6:$C$589,A302)</f>
        <v>4</v>
      </c>
      <c r="G302" s="47">
        <f>_xlfn.COUNTIFS('Connections'!$B$6:$B$589,A302,'Connections'!$D$6:$D$589,"TRUE")+_xlfn.COUNTIFS('Connections'!$C$6:$C$589,A302,'Connections'!$D$6:$D$589,"TRUE")</f>
        <v>4</v>
      </c>
      <c r="H302" t="s" s="48">
        <v>69</v>
      </c>
      <c r="I302" t="s" s="48">
        <v>70</v>
      </c>
      <c r="J302" s="49"/>
      <c r="K302" s="50"/>
      <c r="L302" s="51"/>
      <c r="M302" t="s" s="45">
        <v>217</v>
      </c>
      <c r="N302" s="52">
        <v>225</v>
      </c>
      <c r="O302" s="44"/>
    </row>
    <row r="303" ht="23.1" customHeight="1">
      <c r="A303" t="s" s="24">
        <v>441</v>
      </c>
      <c r="B303" t="s" s="53">
        <v>441</v>
      </c>
      <c r="C303" t="s" s="53">
        <v>215</v>
      </c>
      <c r="D303" s="54">
        <v>42.7321548443294</v>
      </c>
      <c r="E303" s="54">
        <v>-73.68113961192179</v>
      </c>
      <c r="F303" s="55">
        <f>_xlfn.COUNTIFS('Connections'!$B$6:$B$589,A303)+_xlfn.COUNTIFS('Connections'!$C$6:$C$589,A303)</f>
        <v>2</v>
      </c>
      <c r="G303" s="55">
        <f>_xlfn.COUNTIFS('Connections'!$B$6:$B$589,A303,'Connections'!$D$6:$D$589,"TRUE")+_xlfn.COUNTIFS('Connections'!$C$6:$C$589,A303,'Connections'!$D$6:$D$589,"TRUE")</f>
        <v>2</v>
      </c>
      <c r="H303" t="s" s="48">
        <v>69</v>
      </c>
      <c r="I303" t="s" s="48">
        <v>70</v>
      </c>
      <c r="J303" s="49"/>
      <c r="K303" s="50"/>
      <c r="L303" s="56"/>
      <c r="M303" t="s" s="53">
        <v>217</v>
      </c>
      <c r="N303" s="57">
        <v>226</v>
      </c>
      <c r="O303" s="44"/>
    </row>
    <row r="304" ht="23.1" customHeight="1">
      <c r="A304" t="s" s="21">
        <v>442</v>
      </c>
      <c r="B304" t="s" s="45">
        <v>442</v>
      </c>
      <c r="C304" t="s" s="45">
        <v>215</v>
      </c>
      <c r="D304" s="46">
        <v>42.7323410654557</v>
      </c>
      <c r="E304" s="46">
        <v>-73.6812780843178</v>
      </c>
      <c r="F304" s="47">
        <f>_xlfn.COUNTIFS('Connections'!$B$6:$B$589,A304)+_xlfn.COUNTIFS('Connections'!$C$6:$C$589,A304)</f>
        <v>2</v>
      </c>
      <c r="G304" s="47">
        <f>_xlfn.COUNTIFS('Connections'!$B$6:$B$589,A304,'Connections'!$D$6:$D$589,"TRUE")+_xlfn.COUNTIFS('Connections'!$C$6:$C$589,A304,'Connections'!$D$6:$D$589,"TRUE")</f>
        <v>2</v>
      </c>
      <c r="H304" t="s" s="48">
        <v>69</v>
      </c>
      <c r="I304" t="s" s="48">
        <v>70</v>
      </c>
      <c r="J304" s="49"/>
      <c r="K304" s="50"/>
      <c r="L304" s="51"/>
      <c r="M304" t="s" s="45">
        <v>217</v>
      </c>
      <c r="N304" s="52">
        <v>227</v>
      </c>
      <c r="O304" s="44"/>
    </row>
    <row r="305" ht="23.1" customHeight="1">
      <c r="A305" t="s" s="24">
        <v>443</v>
      </c>
      <c r="B305" t="s" s="53">
        <v>443</v>
      </c>
      <c r="C305" t="s" s="53">
        <v>215</v>
      </c>
      <c r="D305" s="54">
        <v>42.732527286582</v>
      </c>
      <c r="E305" s="54">
        <v>-73.6809645318809</v>
      </c>
      <c r="F305" s="55">
        <f>_xlfn.COUNTIFS('Connections'!$B$6:$B$589,A305)+_xlfn.COUNTIFS('Connections'!$C$6:$C$589,A305)</f>
        <v>2</v>
      </c>
      <c r="G305" s="55">
        <f>_xlfn.COUNTIFS('Connections'!$B$6:$B$589,A305,'Connections'!$D$6:$D$589,"TRUE")+_xlfn.COUNTIFS('Connections'!$C$6:$C$589,A305,'Connections'!$D$6:$D$589,"TRUE")</f>
        <v>2</v>
      </c>
      <c r="H305" t="s" s="48">
        <v>69</v>
      </c>
      <c r="I305" t="s" s="48">
        <v>70</v>
      </c>
      <c r="J305" s="49"/>
      <c r="K305" s="50"/>
      <c r="L305" s="56"/>
      <c r="M305" t="s" s="53">
        <v>217</v>
      </c>
      <c r="N305" s="57">
        <v>228</v>
      </c>
      <c r="O305" s="44"/>
    </row>
    <row r="306" ht="23.1" customHeight="1">
      <c r="A306" t="s" s="21">
        <v>444</v>
      </c>
      <c r="B306" t="s" s="45">
        <v>444</v>
      </c>
      <c r="C306" t="s" s="45">
        <v>215</v>
      </c>
      <c r="D306" s="46">
        <v>42.7328801871115</v>
      </c>
      <c r="E306" s="46">
        <v>-73.68267394973461</v>
      </c>
      <c r="F306" s="47">
        <f>_xlfn.COUNTIFS('Connections'!$B$6:$B$589,A306)+_xlfn.COUNTIFS('Connections'!$C$6:$C$589,A306)</f>
        <v>4</v>
      </c>
      <c r="G306" s="47">
        <f>_xlfn.COUNTIFS('Connections'!$B$6:$B$589,A306,'Connections'!$D$6:$D$589,"TRUE")+_xlfn.COUNTIFS('Connections'!$C$6:$C$589,A306,'Connections'!$D$6:$D$589,"TRUE")</f>
        <v>4</v>
      </c>
      <c r="H306" t="s" s="48">
        <v>69</v>
      </c>
      <c r="I306" t="s" s="48">
        <v>70</v>
      </c>
      <c r="J306" s="49"/>
      <c r="K306" s="50"/>
      <c r="L306" s="51"/>
      <c r="M306" t="s" s="45">
        <v>217</v>
      </c>
      <c r="N306" s="52">
        <v>229</v>
      </c>
      <c r="O306" s="44"/>
    </row>
    <row r="307" ht="23.1" customHeight="1">
      <c r="A307" t="s" s="24">
        <v>445</v>
      </c>
      <c r="B307" t="s" s="53">
        <v>445</v>
      </c>
      <c r="C307" t="s" s="53">
        <v>215</v>
      </c>
      <c r="D307" s="54">
        <v>42.7281269503383</v>
      </c>
      <c r="E307" s="54">
        <v>-73.6849754564538</v>
      </c>
      <c r="F307" s="55">
        <f>_xlfn.COUNTIFS('Connections'!$B$6:$B$589,A307)+_xlfn.COUNTIFS('Connections'!$C$6:$C$589,A307)</f>
        <v>3</v>
      </c>
      <c r="G307" s="55">
        <f>_xlfn.COUNTIFS('Connections'!$B$6:$B$589,A307,'Connections'!$D$6:$D$589,"TRUE")+_xlfn.COUNTIFS('Connections'!$C$6:$C$589,A307,'Connections'!$D$6:$D$589,"TRUE")</f>
        <v>3</v>
      </c>
      <c r="H307" t="s" s="48">
        <v>69</v>
      </c>
      <c r="I307" t="s" s="48">
        <v>70</v>
      </c>
      <c r="J307" s="49"/>
      <c r="K307" s="50"/>
      <c r="L307" s="56"/>
      <c r="M307" t="s" s="53">
        <v>217</v>
      </c>
      <c r="N307" s="57">
        <v>230</v>
      </c>
      <c r="O307" s="44"/>
    </row>
    <row r="308" ht="23.1" customHeight="1">
      <c r="A308" t="s" s="21">
        <v>446</v>
      </c>
      <c r="B308" t="s" s="45">
        <v>446</v>
      </c>
      <c r="C308" t="s" s="45">
        <v>215</v>
      </c>
      <c r="D308" s="46">
        <v>42.7278315254651</v>
      </c>
      <c r="E308" s="46">
        <v>-73.6780470617452</v>
      </c>
      <c r="F308" s="47">
        <f>_xlfn.COUNTIFS('Connections'!$B$6:$B$589,A308)+_xlfn.COUNTIFS('Connections'!$C$6:$C$589,A308)</f>
        <v>3</v>
      </c>
      <c r="G308" s="47">
        <f>_xlfn.COUNTIFS('Connections'!$B$6:$B$589,A308,'Connections'!$D$6:$D$589,"TRUE")+_xlfn.COUNTIFS('Connections'!$C$6:$C$589,A308,'Connections'!$D$6:$D$589,"TRUE")</f>
        <v>3</v>
      </c>
      <c r="H308" t="s" s="48">
        <v>69</v>
      </c>
      <c r="I308" t="s" s="48">
        <v>70</v>
      </c>
      <c r="J308" s="49"/>
      <c r="K308" s="50"/>
      <c r="L308" s="51"/>
      <c r="M308" t="s" s="45">
        <v>217</v>
      </c>
      <c r="N308" s="52">
        <v>231</v>
      </c>
      <c r="O308" s="44"/>
    </row>
    <row r="309" ht="23.1" customHeight="1">
      <c r="A309" t="s" s="24">
        <v>447</v>
      </c>
      <c r="B309" t="s" s="53">
        <v>447</v>
      </c>
      <c r="C309" t="s" s="53">
        <v>215</v>
      </c>
      <c r="D309" s="54">
        <v>42.7329434103334</v>
      </c>
      <c r="E309" s="54">
        <v>-73.6803597099215</v>
      </c>
      <c r="F309" s="55">
        <f>_xlfn.COUNTIFS('Connections'!$B$6:$B$589,A309)+_xlfn.COUNTIFS('Connections'!$C$6:$C$589,A309)</f>
        <v>6</v>
      </c>
      <c r="G309" s="55">
        <f>_xlfn.COUNTIFS('Connections'!$B$6:$B$589,A309,'Connections'!$D$6:$D$589,"TRUE")+_xlfn.COUNTIFS('Connections'!$C$6:$C$589,A309,'Connections'!$D$6:$D$589,"TRUE")</f>
        <v>6</v>
      </c>
      <c r="H309" t="s" s="48">
        <v>69</v>
      </c>
      <c r="I309" t="s" s="48">
        <v>70</v>
      </c>
      <c r="J309" s="49"/>
      <c r="K309" s="50"/>
      <c r="L309" s="56"/>
      <c r="M309" t="s" s="53">
        <v>217</v>
      </c>
      <c r="N309" s="57">
        <v>232</v>
      </c>
      <c r="O309" s="44"/>
    </row>
    <row r="310" ht="23.1" customHeight="1">
      <c r="A310" t="s" s="21">
        <v>448</v>
      </c>
      <c r="B310" t="s" s="45">
        <v>448</v>
      </c>
      <c r="C310" t="s" s="45">
        <v>215</v>
      </c>
      <c r="D310" s="46">
        <v>42.7328284590208</v>
      </c>
      <c r="E310" s="46">
        <v>-73.6798822189009</v>
      </c>
      <c r="F310" s="47">
        <f>_xlfn.COUNTIFS('Connections'!$B$6:$B$589,A310)+_xlfn.COUNTIFS('Connections'!$C$6:$C$589,A310)</f>
        <v>3</v>
      </c>
      <c r="G310" s="47">
        <f>_xlfn.COUNTIFS('Connections'!$B$6:$B$589,A310,'Connections'!$D$6:$D$589,"TRUE")+_xlfn.COUNTIFS('Connections'!$C$6:$C$589,A310,'Connections'!$D$6:$D$589,"TRUE")</f>
        <v>3</v>
      </c>
      <c r="H310" t="s" s="48">
        <v>69</v>
      </c>
      <c r="I310" t="s" s="48">
        <v>70</v>
      </c>
      <c r="J310" s="49"/>
      <c r="K310" s="50"/>
      <c r="L310" s="51"/>
      <c r="M310" t="s" s="45">
        <v>217</v>
      </c>
      <c r="N310" s="52">
        <v>233</v>
      </c>
      <c r="O310" s="44"/>
    </row>
    <row r="311" ht="23.1" customHeight="1">
      <c r="A311" t="s" s="24">
        <v>449</v>
      </c>
      <c r="B311" t="s" s="53">
        <v>449</v>
      </c>
      <c r="C311" t="s" s="53">
        <v>215</v>
      </c>
      <c r="D311" s="54">
        <v>42.7334606912398</v>
      </c>
      <c r="E311" s="54">
        <v>-73.6795957242886</v>
      </c>
      <c r="F311" s="55">
        <f>_xlfn.COUNTIFS('Connections'!$B$6:$B$589,A311)+_xlfn.COUNTIFS('Connections'!$C$6:$C$589,A311)</f>
        <v>3</v>
      </c>
      <c r="G311" s="55">
        <f>_xlfn.COUNTIFS('Connections'!$B$6:$B$589,A311,'Connections'!$D$6:$D$589,"TRUE")+_xlfn.COUNTIFS('Connections'!$C$6:$C$589,A311,'Connections'!$D$6:$D$589,"TRUE")</f>
        <v>3</v>
      </c>
      <c r="H311" t="s" s="48">
        <v>69</v>
      </c>
      <c r="I311" t="s" s="48">
        <v>70</v>
      </c>
      <c r="J311" s="49"/>
      <c r="K311" s="50"/>
      <c r="L311" s="56"/>
      <c r="M311" t="s" s="53">
        <v>217</v>
      </c>
      <c r="N311" s="57">
        <v>234</v>
      </c>
      <c r="O311" s="44"/>
    </row>
    <row r="312" ht="23.1" customHeight="1">
      <c r="A312" t="s" s="21">
        <v>450</v>
      </c>
      <c r="B312" t="s" s="45">
        <v>450</v>
      </c>
      <c r="C312" t="s" s="45">
        <v>215</v>
      </c>
      <c r="D312" s="46">
        <v>42.7330813519084</v>
      </c>
      <c r="E312" s="46">
        <v>-73.6806302881665</v>
      </c>
      <c r="F312" s="47">
        <f>_xlfn.COUNTIFS('Connections'!$B$6:$B$589,A312)+_xlfn.COUNTIFS('Connections'!$C$6:$C$589,A312)</f>
        <v>3</v>
      </c>
      <c r="G312" s="47">
        <f>_xlfn.COUNTIFS('Connections'!$B$6:$B$589,A312,'Connections'!$D$6:$D$589,"TRUE")+_xlfn.COUNTIFS('Connections'!$C$6:$C$589,A312,'Connections'!$D$6:$D$589,"TRUE")</f>
        <v>3</v>
      </c>
      <c r="H312" t="s" s="48">
        <v>69</v>
      </c>
      <c r="I312" t="s" s="48">
        <v>70</v>
      </c>
      <c r="J312" s="49"/>
      <c r="K312" s="50"/>
      <c r="L312" s="51"/>
      <c r="M312" t="s" s="45">
        <v>217</v>
      </c>
      <c r="N312" s="52">
        <v>235</v>
      </c>
      <c r="O312" s="44"/>
    </row>
    <row r="313" ht="23.1" customHeight="1">
      <c r="A313" t="s" s="24">
        <v>451</v>
      </c>
      <c r="B313" t="s" s="53">
        <v>451</v>
      </c>
      <c r="C313" t="s" s="53">
        <v>215</v>
      </c>
      <c r="D313" s="54">
        <v>42.7336066794067</v>
      </c>
      <c r="E313" s="54">
        <v>-73.6804233753909</v>
      </c>
      <c r="F313" s="55">
        <f>_xlfn.COUNTIFS('Connections'!$B$6:$B$589,A313)+_xlfn.COUNTIFS('Connections'!$C$6:$C$589,A313)</f>
        <v>3</v>
      </c>
      <c r="G313" s="55">
        <f>_xlfn.COUNTIFS('Connections'!$B$6:$B$589,A313,'Connections'!$D$6:$D$589,"TRUE")+_xlfn.COUNTIFS('Connections'!$C$6:$C$589,A313,'Connections'!$D$6:$D$589,"TRUE")</f>
        <v>3</v>
      </c>
      <c r="H313" t="s" s="48">
        <v>69</v>
      </c>
      <c r="I313" t="s" s="48">
        <v>70</v>
      </c>
      <c r="J313" s="49"/>
      <c r="K313" s="50"/>
      <c r="L313" s="56"/>
      <c r="M313" t="s" s="53">
        <v>217</v>
      </c>
      <c r="N313" s="57">
        <v>236</v>
      </c>
      <c r="O313" s="44"/>
    </row>
    <row r="314" ht="23.1" customHeight="1">
      <c r="A314" t="s" s="21">
        <v>452</v>
      </c>
      <c r="B314" t="s" s="45">
        <v>452</v>
      </c>
      <c r="C314" t="s" s="45">
        <v>215</v>
      </c>
      <c r="D314" s="46">
        <v>42.7337986480986</v>
      </c>
      <c r="E314" s="46">
        <v>-73.6814261065341</v>
      </c>
      <c r="F314" s="47">
        <f>_xlfn.COUNTIFS('Connections'!$B$6:$B$589,A314)+_xlfn.COUNTIFS('Connections'!$C$6:$C$589,A314)</f>
        <v>3</v>
      </c>
      <c r="G314" s="47">
        <f>_xlfn.COUNTIFS('Connections'!$B$6:$B$589,A314,'Connections'!$D$6:$D$589,"TRUE")+_xlfn.COUNTIFS('Connections'!$C$6:$C$589,A314,'Connections'!$D$6:$D$589,"TRUE")</f>
        <v>3</v>
      </c>
      <c r="H314" t="s" s="48">
        <v>69</v>
      </c>
      <c r="I314" t="s" s="48">
        <v>70</v>
      </c>
      <c r="J314" s="49"/>
      <c r="K314" s="50"/>
      <c r="L314" s="51"/>
      <c r="M314" t="s" s="45">
        <v>217</v>
      </c>
      <c r="N314" s="52">
        <v>237</v>
      </c>
      <c r="O314" s="44"/>
    </row>
    <row r="315" ht="23.1" customHeight="1">
      <c r="A315" t="s" s="24">
        <v>453</v>
      </c>
      <c r="B315" t="s" s="53">
        <v>453</v>
      </c>
      <c r="C315" t="s" s="53">
        <v>215</v>
      </c>
      <c r="D315" s="54">
        <v>42.733242283746</v>
      </c>
      <c r="E315" s="54">
        <v>-73.68155821238319</v>
      </c>
      <c r="F315" s="55">
        <f>_xlfn.COUNTIFS('Connections'!$B$6:$B$589,A315)+_xlfn.COUNTIFS('Connections'!$C$6:$C$589,A315)</f>
        <v>2</v>
      </c>
      <c r="G315" s="55">
        <f>_xlfn.COUNTIFS('Connections'!$B$6:$B$589,A315,'Connections'!$D$6:$D$589,"TRUE")+_xlfn.COUNTIFS('Connections'!$C$6:$C$589,A315,'Connections'!$D$6:$D$589,"TRUE")</f>
        <v>2</v>
      </c>
      <c r="H315" t="s" s="48">
        <v>69</v>
      </c>
      <c r="I315" t="s" s="48">
        <v>70</v>
      </c>
      <c r="J315" s="49"/>
      <c r="K315" s="50"/>
      <c r="L315" s="56"/>
      <c r="M315" t="s" s="53">
        <v>217</v>
      </c>
      <c r="N315" s="57">
        <v>238</v>
      </c>
      <c r="O315" s="44"/>
    </row>
    <row r="316" ht="23.1" customHeight="1">
      <c r="A316" t="s" s="21">
        <v>454</v>
      </c>
      <c r="B316" t="s" s="45">
        <v>454</v>
      </c>
      <c r="C316" t="s" s="45">
        <v>215</v>
      </c>
      <c r="D316" s="46">
        <v>42.7339365896736</v>
      </c>
      <c r="E316" s="46">
        <v>-73.68234925584061</v>
      </c>
      <c r="F316" s="47">
        <f>_xlfn.COUNTIFS('Connections'!$B$6:$B$589,A316)+_xlfn.COUNTIFS('Connections'!$C$6:$C$589,A316)</f>
        <v>3</v>
      </c>
      <c r="G316" s="47">
        <f>_xlfn.COUNTIFS('Connections'!$B$6:$B$589,A316,'Connections'!$D$6:$D$589,"TRUE")+_xlfn.COUNTIFS('Connections'!$C$6:$C$589,A316,'Connections'!$D$6:$D$589,"TRUE")</f>
        <v>3</v>
      </c>
      <c r="H316" t="s" s="48">
        <v>69</v>
      </c>
      <c r="I316" t="s" s="48">
        <v>70</v>
      </c>
      <c r="J316" s="49"/>
      <c r="K316" s="50"/>
      <c r="L316" s="51"/>
      <c r="M316" t="s" s="45">
        <v>217</v>
      </c>
      <c r="N316" s="52">
        <v>239</v>
      </c>
      <c r="O316" s="44"/>
    </row>
    <row r="317" ht="23.1" customHeight="1">
      <c r="A317" t="s" s="24">
        <v>455</v>
      </c>
      <c r="B317" t="s" s="53">
        <v>455</v>
      </c>
      <c r="C317" t="s" s="53">
        <v>215</v>
      </c>
      <c r="D317" s="54">
        <v>42.7337135841273</v>
      </c>
      <c r="E317" s="54">
        <v>-73.6834474851879</v>
      </c>
      <c r="F317" s="55">
        <f>_xlfn.COUNTIFS('Connections'!$B$6:$B$589,A317)+_xlfn.COUNTIFS('Connections'!$C$6:$C$589,A317)</f>
        <v>3</v>
      </c>
      <c r="G317" s="55">
        <f>_xlfn.COUNTIFS('Connections'!$B$6:$B$589,A317,'Connections'!$D$6:$D$589,"TRUE")+_xlfn.COUNTIFS('Connections'!$C$6:$C$589,A317,'Connections'!$D$6:$D$589,"TRUE")</f>
        <v>3</v>
      </c>
      <c r="H317" t="s" s="48">
        <v>69</v>
      </c>
      <c r="I317" t="s" s="48">
        <v>70</v>
      </c>
      <c r="J317" s="49"/>
      <c r="K317" s="50"/>
      <c r="L317" s="56"/>
      <c r="M317" t="s" s="53">
        <v>217</v>
      </c>
      <c r="N317" s="57">
        <v>240</v>
      </c>
      <c r="O317" s="44"/>
    </row>
    <row r="318" ht="23.1" customHeight="1">
      <c r="A318" t="s" s="21">
        <v>456</v>
      </c>
      <c r="B318" t="s" s="45">
        <v>456</v>
      </c>
      <c r="C318" t="s" s="45">
        <v>215</v>
      </c>
      <c r="D318" s="46">
        <v>42.7330974450922</v>
      </c>
      <c r="E318" s="46">
        <v>-73.6836146070451</v>
      </c>
      <c r="F318" s="47">
        <f>_xlfn.COUNTIFS('Connections'!$B$6:$B$589,A318)+_xlfn.COUNTIFS('Connections'!$C$6:$C$589,A318)</f>
        <v>4</v>
      </c>
      <c r="G318" s="47">
        <f>_xlfn.COUNTIFS('Connections'!$B$6:$B$589,A318,'Connections'!$D$6:$D$589,"TRUE")+_xlfn.COUNTIFS('Connections'!$C$6:$C$589,A318,'Connections'!$D$6:$D$589,"TRUE")</f>
        <v>4</v>
      </c>
      <c r="H318" t="s" s="48">
        <v>69</v>
      </c>
      <c r="I318" t="s" s="48">
        <v>70</v>
      </c>
      <c r="J318" s="49"/>
      <c r="K318" s="50"/>
      <c r="L318" s="51"/>
      <c r="M318" t="s" s="45">
        <v>217</v>
      </c>
      <c r="N318" s="52">
        <v>241</v>
      </c>
      <c r="O318" s="44"/>
    </row>
    <row r="319" ht="23.1" customHeight="1">
      <c r="A319" t="s" s="24">
        <v>457</v>
      </c>
      <c r="B319" t="s" s="53">
        <v>457</v>
      </c>
      <c r="C319" t="s" s="53">
        <v>215</v>
      </c>
      <c r="D319" s="54">
        <v>42.7308892303785</v>
      </c>
      <c r="E319" s="54">
        <v>-73.6842114708209</v>
      </c>
      <c r="F319" s="55">
        <f>_xlfn.COUNTIFS('Connections'!$B$6:$B$589,A319)+_xlfn.COUNTIFS('Connections'!$C$6:$C$589,A319)</f>
        <v>3</v>
      </c>
      <c r="G319" s="55">
        <f>_xlfn.COUNTIFS('Connections'!$B$6:$B$589,A319,'Connections'!$D$6:$D$589,"TRUE")+_xlfn.COUNTIFS('Connections'!$C$6:$C$589,A319,'Connections'!$D$6:$D$589,"TRUE")</f>
        <v>3</v>
      </c>
      <c r="H319" t="s" s="48">
        <v>69</v>
      </c>
      <c r="I319" t="s" s="48">
        <v>70</v>
      </c>
      <c r="J319" s="49"/>
      <c r="K319" s="50"/>
      <c r="L319" s="56"/>
      <c r="M319" t="s" s="53">
        <v>217</v>
      </c>
      <c r="N319" s="57">
        <v>242</v>
      </c>
      <c r="O319" s="44"/>
    </row>
    <row r="320" ht="23.1" customHeight="1">
      <c r="A320" t="s" s="21">
        <v>458</v>
      </c>
      <c r="B320" t="s" s="45">
        <v>458</v>
      </c>
      <c r="C320" t="s" s="45">
        <v>215</v>
      </c>
      <c r="D320" s="46">
        <v>42.730619094794</v>
      </c>
      <c r="E320" s="46">
        <v>-73.6856757766173</v>
      </c>
      <c r="F320" s="47">
        <f>_xlfn.COUNTIFS('Connections'!$B$6:$B$589,A320)+_xlfn.COUNTIFS('Connections'!$C$6:$C$589,A320)</f>
        <v>3</v>
      </c>
      <c r="G320" s="47">
        <f>_xlfn.COUNTIFS('Connections'!$B$6:$B$589,A320,'Connections'!$D$6:$D$589,"TRUE")+_xlfn.COUNTIFS('Connections'!$C$6:$C$589,A320,'Connections'!$D$6:$D$589,"TRUE")</f>
        <v>3</v>
      </c>
      <c r="H320" t="s" s="48">
        <v>69</v>
      </c>
      <c r="I320" t="s" s="48">
        <v>70</v>
      </c>
      <c r="J320" s="49"/>
      <c r="K320" s="50"/>
      <c r="L320" s="51"/>
      <c r="M320" t="s" s="45">
        <v>217</v>
      </c>
      <c r="N320" s="52">
        <v>243</v>
      </c>
      <c r="O320" s="44"/>
    </row>
    <row r="321" ht="23.1" customHeight="1">
      <c r="A321" t="s" s="24">
        <v>459</v>
      </c>
      <c r="B321" t="s" s="53">
        <v>459</v>
      </c>
      <c r="C321" t="s" s="53">
        <v>215</v>
      </c>
      <c r="D321" s="54">
        <v>42.7305294327702</v>
      </c>
      <c r="E321" s="54">
        <v>-73.68433880175969</v>
      </c>
      <c r="F321" s="55">
        <f>_xlfn.COUNTIFS('Connections'!$B$6:$B$589,A321)+_xlfn.COUNTIFS('Connections'!$C$6:$C$589,A321)</f>
        <v>3</v>
      </c>
      <c r="G321" s="55">
        <f>_xlfn.COUNTIFS('Connections'!$B$6:$B$589,A321,'Connections'!$D$6:$D$589,"TRUE")+_xlfn.COUNTIFS('Connections'!$C$6:$C$589,A321,'Connections'!$D$6:$D$589,"TRUE")</f>
        <v>3</v>
      </c>
      <c r="H321" t="s" s="48">
        <v>69</v>
      </c>
      <c r="I321" t="s" s="48">
        <v>70</v>
      </c>
      <c r="J321" s="49"/>
      <c r="K321" s="50"/>
      <c r="L321" s="56"/>
      <c r="M321" t="s" s="53">
        <v>217</v>
      </c>
      <c r="N321" s="57">
        <v>244</v>
      </c>
      <c r="O321" s="44"/>
    </row>
    <row r="322" ht="23.1" customHeight="1">
      <c r="A322" t="s" s="21">
        <v>460</v>
      </c>
      <c r="B322" t="s" s="45">
        <v>460</v>
      </c>
      <c r="C322" t="s" s="45">
        <v>215</v>
      </c>
      <c r="D322" s="46">
        <v>42.7313340919579</v>
      </c>
      <c r="E322" s="46">
        <v>-73.6855166129438</v>
      </c>
      <c r="F322" s="47">
        <f>_xlfn.COUNTIFS('Connections'!$B$6:$B$589,A322)+_xlfn.COUNTIFS('Connections'!$C$6:$C$589,A322)</f>
        <v>3</v>
      </c>
      <c r="G322" s="47">
        <f>_xlfn.COUNTIFS('Connections'!$B$6:$B$589,A322,'Connections'!$D$6:$D$589,"TRUE")+_xlfn.COUNTIFS('Connections'!$C$6:$C$589,A322,'Connections'!$D$6:$D$589,"TRUE")</f>
        <v>3</v>
      </c>
      <c r="H322" t="s" s="48">
        <v>69</v>
      </c>
      <c r="I322" t="s" s="48">
        <v>70</v>
      </c>
      <c r="J322" s="49"/>
      <c r="K322" s="50"/>
      <c r="L322" s="51"/>
      <c r="M322" t="s" s="45">
        <v>217</v>
      </c>
      <c r="N322" s="52">
        <v>245</v>
      </c>
      <c r="O322" s="44"/>
    </row>
    <row r="323" ht="23.1" customHeight="1">
      <c r="A323" t="s" s="24">
        <v>461</v>
      </c>
      <c r="B323" t="s" s="53">
        <v>461</v>
      </c>
      <c r="C323" t="s" s="53">
        <v>215</v>
      </c>
      <c r="D323" s="54">
        <v>42.7315869848455</v>
      </c>
      <c r="E323" s="54">
        <v>-73.68552616276421</v>
      </c>
      <c r="F323" s="55">
        <f>_xlfn.COUNTIFS('Connections'!$B$6:$B$589,A323)+_xlfn.COUNTIFS('Connections'!$C$6:$C$589,A323)</f>
        <v>2</v>
      </c>
      <c r="G323" s="55">
        <f>_xlfn.COUNTIFS('Connections'!$B$6:$B$589,A323,'Connections'!$D$6:$D$589,"TRUE")+_xlfn.COUNTIFS('Connections'!$C$6:$C$589,A323,'Connections'!$D$6:$D$589,"TRUE")</f>
        <v>2</v>
      </c>
      <c r="H323" t="s" s="48">
        <v>69</v>
      </c>
      <c r="I323" t="s" s="48">
        <v>70</v>
      </c>
      <c r="J323" s="49"/>
      <c r="K323" s="50"/>
      <c r="L323" s="56"/>
      <c r="M323" t="s" s="53">
        <v>217</v>
      </c>
      <c r="N323" s="57">
        <v>246</v>
      </c>
      <c r="O323" s="44"/>
    </row>
    <row r="324" ht="23.1" customHeight="1">
      <c r="A324" t="s" s="21">
        <v>462</v>
      </c>
      <c r="B324" t="s" s="45">
        <v>462</v>
      </c>
      <c r="C324" t="s" s="45">
        <v>215</v>
      </c>
      <c r="D324" s="46">
        <v>42.731637563423</v>
      </c>
      <c r="E324" s="46">
        <v>-73.686519344087</v>
      </c>
      <c r="F324" s="47">
        <f>_xlfn.COUNTIFS('Connections'!$B$6:$B$589,A324)+_xlfn.COUNTIFS('Connections'!$C$6:$C$589,A324)</f>
        <v>3</v>
      </c>
      <c r="G324" s="47">
        <f>_xlfn.COUNTIFS('Connections'!$B$6:$B$589,A324,'Connections'!$D$6:$D$589,"TRUE")+_xlfn.COUNTIFS('Connections'!$C$6:$C$589,A324,'Connections'!$D$6:$D$589,"TRUE")</f>
        <v>3</v>
      </c>
      <c r="H324" t="s" s="48">
        <v>69</v>
      </c>
      <c r="I324" t="s" s="48">
        <v>70</v>
      </c>
      <c r="J324" s="49"/>
      <c r="K324" s="50"/>
      <c r="L324" s="51"/>
      <c r="M324" t="s" s="45">
        <v>217</v>
      </c>
      <c r="N324" s="52">
        <v>247</v>
      </c>
      <c r="O324" s="44"/>
    </row>
    <row r="325" ht="23.1" customHeight="1">
      <c r="A325" t="s" s="24">
        <v>463</v>
      </c>
      <c r="B325" t="s" s="53">
        <v>463</v>
      </c>
      <c r="C325" t="s" s="53">
        <v>215</v>
      </c>
      <c r="D325" s="54">
        <v>42.7316214702393</v>
      </c>
      <c r="E325" s="54">
        <v>-73.6862089749236</v>
      </c>
      <c r="F325" s="55">
        <f>_xlfn.COUNTIFS('Connections'!$B$6:$B$589,A325)+_xlfn.COUNTIFS('Connections'!$C$6:$C$589,A325)</f>
        <v>3</v>
      </c>
      <c r="G325" s="55">
        <f>_xlfn.COUNTIFS('Connections'!$B$6:$B$589,A325,'Connections'!$D$6:$D$589,"TRUE")+_xlfn.COUNTIFS('Connections'!$C$6:$C$589,A325,'Connections'!$D$6:$D$589,"TRUE")</f>
        <v>3</v>
      </c>
      <c r="H325" t="s" s="48">
        <v>69</v>
      </c>
      <c r="I325" t="s" s="48">
        <v>70</v>
      </c>
      <c r="J325" s="49"/>
      <c r="K325" s="50"/>
      <c r="L325" s="56"/>
      <c r="M325" t="s" s="53">
        <v>217</v>
      </c>
      <c r="N325" s="57">
        <v>248</v>
      </c>
      <c r="O325" s="44"/>
    </row>
    <row r="326" ht="23.1" customHeight="1">
      <c r="A326" t="s" s="21">
        <v>464</v>
      </c>
      <c r="B326" t="s" s="45">
        <v>464</v>
      </c>
      <c r="C326" t="s" s="45">
        <v>215</v>
      </c>
      <c r="D326" s="46">
        <v>42.7306443840828</v>
      </c>
      <c r="E326" s="46">
        <v>-73.6864079295155</v>
      </c>
      <c r="F326" s="47">
        <f>_xlfn.COUNTIFS('Connections'!$B$6:$B$589,A326)+_xlfn.COUNTIFS('Connections'!$C$6:$C$589,A326)</f>
        <v>2</v>
      </c>
      <c r="G326" s="47">
        <f>_xlfn.COUNTIFS('Connections'!$B$6:$B$589,A326,'Connections'!$D$6:$D$589,"TRUE")+_xlfn.COUNTIFS('Connections'!$C$6:$C$589,A326,'Connections'!$D$6:$D$589,"TRUE")</f>
        <v>2</v>
      </c>
      <c r="H326" t="s" s="48">
        <v>69</v>
      </c>
      <c r="I326" t="s" s="48">
        <v>70</v>
      </c>
      <c r="J326" s="49"/>
      <c r="K326" s="50"/>
      <c r="L326" s="51"/>
      <c r="M326" t="s" s="45">
        <v>217</v>
      </c>
      <c r="N326" s="52">
        <v>249</v>
      </c>
      <c r="O326" s="44"/>
    </row>
    <row r="327" ht="23.1" customHeight="1">
      <c r="A327" t="s" s="24">
        <v>465</v>
      </c>
      <c r="B327" t="s" s="53">
        <v>465</v>
      </c>
      <c r="C327" t="s" s="53">
        <v>215</v>
      </c>
      <c r="D327" s="54">
        <v>42.7336331182086</v>
      </c>
      <c r="E327" s="54">
        <v>-73.68593043849491</v>
      </c>
      <c r="F327" s="55">
        <f>_xlfn.COUNTIFS('Connections'!$B$6:$B$589,A327)+_xlfn.COUNTIFS('Connections'!$C$6:$C$589,A327)</f>
        <v>2</v>
      </c>
      <c r="G327" s="55">
        <f>_xlfn.COUNTIFS('Connections'!$B$6:$B$589,A327,'Connections'!$D$6:$D$589,"TRUE")+_xlfn.COUNTIFS('Connections'!$C$6:$C$589,A327,'Connections'!$D$6:$D$589,"TRUE")</f>
        <v>2</v>
      </c>
      <c r="H327" t="s" s="48">
        <v>69</v>
      </c>
      <c r="I327" t="s" s="48">
        <v>70</v>
      </c>
      <c r="J327" s="49"/>
      <c r="K327" s="50"/>
      <c r="L327" s="56"/>
      <c r="M327" t="s" s="53">
        <v>217</v>
      </c>
      <c r="N327" s="57">
        <v>250</v>
      </c>
      <c r="O327" s="44"/>
    </row>
    <row r="328" ht="23.1" customHeight="1">
      <c r="A328" t="s" s="21">
        <v>466</v>
      </c>
      <c r="B328" t="s" s="45">
        <v>466</v>
      </c>
      <c r="C328" t="s" s="45">
        <v>215</v>
      </c>
      <c r="D328" s="46">
        <v>42.7334377009773</v>
      </c>
      <c r="E328" s="46">
        <v>-73.6849054244374</v>
      </c>
      <c r="F328" s="47">
        <f>_xlfn.COUNTIFS('Connections'!$B$6:$B$589,A328)+_xlfn.COUNTIFS('Connections'!$C$6:$C$589,A328)</f>
        <v>3</v>
      </c>
      <c r="G328" s="47">
        <f>_xlfn.COUNTIFS('Connections'!$B$6:$B$589,A328,'Connections'!$D$6:$D$589,"TRUE")+_xlfn.COUNTIFS('Connections'!$C$6:$C$589,A328,'Connections'!$D$6:$D$589,"TRUE")</f>
        <v>3</v>
      </c>
      <c r="H328" t="s" s="48">
        <v>69</v>
      </c>
      <c r="I328" t="s" s="48">
        <v>70</v>
      </c>
      <c r="J328" s="49"/>
      <c r="K328" s="50"/>
      <c r="L328" s="51"/>
      <c r="M328" t="s" s="45">
        <v>217</v>
      </c>
      <c r="N328" s="52">
        <v>251</v>
      </c>
      <c r="O328" s="44"/>
    </row>
    <row r="329" ht="23.1" customHeight="1">
      <c r="A329" t="s" s="24">
        <v>467</v>
      </c>
      <c r="B329" t="s" s="53">
        <v>467</v>
      </c>
      <c r="C329" t="s" s="53">
        <v>215</v>
      </c>
      <c r="D329" s="54">
        <v>42.7283453578322</v>
      </c>
      <c r="E329" s="54">
        <v>-73.6872037478831</v>
      </c>
      <c r="F329" s="55">
        <f>_xlfn.COUNTIFS('Connections'!$B$6:$B$589,A329)+_xlfn.COUNTIFS('Connections'!$C$6:$C$589,A329)</f>
        <v>2</v>
      </c>
      <c r="G329" s="55">
        <f>_xlfn.COUNTIFS('Connections'!$B$6:$B$589,A329,'Connections'!$D$6:$D$589,"TRUE")+_xlfn.COUNTIFS('Connections'!$C$6:$C$589,A329,'Connections'!$D$6:$D$589,"TRUE")</f>
        <v>2</v>
      </c>
      <c r="H329" t="s" s="48">
        <v>69</v>
      </c>
      <c r="I329" t="s" s="48">
        <v>70</v>
      </c>
      <c r="J329" s="49"/>
      <c r="K329" s="50"/>
      <c r="L329" s="56"/>
      <c r="M329" t="s" s="53">
        <v>217</v>
      </c>
      <c r="N329" s="57">
        <v>252</v>
      </c>
      <c r="O329" s="44"/>
    </row>
    <row r="330" ht="23.1" customHeight="1">
      <c r="A330" t="s" s="21">
        <v>468</v>
      </c>
      <c r="B330" t="s" s="45">
        <v>468</v>
      </c>
      <c r="C330" t="s" s="45">
        <v>215</v>
      </c>
      <c r="D330" s="46">
        <v>42.7294488904324</v>
      </c>
      <c r="E330" s="46">
        <v>-73.6861278014501</v>
      </c>
      <c r="F330" s="47">
        <f>_xlfn.COUNTIFS('Connections'!$B$6:$B$589,A330)+_xlfn.COUNTIFS('Connections'!$C$6:$C$589,A330)</f>
        <v>1</v>
      </c>
      <c r="G330" s="47">
        <f>_xlfn.COUNTIFS('Connections'!$B$6:$B$589,A330,'Connections'!$D$6:$D$589,"TRUE")+_xlfn.COUNTIFS('Connections'!$C$6:$C$589,A330,'Connections'!$D$6:$D$589,"TRUE")</f>
        <v>1</v>
      </c>
      <c r="H330" t="s" s="48">
        <v>69</v>
      </c>
      <c r="I330" t="s" s="48">
        <v>70</v>
      </c>
      <c r="J330" s="49"/>
      <c r="K330" s="50"/>
      <c r="L330" s="51"/>
      <c r="M330" t="s" s="45">
        <v>217</v>
      </c>
      <c r="N330" s="52">
        <v>253</v>
      </c>
      <c r="O330" s="44"/>
    </row>
    <row r="331" ht="23.1" customHeight="1">
      <c r="A331" t="s" s="24">
        <v>469</v>
      </c>
      <c r="B331" t="s" s="53">
        <v>469</v>
      </c>
      <c r="C331" t="s" s="53">
        <v>215</v>
      </c>
      <c r="D331" s="54">
        <v>42.729563841745</v>
      </c>
      <c r="E331" s="54">
        <v>-73.6869554525525</v>
      </c>
      <c r="F331" s="55">
        <f>_xlfn.COUNTIFS('Connections'!$B$6:$B$589,A331)+_xlfn.COUNTIFS('Connections'!$C$6:$C$589,A331)</f>
        <v>3</v>
      </c>
      <c r="G331" s="55">
        <f>_xlfn.COUNTIFS('Connections'!$B$6:$B$589,A331,'Connections'!$D$6:$D$589,"TRUE")+_xlfn.COUNTIFS('Connections'!$C$6:$C$589,A331,'Connections'!$D$6:$D$589,"TRUE")</f>
        <v>3</v>
      </c>
      <c r="H331" t="s" s="48">
        <v>69</v>
      </c>
      <c r="I331" t="s" s="48">
        <v>70</v>
      </c>
      <c r="J331" s="49"/>
      <c r="K331" s="50"/>
      <c r="L331" s="56"/>
      <c r="M331" t="s" s="53">
        <v>217</v>
      </c>
      <c r="N331" s="57">
        <v>254</v>
      </c>
      <c r="O331" s="44"/>
    </row>
    <row r="332" ht="23.1" customHeight="1">
      <c r="A332" t="s" s="21">
        <v>470</v>
      </c>
      <c r="B332" t="s" s="45">
        <v>470</v>
      </c>
      <c r="C332" t="s" s="45">
        <v>215</v>
      </c>
      <c r="D332" s="46">
        <v>42.7281154552071</v>
      </c>
      <c r="E332" s="46">
        <v>-73.686567093189</v>
      </c>
      <c r="F332" s="47">
        <f>_xlfn.COUNTIFS('Connections'!$B$6:$B$589,A332)+_xlfn.COUNTIFS('Connections'!$C$6:$C$589,A332)</f>
        <v>2</v>
      </c>
      <c r="G332" s="47">
        <f>_xlfn.COUNTIFS('Connections'!$B$6:$B$589,A332,'Connections'!$D$6:$D$589,"TRUE")+_xlfn.COUNTIFS('Connections'!$C$6:$C$589,A332,'Connections'!$D$6:$D$589,"TRUE")</f>
        <v>2</v>
      </c>
      <c r="H332" t="s" s="48">
        <v>69</v>
      </c>
      <c r="I332" t="s" s="48">
        <v>70</v>
      </c>
      <c r="J332" s="49"/>
      <c r="K332" s="50"/>
      <c r="L332" s="51"/>
      <c r="M332" t="s" s="45">
        <v>217</v>
      </c>
      <c r="N332" s="52">
        <v>255</v>
      </c>
      <c r="O332" s="44"/>
    </row>
    <row r="333" ht="23.1" customHeight="1">
      <c r="A333" t="s" s="24">
        <v>471</v>
      </c>
      <c r="B333" t="s" s="53">
        <v>471</v>
      </c>
      <c r="C333" t="s" s="53">
        <v>215</v>
      </c>
      <c r="D333" s="54">
        <v>42.7274717278569</v>
      </c>
      <c r="E333" s="54">
        <v>-73.68516645286201</v>
      </c>
      <c r="F333" s="55">
        <f>_xlfn.COUNTIFS('Connections'!$B$6:$B$589,A333)+_xlfn.COUNTIFS('Connections'!$C$6:$C$589,A333)</f>
        <v>2</v>
      </c>
      <c r="G333" s="55">
        <f>_xlfn.COUNTIFS('Connections'!$B$6:$B$589,A333,'Connections'!$D$6:$D$589,"TRUE")+_xlfn.COUNTIFS('Connections'!$C$6:$C$589,A333,'Connections'!$D$6:$D$589,"TRUE")</f>
        <v>2</v>
      </c>
      <c r="H333" t="s" s="48">
        <v>69</v>
      </c>
      <c r="I333" t="s" s="48">
        <v>70</v>
      </c>
      <c r="J333" s="49"/>
      <c r="K333" s="50"/>
      <c r="L333" s="56"/>
      <c r="M333" t="s" s="53">
        <v>217</v>
      </c>
      <c r="N333" s="57">
        <v>256</v>
      </c>
      <c r="O333" s="44"/>
    </row>
    <row r="334" ht="23.1" customHeight="1">
      <c r="A334" t="s" s="21">
        <v>472</v>
      </c>
      <c r="B334" t="s" s="45">
        <v>472</v>
      </c>
      <c r="C334" t="s" s="45">
        <v>215</v>
      </c>
      <c r="D334" s="46">
        <v>42.7278050866633</v>
      </c>
      <c r="E334" s="46">
        <v>-73.6860577694338</v>
      </c>
      <c r="F334" s="47">
        <f>_xlfn.COUNTIFS('Connections'!$B$6:$B$589,A334)+_xlfn.COUNTIFS('Connections'!$C$6:$C$589,A334)</f>
        <v>2</v>
      </c>
      <c r="G334" s="47">
        <f>_xlfn.COUNTIFS('Connections'!$B$6:$B$589,A334,'Connections'!$D$6:$D$589,"TRUE")+_xlfn.COUNTIFS('Connections'!$C$6:$C$589,A334,'Connections'!$D$6:$D$589,"TRUE")</f>
        <v>2</v>
      </c>
      <c r="H334" t="s" s="48">
        <v>69</v>
      </c>
      <c r="I334" t="s" s="48">
        <v>70</v>
      </c>
      <c r="J334" s="49"/>
      <c r="K334" s="50"/>
      <c r="L334" s="51"/>
      <c r="M334" t="s" s="45">
        <v>217</v>
      </c>
      <c r="N334" s="52">
        <v>257</v>
      </c>
      <c r="O334" s="44"/>
    </row>
    <row r="335" ht="23.1" customHeight="1">
      <c r="A335" t="s" s="24">
        <v>473</v>
      </c>
      <c r="B335" t="s" s="53">
        <v>473</v>
      </c>
      <c r="C335" t="s" s="53">
        <v>215</v>
      </c>
      <c r="D335" s="54">
        <v>42.733288264271</v>
      </c>
      <c r="E335" s="54">
        <v>-73.6784974949413</v>
      </c>
      <c r="F335" s="55">
        <f>_xlfn.COUNTIFS('Connections'!$B$6:$B$589,A335)+_xlfn.COUNTIFS('Connections'!$C$6:$C$589,A335)</f>
        <v>3</v>
      </c>
      <c r="G335" s="55">
        <f>_xlfn.COUNTIFS('Connections'!$B$6:$B$589,A335,'Connections'!$D$6:$D$589,"TRUE")+_xlfn.COUNTIFS('Connections'!$C$6:$C$589,A335,'Connections'!$D$6:$D$589,"TRUE")</f>
        <v>3</v>
      </c>
      <c r="H335" t="s" s="48">
        <v>69</v>
      </c>
      <c r="I335" t="s" s="48">
        <v>70</v>
      </c>
      <c r="J335" s="49"/>
      <c r="K335" s="50"/>
      <c r="L335" s="56"/>
      <c r="M335" t="s" s="53">
        <v>217</v>
      </c>
      <c r="N335" s="57">
        <v>258</v>
      </c>
      <c r="O335" s="44"/>
    </row>
    <row r="336" ht="23.1" customHeight="1">
      <c r="A336" t="s" s="21">
        <v>474</v>
      </c>
      <c r="B336" t="s" s="45">
        <v>474</v>
      </c>
      <c r="C336" t="s" s="45">
        <v>215</v>
      </c>
      <c r="D336" s="46">
        <v>42.7327847775221</v>
      </c>
      <c r="E336" s="46">
        <v>-73.67863119242701</v>
      </c>
      <c r="F336" s="47">
        <f>_xlfn.COUNTIFS('Connections'!$B$6:$B$589,A336)+_xlfn.COUNTIFS('Connections'!$C$6:$C$589,A336)</f>
        <v>3</v>
      </c>
      <c r="G336" s="47">
        <f>_xlfn.COUNTIFS('Connections'!$B$6:$B$589,A336,'Connections'!$D$6:$D$589,"TRUE")+_xlfn.COUNTIFS('Connections'!$C$6:$C$589,A336,'Connections'!$D$6:$D$589,"TRUE")</f>
        <v>3</v>
      </c>
      <c r="H336" t="s" s="48">
        <v>69</v>
      </c>
      <c r="I336" t="s" s="48">
        <v>70</v>
      </c>
      <c r="J336" s="49"/>
      <c r="K336" s="50"/>
      <c r="L336" s="51"/>
      <c r="M336" t="s" s="45">
        <v>217</v>
      </c>
      <c r="N336" s="52">
        <v>259</v>
      </c>
      <c r="O336" s="44"/>
    </row>
    <row r="337" ht="23.1" customHeight="1">
      <c r="A337" t="s" s="24">
        <v>475</v>
      </c>
      <c r="B337" t="s" s="53">
        <v>475</v>
      </c>
      <c r="C337" t="s" s="53">
        <v>215</v>
      </c>
      <c r="D337" s="54">
        <v>42.7328434026915</v>
      </c>
      <c r="E337" s="54">
        <v>-73.67904979288841</v>
      </c>
      <c r="F337" s="55">
        <f>_xlfn.COUNTIFS('Connections'!$B$6:$B$589,A337)+_xlfn.COUNTIFS('Connections'!$C$6:$C$589,A337)</f>
        <v>2</v>
      </c>
      <c r="G337" s="55">
        <f>_xlfn.COUNTIFS('Connections'!$B$6:$B$589,A337,'Connections'!$D$6:$D$589,"TRUE")+_xlfn.COUNTIFS('Connections'!$C$6:$C$589,A337,'Connections'!$D$6:$D$589,"TRUE")</f>
        <v>2</v>
      </c>
      <c r="H337" t="s" s="48">
        <v>69</v>
      </c>
      <c r="I337" t="s" s="48">
        <v>70</v>
      </c>
      <c r="J337" s="49"/>
      <c r="K337" s="50"/>
      <c r="L337" s="56"/>
      <c r="M337" t="s" s="53">
        <v>217</v>
      </c>
      <c r="N337" s="57">
        <v>260</v>
      </c>
      <c r="O337" s="44"/>
    </row>
    <row r="338" ht="23.1" customHeight="1">
      <c r="A338" t="s" s="21">
        <v>476</v>
      </c>
      <c r="B338" t="s" s="45">
        <v>476</v>
      </c>
      <c r="C338" t="s" s="45">
        <v>215</v>
      </c>
      <c r="D338" s="46">
        <v>42.7330066335553</v>
      </c>
      <c r="E338" s="46">
        <v>-73.6794333773416</v>
      </c>
      <c r="F338" s="47">
        <f>_xlfn.COUNTIFS('Connections'!$B$6:$B$589,A338)+_xlfn.COUNTIFS('Connections'!$C$6:$C$589,A338)</f>
        <v>3</v>
      </c>
      <c r="G338" s="47">
        <f>_xlfn.COUNTIFS('Connections'!$B$6:$B$589,A338,'Connections'!$D$6:$D$589,"TRUE")+_xlfn.COUNTIFS('Connections'!$C$6:$C$589,A338,'Connections'!$D$6:$D$589,"TRUE")</f>
        <v>3</v>
      </c>
      <c r="H338" t="s" s="48">
        <v>69</v>
      </c>
      <c r="I338" t="s" s="48">
        <v>70</v>
      </c>
      <c r="J338" s="49"/>
      <c r="K338" s="50"/>
      <c r="L338" s="51"/>
      <c r="M338" t="s" s="45">
        <v>217</v>
      </c>
      <c r="N338" s="52">
        <v>261</v>
      </c>
      <c r="O338" s="44"/>
    </row>
    <row r="339" ht="23.1" customHeight="1">
      <c r="A339" t="s" s="24">
        <v>477</v>
      </c>
      <c r="B339" t="s" s="53">
        <v>477</v>
      </c>
      <c r="C339" t="s" s="53">
        <v>215</v>
      </c>
      <c r="D339" s="54">
        <v>42.7327709833646</v>
      </c>
      <c r="E339" s="54">
        <v>-73.67931718785989</v>
      </c>
      <c r="F339" s="55">
        <f>_xlfn.COUNTIFS('Connections'!$B$6:$B$589,A339)+_xlfn.COUNTIFS('Connections'!$C$6:$C$589,A339)</f>
        <v>2</v>
      </c>
      <c r="G339" s="55">
        <f>_xlfn.COUNTIFS('Connections'!$B$6:$B$589,A339,'Connections'!$D$6:$D$589,"TRUE")+_xlfn.COUNTIFS('Connections'!$C$6:$C$589,A339,'Connections'!$D$6:$D$589,"TRUE")</f>
        <v>2</v>
      </c>
      <c r="H339" t="s" s="48">
        <v>69</v>
      </c>
      <c r="I339" t="s" s="48">
        <v>70</v>
      </c>
      <c r="J339" s="49"/>
      <c r="K339" s="50"/>
      <c r="L339" s="56"/>
      <c r="M339" t="s" s="53">
        <v>217</v>
      </c>
      <c r="N339" s="57">
        <v>262</v>
      </c>
      <c r="O339" s="44"/>
    </row>
    <row r="340" ht="23.1" customHeight="1">
      <c r="A340" t="s" s="21">
        <v>478</v>
      </c>
      <c r="B340" t="s" s="45">
        <v>478</v>
      </c>
      <c r="C340" t="s" s="45">
        <v>215</v>
      </c>
      <c r="D340" s="46">
        <v>42.7325778651595</v>
      </c>
      <c r="E340" s="46">
        <v>-73.6789686194149</v>
      </c>
      <c r="F340" s="47">
        <f>_xlfn.COUNTIFS('Connections'!$B$6:$B$589,A340)+_xlfn.COUNTIFS('Connections'!$C$6:$C$589,A340)</f>
        <v>3</v>
      </c>
      <c r="G340" s="47">
        <f>_xlfn.COUNTIFS('Connections'!$B$6:$B$589,A340,'Connections'!$D$6:$D$589,"TRUE")+_xlfn.COUNTIFS('Connections'!$C$6:$C$589,A340,'Connections'!$D$6:$D$589,"TRUE")</f>
        <v>3</v>
      </c>
      <c r="H340" t="s" s="48">
        <v>69</v>
      </c>
      <c r="I340" t="s" s="48">
        <v>70</v>
      </c>
      <c r="J340" s="49"/>
      <c r="K340" s="50"/>
      <c r="L340" s="51"/>
      <c r="M340" t="s" s="45">
        <v>217</v>
      </c>
      <c r="N340" s="52">
        <v>263</v>
      </c>
      <c r="O340" s="44"/>
    </row>
    <row r="341" ht="23.1" customHeight="1">
      <c r="A341" t="s" s="24">
        <v>479</v>
      </c>
      <c r="B341" t="s" s="53">
        <v>479</v>
      </c>
      <c r="C341" t="s" s="53">
        <v>215</v>
      </c>
      <c r="D341" s="54">
        <v>42.7328284590208</v>
      </c>
      <c r="E341" s="54">
        <v>-73.67892723685981</v>
      </c>
      <c r="F341" s="55">
        <f>_xlfn.COUNTIFS('Connections'!$B$6:$B$589,A341)+_xlfn.COUNTIFS('Connections'!$C$6:$C$589,A341)</f>
        <v>4</v>
      </c>
      <c r="G341" s="55">
        <f>_xlfn.COUNTIFS('Connections'!$B$6:$B$589,A341,'Connections'!$D$6:$D$589,"TRUE")+_xlfn.COUNTIFS('Connections'!$C$6:$C$589,A341,'Connections'!$D$6:$D$589,"TRUE")</f>
        <v>4</v>
      </c>
      <c r="H341" t="s" s="48">
        <v>69</v>
      </c>
      <c r="I341" t="s" s="48">
        <v>70</v>
      </c>
      <c r="J341" s="49"/>
      <c r="K341" s="50"/>
      <c r="L341" s="56"/>
      <c r="M341" t="s" s="53">
        <v>217</v>
      </c>
      <c r="N341" s="57">
        <v>264</v>
      </c>
      <c r="O341" s="44"/>
    </row>
    <row r="342" ht="23.1" customHeight="1">
      <c r="A342" t="s" s="21">
        <v>480</v>
      </c>
      <c r="B342" t="s" s="45">
        <v>480</v>
      </c>
      <c r="C342" t="s" s="45">
        <v>215</v>
      </c>
      <c r="D342" s="46">
        <v>42.7333457399272</v>
      </c>
      <c r="E342" s="46">
        <v>-73.6788158222883</v>
      </c>
      <c r="F342" s="47">
        <f>_xlfn.COUNTIFS('Connections'!$B$6:$B$589,A342)+_xlfn.COUNTIFS('Connections'!$C$6:$C$589,A342)</f>
        <v>3</v>
      </c>
      <c r="G342" s="47">
        <f>_xlfn.COUNTIFS('Connections'!$B$6:$B$589,A342,'Connections'!$D$6:$D$589,"TRUE")+_xlfn.COUNTIFS('Connections'!$C$6:$C$589,A342,'Connections'!$D$6:$D$589,"TRUE")</f>
        <v>3</v>
      </c>
      <c r="H342" t="s" s="48">
        <v>69</v>
      </c>
      <c r="I342" t="s" s="48">
        <v>70</v>
      </c>
      <c r="J342" s="49"/>
      <c r="K342" s="50"/>
      <c r="L342" s="51"/>
      <c r="M342" t="s" s="45">
        <v>217</v>
      </c>
      <c r="N342" s="52">
        <v>265</v>
      </c>
      <c r="O342" s="44"/>
    </row>
    <row r="343" ht="23.1" customHeight="1">
      <c r="A343" t="s" s="24">
        <v>481</v>
      </c>
      <c r="B343" t="s" s="53">
        <v>481</v>
      </c>
      <c r="C343" t="s" s="53">
        <v>215</v>
      </c>
      <c r="D343" s="54">
        <v>42.7331112392497</v>
      </c>
      <c r="E343" s="54">
        <v>-73.67976284614581</v>
      </c>
      <c r="F343" s="55">
        <f>_xlfn.COUNTIFS('Connections'!$B$6:$B$589,A343)+_xlfn.COUNTIFS('Connections'!$C$6:$C$589,A343)</f>
        <v>3</v>
      </c>
      <c r="G343" s="55">
        <f>_xlfn.COUNTIFS('Connections'!$B$6:$B$589,A343,'Connections'!$D$6:$D$589,"TRUE")+_xlfn.COUNTIFS('Connections'!$C$6:$C$589,A343,'Connections'!$D$6:$D$589,"TRUE")</f>
        <v>3</v>
      </c>
      <c r="H343" t="s" s="48">
        <v>69</v>
      </c>
      <c r="I343" t="s" s="48">
        <v>70</v>
      </c>
      <c r="J343" s="49"/>
      <c r="K343" s="50"/>
      <c r="L343" s="56"/>
      <c r="M343" t="s" s="53">
        <v>217</v>
      </c>
      <c r="N343" s="57">
        <v>266</v>
      </c>
      <c r="O343" s="44"/>
    </row>
    <row r="344" ht="23.1" customHeight="1">
      <c r="A344" t="s" s="21">
        <v>482</v>
      </c>
      <c r="B344" t="s" s="45">
        <v>482</v>
      </c>
      <c r="C344" t="s" s="45">
        <v>215</v>
      </c>
      <c r="D344" s="46">
        <v>42.7324951002145</v>
      </c>
      <c r="E344" s="46">
        <v>-73.67870440771679</v>
      </c>
      <c r="F344" s="47">
        <f>_xlfn.COUNTIFS('Connections'!$B$6:$B$589,A344)+_xlfn.COUNTIFS('Connections'!$C$6:$C$589,A344)</f>
        <v>3</v>
      </c>
      <c r="G344" s="47">
        <f>_xlfn.COUNTIFS('Connections'!$B$6:$B$589,A344,'Connections'!$D$6:$D$589,"TRUE")+_xlfn.COUNTIFS('Connections'!$C$6:$C$589,A344,'Connections'!$D$6:$D$589,"TRUE")</f>
        <v>3</v>
      </c>
      <c r="H344" t="s" s="48">
        <v>69</v>
      </c>
      <c r="I344" t="s" s="48">
        <v>70</v>
      </c>
      <c r="J344" s="49"/>
      <c r="K344" s="50"/>
      <c r="L344" s="51"/>
      <c r="M344" t="s" s="45">
        <v>217</v>
      </c>
      <c r="N344" s="52">
        <v>267</v>
      </c>
      <c r="O344" s="44"/>
    </row>
    <row r="345" ht="23.1" customHeight="1">
      <c r="A345" t="s" s="24">
        <v>483</v>
      </c>
      <c r="B345" t="s" s="53">
        <v>483</v>
      </c>
      <c r="C345" t="s" s="53">
        <v>215</v>
      </c>
      <c r="D345" s="54">
        <v>42.7324192323482</v>
      </c>
      <c r="E345" s="54">
        <v>-73.6777335093083</v>
      </c>
      <c r="F345" s="55">
        <f>_xlfn.COUNTIFS('Connections'!$B$6:$B$589,A345)+_xlfn.COUNTIFS('Connections'!$C$6:$C$589,A345)</f>
        <v>2</v>
      </c>
      <c r="G345" s="55">
        <f>_xlfn.COUNTIFS('Connections'!$B$6:$B$589,A345,'Connections'!$D$6:$D$589,"TRUE")+_xlfn.COUNTIFS('Connections'!$C$6:$C$589,A345,'Connections'!$D$6:$D$589,"TRUE")</f>
        <v>2</v>
      </c>
      <c r="H345" t="s" s="48">
        <v>69</v>
      </c>
      <c r="I345" t="s" s="48">
        <v>70</v>
      </c>
      <c r="J345" s="49"/>
      <c r="K345" s="50"/>
      <c r="L345" s="56"/>
      <c r="M345" t="s" s="53">
        <v>217</v>
      </c>
      <c r="N345" s="57">
        <v>268</v>
      </c>
      <c r="O345" s="44"/>
    </row>
    <row r="346" ht="23.1" customHeight="1">
      <c r="A346" t="s" s="21">
        <v>484</v>
      </c>
      <c r="B346" t="s" s="45">
        <v>484</v>
      </c>
      <c r="C346" t="s" s="45">
        <v>215</v>
      </c>
      <c r="D346" s="46">
        <v>42.7328744395459</v>
      </c>
      <c r="E346" s="46">
        <v>-73.67764437765121</v>
      </c>
      <c r="F346" s="47">
        <f>_xlfn.COUNTIFS('Connections'!$B$6:$B$589,A346)+_xlfn.COUNTIFS('Connections'!$C$6:$C$589,A346)</f>
        <v>3</v>
      </c>
      <c r="G346" s="47">
        <f>_xlfn.COUNTIFS('Connections'!$B$6:$B$589,A346,'Connections'!$D$6:$D$589,"TRUE")+_xlfn.COUNTIFS('Connections'!$C$6:$C$589,A346,'Connections'!$D$6:$D$589,"TRUE")</f>
        <v>3</v>
      </c>
      <c r="H346" t="s" s="48">
        <v>69</v>
      </c>
      <c r="I346" t="s" s="48">
        <v>70</v>
      </c>
      <c r="J346" s="49"/>
      <c r="K346" s="50"/>
      <c r="L346" s="51"/>
      <c r="M346" t="s" s="45">
        <v>217</v>
      </c>
      <c r="N346" s="52">
        <v>269</v>
      </c>
      <c r="O346" s="44"/>
    </row>
    <row r="347" ht="23.1" customHeight="1">
      <c r="A347" t="s" s="24">
        <v>485</v>
      </c>
      <c r="B347" t="s" s="53">
        <v>485</v>
      </c>
      <c r="C347" t="s" s="53">
        <v>215</v>
      </c>
      <c r="D347" s="54">
        <v>42.7331606683141</v>
      </c>
      <c r="E347" s="54">
        <v>-73.6775393296266</v>
      </c>
      <c r="F347" s="55">
        <f>_xlfn.COUNTIFS('Connections'!$B$6:$B$589,A347)+_xlfn.COUNTIFS('Connections'!$C$6:$C$589,A347)</f>
        <v>3</v>
      </c>
      <c r="G347" s="55">
        <f>_xlfn.COUNTIFS('Connections'!$B$6:$B$589,A347,'Connections'!$D$6:$D$589,"TRUE")+_xlfn.COUNTIFS('Connections'!$C$6:$C$589,A347,'Connections'!$D$6:$D$589,"TRUE")</f>
        <v>3</v>
      </c>
      <c r="H347" t="s" s="48">
        <v>69</v>
      </c>
      <c r="I347" t="s" s="48">
        <v>70</v>
      </c>
      <c r="J347" s="49"/>
      <c r="K347" s="50"/>
      <c r="L347" s="56"/>
      <c r="M347" t="s" s="53">
        <v>217</v>
      </c>
      <c r="N347" s="57">
        <v>270</v>
      </c>
      <c r="O347" s="44"/>
    </row>
    <row r="348" ht="23.1" customHeight="1">
      <c r="A348" t="s" s="21">
        <v>486</v>
      </c>
      <c r="B348" t="s" s="45">
        <v>486</v>
      </c>
      <c r="C348" t="s" s="45">
        <v>215</v>
      </c>
      <c r="D348" s="46">
        <v>42.7319663241769</v>
      </c>
      <c r="E348" s="46">
        <v>-73.6788317386557</v>
      </c>
      <c r="F348" s="47">
        <f>_xlfn.COUNTIFS('Connections'!$B$6:$B$589,A348)+_xlfn.COUNTIFS('Connections'!$C$6:$C$589,A348)</f>
        <v>2</v>
      </c>
      <c r="G348" s="47">
        <f>_xlfn.COUNTIFS('Connections'!$B$6:$B$589,A348,'Connections'!$D$6:$D$589,"TRUE")+_xlfn.COUNTIFS('Connections'!$C$6:$C$589,A348,'Connections'!$D$6:$D$589,"TRUE")</f>
        <v>2</v>
      </c>
      <c r="H348" t="s" s="48">
        <v>69</v>
      </c>
      <c r="I348" t="s" s="48">
        <v>70</v>
      </c>
      <c r="J348" s="49"/>
      <c r="K348" s="50"/>
      <c r="L348" s="51"/>
      <c r="M348" t="s" s="45">
        <v>217</v>
      </c>
      <c r="N348" s="52">
        <v>271</v>
      </c>
      <c r="O348" s="44"/>
    </row>
    <row r="349" ht="23.1" customHeight="1">
      <c r="A349" t="s" s="24">
        <v>487</v>
      </c>
      <c r="B349" t="s" s="53">
        <v>487</v>
      </c>
      <c r="C349" t="s" s="53">
        <v>215</v>
      </c>
      <c r="D349" s="54">
        <v>42.7318697650743</v>
      </c>
      <c r="E349" s="54">
        <v>-73.6798440196193</v>
      </c>
      <c r="F349" s="55">
        <f>_xlfn.COUNTIFS('Connections'!$B$6:$B$589,A349)+_xlfn.COUNTIFS('Connections'!$C$6:$C$589,A349)</f>
        <v>2</v>
      </c>
      <c r="G349" s="55">
        <f>_xlfn.COUNTIFS('Connections'!$B$6:$B$589,A349,'Connections'!$D$6:$D$589,"TRUE")+_xlfn.COUNTIFS('Connections'!$C$6:$C$589,A349,'Connections'!$D$6:$D$589,"TRUE")</f>
        <v>2</v>
      </c>
      <c r="H349" t="s" s="48">
        <v>69</v>
      </c>
      <c r="I349" t="s" s="48">
        <v>70</v>
      </c>
      <c r="J349" s="49"/>
      <c r="K349" s="50"/>
      <c r="L349" s="56"/>
      <c r="M349" t="s" s="53">
        <v>217</v>
      </c>
      <c r="N349" s="57">
        <v>272</v>
      </c>
      <c r="O349" s="44"/>
    </row>
    <row r="350" ht="23.1" customHeight="1">
      <c r="A350" t="s" s="21">
        <v>488</v>
      </c>
      <c r="B350" t="s" s="45">
        <v>488</v>
      </c>
      <c r="C350" t="s" s="45">
        <v>215</v>
      </c>
      <c r="D350" s="46">
        <v>42.7317938972081</v>
      </c>
      <c r="E350" s="46">
        <v>-73.6807735354727</v>
      </c>
      <c r="F350" s="47">
        <f>_xlfn.COUNTIFS('Connections'!$B$6:$B$589,A350)+_xlfn.COUNTIFS('Connections'!$C$6:$C$589,A350)</f>
        <v>2</v>
      </c>
      <c r="G350" s="47">
        <f>_xlfn.COUNTIFS('Connections'!$B$6:$B$589,A350,'Connections'!$D$6:$D$589,"TRUE")+_xlfn.COUNTIFS('Connections'!$C$6:$C$589,A350,'Connections'!$D$6:$D$589,"TRUE")</f>
        <v>2</v>
      </c>
      <c r="H350" t="s" s="48">
        <v>69</v>
      </c>
      <c r="I350" t="s" s="48">
        <v>70</v>
      </c>
      <c r="J350" s="49"/>
      <c r="K350" s="50"/>
      <c r="L350" s="51"/>
      <c r="M350" t="s" s="45">
        <v>217</v>
      </c>
      <c r="N350" s="52">
        <v>273</v>
      </c>
      <c r="O350" s="44"/>
    </row>
    <row r="351" ht="23.1" customHeight="1">
      <c r="A351" t="s" s="24">
        <v>489</v>
      </c>
      <c r="B351" t="s" s="53">
        <v>489</v>
      </c>
      <c r="C351" t="s" s="53">
        <v>215</v>
      </c>
      <c r="D351" s="54">
        <v>42.7306443840828</v>
      </c>
      <c r="E351" s="54">
        <v>-73.67208319889809</v>
      </c>
      <c r="F351" s="55">
        <f>_xlfn.COUNTIFS('Connections'!$B$6:$B$589,A351)+_xlfn.COUNTIFS('Connections'!$C$6:$C$589,A351)</f>
        <v>3</v>
      </c>
      <c r="G351" s="55">
        <f>_xlfn.COUNTIFS('Connections'!$B$6:$B$589,A351,'Connections'!$D$6:$D$589,"TRUE")+_xlfn.COUNTIFS('Connections'!$C$6:$C$589,A351,'Connections'!$D$6:$D$589,"TRUE")</f>
        <v>3</v>
      </c>
      <c r="H351" t="s" s="48">
        <v>69</v>
      </c>
      <c r="I351" t="s" s="48">
        <v>70</v>
      </c>
      <c r="J351" s="49"/>
      <c r="K351" s="50"/>
      <c r="L351" s="56"/>
      <c r="M351" t="s" s="53">
        <v>217</v>
      </c>
      <c r="N351" s="57">
        <v>274</v>
      </c>
      <c r="O351" s="44"/>
    </row>
    <row r="352" ht="23.1" customHeight="1">
      <c r="A352" t="s" s="21">
        <v>490</v>
      </c>
      <c r="B352" t="s" s="45">
        <v>490</v>
      </c>
      <c r="C352" t="s" s="45">
        <v>215</v>
      </c>
      <c r="D352" s="46">
        <v>42.7306443840828</v>
      </c>
      <c r="E352" s="46">
        <v>-73.671446544204</v>
      </c>
      <c r="F352" s="47">
        <f>_xlfn.COUNTIFS('Connections'!$B$6:$B$589,A352)+_xlfn.COUNTIFS('Connections'!$C$6:$C$589,A352)</f>
        <v>3</v>
      </c>
      <c r="G352" s="47">
        <f>_xlfn.COUNTIFS('Connections'!$B$6:$B$589,A352,'Connections'!$D$6:$D$589,"TRUE")+_xlfn.COUNTIFS('Connections'!$C$6:$C$589,A352,'Connections'!$D$6:$D$589,"TRUE")</f>
        <v>3</v>
      </c>
      <c r="H352" t="s" s="48">
        <v>69</v>
      </c>
      <c r="I352" t="s" s="48">
        <v>70</v>
      </c>
      <c r="J352" s="49"/>
      <c r="K352" s="50"/>
      <c r="L352" s="51"/>
      <c r="M352" t="s" s="45">
        <v>217</v>
      </c>
      <c r="N352" s="52">
        <v>275</v>
      </c>
      <c r="O352" s="44"/>
    </row>
    <row r="353" ht="23.1" customHeight="1">
      <c r="A353" t="s" s="24">
        <v>491</v>
      </c>
      <c r="B353" t="s" s="53">
        <v>491</v>
      </c>
      <c r="C353" t="s" s="53">
        <v>215</v>
      </c>
      <c r="D353" s="54">
        <v>42.7306754209371</v>
      </c>
      <c r="E353" s="54">
        <v>-73.6707382658569</v>
      </c>
      <c r="F353" s="55">
        <f>_xlfn.COUNTIFS('Connections'!$B$6:$B$589,A353)+_xlfn.COUNTIFS('Connections'!$C$6:$C$589,A353)</f>
        <v>2</v>
      </c>
      <c r="G353" s="55">
        <f>_xlfn.COUNTIFS('Connections'!$B$6:$B$589,A353,'Connections'!$D$6:$D$589,"TRUE")+_xlfn.COUNTIFS('Connections'!$C$6:$C$589,A353,'Connections'!$D$6:$D$589,"TRUE")</f>
        <v>2</v>
      </c>
      <c r="H353" t="s" s="48">
        <v>69</v>
      </c>
      <c r="I353" t="s" s="48">
        <v>70</v>
      </c>
      <c r="J353" s="49"/>
      <c r="K353" s="50"/>
      <c r="L353" s="56"/>
      <c r="M353" t="s" s="53">
        <v>217</v>
      </c>
      <c r="N353" s="57">
        <v>276</v>
      </c>
      <c r="O353" s="44"/>
    </row>
    <row r="354" ht="23.1" customHeight="1">
      <c r="A354" t="s" s="21">
        <v>492</v>
      </c>
      <c r="B354" t="s" s="45">
        <v>492</v>
      </c>
      <c r="C354" t="s" s="45">
        <v>215</v>
      </c>
      <c r="D354" s="46">
        <v>42.7308512964453</v>
      </c>
      <c r="E354" s="46">
        <v>-73.6705902436405</v>
      </c>
      <c r="F354" s="47">
        <f>_xlfn.COUNTIFS('Connections'!$B$6:$B$589,A354)+_xlfn.COUNTIFS('Connections'!$C$6:$C$589,A354)</f>
        <v>3</v>
      </c>
      <c r="G354" s="47">
        <f>_xlfn.COUNTIFS('Connections'!$B$6:$B$589,A354,'Connections'!$D$6:$D$589,"TRUE")+_xlfn.COUNTIFS('Connections'!$C$6:$C$589,A354,'Connections'!$D$6:$D$589,"TRUE")</f>
        <v>3</v>
      </c>
      <c r="H354" t="s" s="48">
        <v>69</v>
      </c>
      <c r="I354" t="s" s="48">
        <v>70</v>
      </c>
      <c r="J354" s="49"/>
      <c r="K354" s="50"/>
      <c r="L354" s="51"/>
      <c r="M354" t="s" s="45">
        <v>217</v>
      </c>
      <c r="N354" s="52">
        <v>277</v>
      </c>
      <c r="O354" s="44"/>
    </row>
    <row r="355" ht="23.1" customHeight="1">
      <c r="A355" t="s" s="24">
        <v>493</v>
      </c>
      <c r="B355" t="s" s="53">
        <v>493</v>
      </c>
      <c r="C355" t="s" s="53">
        <v>215</v>
      </c>
      <c r="D355" s="54">
        <v>42.7310007331516</v>
      </c>
      <c r="E355" s="54">
        <v>-73.6706029767344</v>
      </c>
      <c r="F355" s="55">
        <f>_xlfn.COUNTIFS('Connections'!$B$6:$B$589,A355)+_xlfn.COUNTIFS('Connections'!$C$6:$C$589,A355)</f>
        <v>3</v>
      </c>
      <c r="G355" s="55">
        <f>_xlfn.COUNTIFS('Connections'!$B$6:$B$589,A355,'Connections'!$D$6:$D$589,"TRUE")+_xlfn.COUNTIFS('Connections'!$C$6:$C$589,A355,'Connections'!$D$6:$D$589,"TRUE")</f>
        <v>3</v>
      </c>
      <c r="H355" t="s" s="48">
        <v>69</v>
      </c>
      <c r="I355" t="s" s="48">
        <v>70</v>
      </c>
      <c r="J355" s="49"/>
      <c r="K355" s="50"/>
      <c r="L355" s="56"/>
      <c r="M355" t="s" s="53">
        <v>217</v>
      </c>
      <c r="N355" s="57">
        <v>278</v>
      </c>
      <c r="O355" s="44"/>
    </row>
    <row r="356" ht="23.1" customHeight="1">
      <c r="A356" t="s" s="21">
        <v>494</v>
      </c>
      <c r="B356" t="s" s="45">
        <v>494</v>
      </c>
      <c r="C356" t="s" s="45">
        <v>215</v>
      </c>
      <c r="D356" s="46">
        <v>42.7314030627455</v>
      </c>
      <c r="E356" s="46">
        <v>-73.6704501796078</v>
      </c>
      <c r="F356" s="47">
        <f>_xlfn.COUNTIFS('Connections'!$B$6:$B$589,A356)+_xlfn.COUNTIFS('Connections'!$C$6:$C$589,A356)</f>
        <v>2</v>
      </c>
      <c r="G356" s="47">
        <f>_xlfn.COUNTIFS('Connections'!$B$6:$B$589,A356,'Connections'!$D$6:$D$589,"TRUE")+_xlfn.COUNTIFS('Connections'!$C$6:$C$589,A356,'Connections'!$D$6:$D$589,"TRUE")</f>
        <v>2</v>
      </c>
      <c r="H356" t="s" s="48">
        <v>69</v>
      </c>
      <c r="I356" t="s" s="48">
        <v>70</v>
      </c>
      <c r="J356" s="49"/>
      <c r="K356" s="50"/>
      <c r="L356" s="51"/>
      <c r="M356" t="s" s="45">
        <v>217</v>
      </c>
      <c r="N356" s="52">
        <v>279</v>
      </c>
      <c r="O356" s="44"/>
    </row>
    <row r="357" ht="23.1" customHeight="1">
      <c r="A357" t="s" s="24">
        <v>495</v>
      </c>
      <c r="B357" t="s" s="53">
        <v>495</v>
      </c>
      <c r="C357" t="s" s="53">
        <v>215</v>
      </c>
      <c r="D357" s="54">
        <v>42.7314697345067</v>
      </c>
      <c r="E357" s="54">
        <v>-73.6708210309671</v>
      </c>
      <c r="F357" s="55">
        <f>_xlfn.COUNTIFS('Connections'!$B$6:$B$589,A357)+_xlfn.COUNTIFS('Connections'!$C$6:$C$589,A357)</f>
        <v>2</v>
      </c>
      <c r="G357" s="55">
        <f>_xlfn.COUNTIFS('Connections'!$B$6:$B$589,A357,'Connections'!$D$6:$D$589,"TRUE")+_xlfn.COUNTIFS('Connections'!$C$6:$C$589,A357,'Connections'!$D$6:$D$589,"TRUE")</f>
        <v>2</v>
      </c>
      <c r="H357" t="s" s="48">
        <v>69</v>
      </c>
      <c r="I357" t="s" s="48">
        <v>70</v>
      </c>
      <c r="J357" s="49"/>
      <c r="K357" s="50"/>
      <c r="L357" s="56"/>
      <c r="M357" t="s" s="53">
        <v>217</v>
      </c>
      <c r="N357" s="57">
        <v>280</v>
      </c>
      <c r="O357" s="44"/>
    </row>
    <row r="358" ht="23.1" customHeight="1">
      <c r="A358" t="s" s="21">
        <v>496</v>
      </c>
      <c r="B358" t="s" s="45">
        <v>496</v>
      </c>
      <c r="C358" t="s" s="45">
        <v>215</v>
      </c>
      <c r="D358" s="46">
        <v>42.731563994583</v>
      </c>
      <c r="E358" s="46">
        <v>-73.6708894713467</v>
      </c>
      <c r="F358" s="47">
        <f>_xlfn.COUNTIFS('Connections'!$B$6:$B$589,A358)+_xlfn.COUNTIFS('Connections'!$C$6:$C$589,A358)</f>
        <v>3</v>
      </c>
      <c r="G358" s="47">
        <f>_xlfn.COUNTIFS('Connections'!$B$6:$B$589,A358,'Connections'!$D$6:$D$589,"TRUE")+_xlfn.COUNTIFS('Connections'!$C$6:$C$589,A358,'Connections'!$D$6:$D$589,"TRUE")</f>
        <v>3</v>
      </c>
      <c r="H358" t="s" s="48">
        <v>69</v>
      </c>
      <c r="I358" t="s" s="48">
        <v>70</v>
      </c>
      <c r="J358" s="49"/>
      <c r="K358" s="50"/>
      <c r="L358" s="51"/>
      <c r="M358" t="s" s="45">
        <v>217</v>
      </c>
      <c r="N358" s="52">
        <v>281</v>
      </c>
      <c r="O358" s="44"/>
    </row>
    <row r="359" ht="23.1" customHeight="1">
      <c r="A359" t="s" s="24">
        <v>497</v>
      </c>
      <c r="B359" t="s" s="53">
        <v>497</v>
      </c>
      <c r="C359" t="s" s="53">
        <v>215</v>
      </c>
      <c r="D359" s="54">
        <v>42.7316053770555</v>
      </c>
      <c r="E359" s="54">
        <v>-73.6704597294282</v>
      </c>
      <c r="F359" s="55">
        <f>_xlfn.COUNTIFS('Connections'!$B$6:$B$589,A359)+_xlfn.COUNTIFS('Connections'!$C$6:$C$589,A359)</f>
        <v>3</v>
      </c>
      <c r="G359" s="55">
        <f>_xlfn.COUNTIFS('Connections'!$B$6:$B$589,A359,'Connections'!$D$6:$D$589,"TRUE")+_xlfn.COUNTIFS('Connections'!$C$6:$C$589,A359,'Connections'!$D$6:$D$589,"TRUE")</f>
        <v>3</v>
      </c>
      <c r="H359" t="s" s="48">
        <v>69</v>
      </c>
      <c r="I359" t="s" s="48">
        <v>70</v>
      </c>
      <c r="J359" s="49"/>
      <c r="K359" s="50"/>
      <c r="L359" s="56"/>
      <c r="M359" t="s" s="53">
        <v>217</v>
      </c>
      <c r="N359" s="57">
        <v>282</v>
      </c>
      <c r="O359" s="44"/>
    </row>
    <row r="360" ht="23.1" customHeight="1">
      <c r="A360" t="s" s="21">
        <v>498</v>
      </c>
      <c r="B360" t="s" s="45">
        <v>498</v>
      </c>
      <c r="C360" t="s" s="45">
        <v>215</v>
      </c>
      <c r="D360" s="46">
        <v>42.7318605689693</v>
      </c>
      <c r="E360" s="46">
        <v>-73.6703053406649</v>
      </c>
      <c r="F360" s="47">
        <f>_xlfn.COUNTIFS('Connections'!$B$6:$B$589,A360)+_xlfn.COUNTIFS('Connections'!$C$6:$C$589,A360)</f>
        <v>4</v>
      </c>
      <c r="G360" s="47">
        <f>_xlfn.COUNTIFS('Connections'!$B$6:$B$589,A360,'Connections'!$D$6:$D$589,"TRUE")+_xlfn.COUNTIFS('Connections'!$C$6:$C$589,A360,'Connections'!$D$6:$D$589,"TRUE")</f>
        <v>4</v>
      </c>
      <c r="H360" t="s" s="48">
        <v>69</v>
      </c>
      <c r="I360" t="s" s="48">
        <v>70</v>
      </c>
      <c r="J360" s="49"/>
      <c r="K360" s="50"/>
      <c r="L360" s="51"/>
      <c r="M360" t="s" s="45">
        <v>217</v>
      </c>
      <c r="N360" s="52">
        <v>283</v>
      </c>
      <c r="O360" s="44"/>
    </row>
    <row r="361" ht="23.1" customHeight="1">
      <c r="A361" t="s" s="24">
        <v>499</v>
      </c>
      <c r="B361" t="s" s="53">
        <v>499</v>
      </c>
      <c r="C361" t="s" s="53">
        <v>215</v>
      </c>
      <c r="D361" s="54">
        <v>42.7320697803581</v>
      </c>
      <c r="E361" s="54">
        <v>-73.6706093432813</v>
      </c>
      <c r="F361" s="55">
        <f>_xlfn.COUNTIFS('Connections'!$B$6:$B$589,A361)+_xlfn.COUNTIFS('Connections'!$C$6:$C$589,A361)</f>
        <v>2</v>
      </c>
      <c r="G361" s="55">
        <f>_xlfn.COUNTIFS('Connections'!$B$6:$B$589,A361,'Connections'!$D$6:$D$589,"TRUE")+_xlfn.COUNTIFS('Connections'!$C$6:$C$589,A361,'Connections'!$D$6:$D$589,"TRUE")</f>
        <v>2</v>
      </c>
      <c r="H361" t="s" s="48">
        <v>69</v>
      </c>
      <c r="I361" t="s" s="48">
        <v>70</v>
      </c>
      <c r="J361" s="49"/>
      <c r="K361" s="50"/>
      <c r="L361" s="56"/>
      <c r="M361" t="s" s="53">
        <v>217</v>
      </c>
      <c r="N361" s="57">
        <v>284</v>
      </c>
      <c r="O361" s="44"/>
    </row>
    <row r="362" ht="23.1" customHeight="1">
      <c r="A362" t="s" s="21">
        <v>500</v>
      </c>
      <c r="B362" t="s" s="45">
        <v>500</v>
      </c>
      <c r="C362" t="s" s="45">
        <v>215</v>
      </c>
      <c r="D362" s="46">
        <v>42.7322870383388</v>
      </c>
      <c r="E362" s="46">
        <v>-73.67068574184459</v>
      </c>
      <c r="F362" s="47">
        <f>_xlfn.COUNTIFS('Connections'!$B$6:$B$589,A362)+_xlfn.COUNTIFS('Connections'!$C$6:$C$589,A362)</f>
        <v>3</v>
      </c>
      <c r="G362" s="47">
        <f>_xlfn.COUNTIFS('Connections'!$B$6:$B$589,A362,'Connections'!$D$6:$D$589,"TRUE")+_xlfn.COUNTIFS('Connections'!$C$6:$C$589,A362,'Connections'!$D$6:$D$589,"TRUE")</f>
        <v>3</v>
      </c>
      <c r="H362" t="s" s="48">
        <v>69</v>
      </c>
      <c r="I362" t="s" s="48">
        <v>70</v>
      </c>
      <c r="J362" s="49"/>
      <c r="K362" s="50"/>
      <c r="L362" s="51"/>
      <c r="M362" t="s" s="45">
        <v>217</v>
      </c>
      <c r="N362" s="52">
        <v>285</v>
      </c>
      <c r="O362" s="44"/>
    </row>
    <row r="363" ht="23.1" customHeight="1">
      <c r="A363" t="s" s="24">
        <v>501</v>
      </c>
      <c r="B363" t="s" s="53">
        <v>501</v>
      </c>
      <c r="C363" t="s" s="53">
        <v>215</v>
      </c>
      <c r="D363" s="54">
        <v>42.7321088638044</v>
      </c>
      <c r="E363" s="54">
        <v>-73.6712650976162</v>
      </c>
      <c r="F363" s="55">
        <f>_xlfn.COUNTIFS('Connections'!$B$6:$B$589,A363)+_xlfn.COUNTIFS('Connections'!$C$6:$C$589,A363)</f>
        <v>2</v>
      </c>
      <c r="G363" s="55">
        <f>_xlfn.COUNTIFS('Connections'!$B$6:$B$589,A363,'Connections'!$D$6:$D$589,"TRUE")+_xlfn.COUNTIFS('Connections'!$C$6:$C$589,A363,'Connections'!$D$6:$D$589,"TRUE")</f>
        <v>2</v>
      </c>
      <c r="H363" t="s" s="48">
        <v>69</v>
      </c>
      <c r="I363" t="s" s="48">
        <v>70</v>
      </c>
      <c r="J363" s="49"/>
      <c r="K363" s="50"/>
      <c r="L363" s="56"/>
      <c r="M363" t="s" s="53">
        <v>217</v>
      </c>
      <c r="N363" s="57">
        <v>286</v>
      </c>
      <c r="O363" s="44"/>
    </row>
    <row r="364" ht="23.1" customHeight="1">
      <c r="A364" t="s" s="21">
        <v>502</v>
      </c>
      <c r="B364" t="s" s="45">
        <v>502</v>
      </c>
      <c r="C364" t="s" s="45">
        <v>215</v>
      </c>
      <c r="D364" s="46">
        <v>42.7323376169163</v>
      </c>
      <c r="E364" s="46">
        <v>-73.6712014321468</v>
      </c>
      <c r="F364" s="47">
        <f>_xlfn.COUNTIFS('Connections'!$B$6:$B$589,A364)+_xlfn.COUNTIFS('Connections'!$C$6:$C$589,A364)</f>
        <v>3</v>
      </c>
      <c r="G364" s="47">
        <f>_xlfn.COUNTIFS('Connections'!$B$6:$B$589,A364,'Connections'!$D$6:$D$589,"TRUE")+_xlfn.COUNTIFS('Connections'!$C$6:$C$589,A364,'Connections'!$D$6:$D$589,"TRUE")</f>
        <v>3</v>
      </c>
      <c r="H364" t="s" s="48">
        <v>69</v>
      </c>
      <c r="I364" t="s" s="48">
        <v>70</v>
      </c>
      <c r="J364" s="49"/>
      <c r="K364" s="50"/>
      <c r="L364" s="51"/>
      <c r="M364" t="s" s="45">
        <v>217</v>
      </c>
      <c r="N364" s="52">
        <v>287</v>
      </c>
      <c r="O364" s="44"/>
    </row>
    <row r="365" ht="23.1" customHeight="1">
      <c r="A365" t="s" s="24">
        <v>503</v>
      </c>
      <c r="B365" t="s" s="53">
        <v>503</v>
      </c>
      <c r="C365" t="s" s="53">
        <v>215</v>
      </c>
      <c r="D365" s="54">
        <v>42.7321456482244</v>
      </c>
      <c r="E365" s="54">
        <v>-73.67166459843681</v>
      </c>
      <c r="F365" s="55">
        <f>_xlfn.COUNTIFS('Connections'!$B$6:$B$589,A365)+_xlfn.COUNTIFS('Connections'!$C$6:$C$589,A365)</f>
        <v>3</v>
      </c>
      <c r="G365" s="55">
        <f>_xlfn.COUNTIFS('Connections'!$B$6:$B$589,A365,'Connections'!$D$6:$D$589,"TRUE")+_xlfn.COUNTIFS('Connections'!$C$6:$C$589,A365,'Connections'!$D$6:$D$589,"TRUE")</f>
        <v>3</v>
      </c>
      <c r="H365" t="s" s="48">
        <v>69</v>
      </c>
      <c r="I365" t="s" s="48">
        <v>70</v>
      </c>
      <c r="J365" s="49"/>
      <c r="K365" s="50"/>
      <c r="L365" s="56"/>
      <c r="M365" t="s" s="53">
        <v>217</v>
      </c>
      <c r="N365" s="57">
        <v>288</v>
      </c>
      <c r="O365" s="44"/>
    </row>
    <row r="366" ht="23.1" customHeight="1">
      <c r="A366" t="s" s="21">
        <v>504</v>
      </c>
      <c r="B366" t="s" s="45">
        <v>504</v>
      </c>
      <c r="C366" t="s" s="45">
        <v>215</v>
      </c>
      <c r="D366" s="46">
        <v>42.7314605384017</v>
      </c>
      <c r="E366" s="46">
        <v>-73.67110275066921</v>
      </c>
      <c r="F366" s="47">
        <f>_xlfn.COUNTIFS('Connections'!$B$6:$B$589,A366)+_xlfn.COUNTIFS('Connections'!$C$6:$C$589,A366)</f>
        <v>3</v>
      </c>
      <c r="G366" s="47">
        <f>_xlfn.COUNTIFS('Connections'!$B$6:$B$589,A366,'Connections'!$D$6:$D$589,"TRUE")+_xlfn.COUNTIFS('Connections'!$C$6:$C$589,A366,'Connections'!$D$6:$D$589,"TRUE")</f>
        <v>3</v>
      </c>
      <c r="H366" t="s" s="48">
        <v>69</v>
      </c>
      <c r="I366" t="s" s="48">
        <v>70</v>
      </c>
      <c r="J366" s="49"/>
      <c r="K366" s="50"/>
      <c r="L366" s="51"/>
      <c r="M366" t="s" s="45">
        <v>217</v>
      </c>
      <c r="N366" s="52">
        <v>289</v>
      </c>
      <c r="O366" s="44"/>
    </row>
    <row r="367" ht="23.1" customHeight="1">
      <c r="A367" t="s" s="24">
        <v>505</v>
      </c>
      <c r="B367" t="s" s="53">
        <v>505</v>
      </c>
      <c r="C367" t="s" s="53">
        <v>215</v>
      </c>
      <c r="D367" s="54">
        <v>42.7315444528599</v>
      </c>
      <c r="E367" s="54">
        <v>-73.67183808684091</v>
      </c>
      <c r="F367" s="55">
        <f>_xlfn.COUNTIFS('Connections'!$B$6:$B$589,A367)+_xlfn.COUNTIFS('Connections'!$C$6:$C$589,A367)</f>
        <v>3</v>
      </c>
      <c r="G367" s="55">
        <f>_xlfn.COUNTIFS('Connections'!$B$6:$B$589,A367,'Connections'!$D$6:$D$589,"TRUE")+_xlfn.COUNTIFS('Connections'!$C$6:$C$589,A367,'Connections'!$D$6:$D$589,"TRUE")</f>
        <v>3</v>
      </c>
      <c r="H367" t="s" s="48">
        <v>69</v>
      </c>
      <c r="I367" t="s" s="48">
        <v>70</v>
      </c>
      <c r="J367" s="49"/>
      <c r="K367" s="50"/>
      <c r="L367" s="56"/>
      <c r="M367" t="s" s="53">
        <v>217</v>
      </c>
      <c r="N367" s="57">
        <v>290</v>
      </c>
      <c r="O367" s="44"/>
    </row>
    <row r="368" ht="23.1" customHeight="1">
      <c r="A368" t="s" s="21">
        <v>506</v>
      </c>
      <c r="B368" t="s" s="45">
        <v>506</v>
      </c>
      <c r="C368" t="s" s="45">
        <v>215</v>
      </c>
      <c r="D368" s="46">
        <v>42.7325410807395</v>
      </c>
      <c r="E368" s="46">
        <v>-73.670178009726</v>
      </c>
      <c r="F368" s="47">
        <f>_xlfn.COUNTIFS('Connections'!$B$6:$B$589,A368)+_xlfn.COUNTIFS('Connections'!$C$6:$C$589,A368)</f>
        <v>3</v>
      </c>
      <c r="G368" s="47">
        <f>_xlfn.COUNTIFS('Connections'!$B$6:$B$589,A368,'Connections'!$D$6:$D$589,"TRUE")+_xlfn.COUNTIFS('Connections'!$C$6:$C$589,A368,'Connections'!$D$6:$D$589,"TRUE")</f>
        <v>3</v>
      </c>
      <c r="H368" t="s" s="48">
        <v>69</v>
      </c>
      <c r="I368" t="s" s="48">
        <v>70</v>
      </c>
      <c r="J368" s="49"/>
      <c r="K368" s="50"/>
      <c r="L368" s="51"/>
      <c r="M368" t="s" s="45">
        <v>217</v>
      </c>
      <c r="N368" s="52">
        <v>291</v>
      </c>
      <c r="O368" s="44"/>
    </row>
    <row r="369" ht="23.1" customHeight="1">
      <c r="A369" t="s" s="24">
        <v>507</v>
      </c>
      <c r="B369" t="s" s="53">
        <v>507</v>
      </c>
      <c r="C369" t="s" s="53">
        <v>215</v>
      </c>
      <c r="D369" s="54">
        <v>42.7324767080045</v>
      </c>
      <c r="E369" s="54">
        <v>-73.6696066121381</v>
      </c>
      <c r="F369" s="55">
        <f>_xlfn.COUNTIFS('Connections'!$B$6:$B$589,A369)+_xlfn.COUNTIFS('Connections'!$C$6:$C$589,A369)</f>
        <v>3</v>
      </c>
      <c r="G369" s="55">
        <f>_xlfn.COUNTIFS('Connections'!$B$6:$B$589,A369,'Connections'!$D$6:$D$589,"TRUE")+_xlfn.COUNTIFS('Connections'!$C$6:$C$589,A369,'Connections'!$D$6:$D$589,"TRUE")</f>
        <v>3</v>
      </c>
      <c r="H369" t="s" s="48">
        <v>69</v>
      </c>
      <c r="I369" t="s" s="48">
        <v>70</v>
      </c>
      <c r="J369" s="49"/>
      <c r="K369" s="50"/>
      <c r="L369" s="56"/>
      <c r="M369" t="s" s="53">
        <v>217</v>
      </c>
      <c r="N369" s="57">
        <v>292</v>
      </c>
      <c r="O369" s="44"/>
    </row>
    <row r="370" ht="23.1" customHeight="1">
      <c r="A370" t="s" s="21">
        <v>508</v>
      </c>
      <c r="B370" t="s" s="45">
        <v>508</v>
      </c>
      <c r="C370" t="s" s="45">
        <v>215</v>
      </c>
      <c r="D370" s="46">
        <v>42.732315776167</v>
      </c>
      <c r="E370" s="46">
        <v>-73.6686293471826</v>
      </c>
      <c r="F370" s="47">
        <f>_xlfn.COUNTIFS('Connections'!$B$6:$B$589,A370)+_xlfn.COUNTIFS('Connections'!$C$6:$C$589,A370)</f>
        <v>3</v>
      </c>
      <c r="G370" s="47">
        <f>_xlfn.COUNTIFS('Connections'!$B$6:$B$589,A370,'Connections'!$D$6:$D$589,"TRUE")+_xlfn.COUNTIFS('Connections'!$C$6:$C$589,A370,'Connections'!$D$6:$D$589,"TRUE")</f>
        <v>3</v>
      </c>
      <c r="H370" t="s" s="48">
        <v>69</v>
      </c>
      <c r="I370" t="s" s="48">
        <v>70</v>
      </c>
      <c r="J370" s="49"/>
      <c r="K370" s="50"/>
      <c r="L370" s="51"/>
      <c r="M370" t="s" s="45">
        <v>217</v>
      </c>
      <c r="N370" s="52">
        <v>293</v>
      </c>
      <c r="O370" s="44"/>
    </row>
    <row r="371" ht="23.1" customHeight="1">
      <c r="A371" t="s" s="24">
        <v>509</v>
      </c>
      <c r="B371" t="s" s="53">
        <v>509</v>
      </c>
      <c r="C371" t="s" s="53">
        <v>215</v>
      </c>
      <c r="D371" s="54">
        <v>42.7317168798287</v>
      </c>
      <c r="E371" s="54">
        <v>-73.66882034359089</v>
      </c>
      <c r="F371" s="55">
        <f>_xlfn.COUNTIFS('Connections'!$B$6:$B$589,A371)+_xlfn.COUNTIFS('Connections'!$C$6:$C$589,A371)</f>
        <v>3</v>
      </c>
      <c r="G371" s="55">
        <f>_xlfn.COUNTIFS('Connections'!$B$6:$B$589,A371,'Connections'!$D$6:$D$589,"TRUE")+_xlfn.COUNTIFS('Connections'!$C$6:$C$589,A371,'Connections'!$D$6:$D$589,"TRUE")</f>
        <v>3</v>
      </c>
      <c r="H371" t="s" s="48">
        <v>69</v>
      </c>
      <c r="I371" t="s" s="48">
        <v>70</v>
      </c>
      <c r="J371" s="49"/>
      <c r="K371" s="50"/>
      <c r="L371" s="56"/>
      <c r="M371" t="s" s="53">
        <v>217</v>
      </c>
      <c r="N371" s="57">
        <v>294</v>
      </c>
      <c r="O371" s="44"/>
    </row>
    <row r="372" ht="23.1" customHeight="1">
      <c r="A372" t="s" s="21">
        <v>510</v>
      </c>
      <c r="B372" t="s" s="45">
        <v>510</v>
      </c>
      <c r="C372" t="s" s="45">
        <v>215</v>
      </c>
      <c r="D372" s="46">
        <v>42.7317732059718</v>
      </c>
      <c r="E372" s="46">
        <v>-73.66976418417489</v>
      </c>
      <c r="F372" s="47">
        <f>_xlfn.COUNTIFS('Connections'!$B$6:$B$589,A372)+_xlfn.COUNTIFS('Connections'!$C$6:$C$589,A372)</f>
        <v>3</v>
      </c>
      <c r="G372" s="47">
        <f>_xlfn.COUNTIFS('Connections'!$B$6:$B$589,A372,'Connections'!$D$6:$D$589,"TRUE")+_xlfn.COUNTIFS('Connections'!$C$6:$C$589,A372,'Connections'!$D$6:$D$589,"TRUE")</f>
        <v>3</v>
      </c>
      <c r="H372" t="s" s="48">
        <v>69</v>
      </c>
      <c r="I372" t="s" s="48">
        <v>70</v>
      </c>
      <c r="J372" s="49"/>
      <c r="K372" s="50"/>
      <c r="L372" s="51"/>
      <c r="M372" t="s" s="45">
        <v>217</v>
      </c>
      <c r="N372" s="52">
        <v>295</v>
      </c>
      <c r="O372" s="44"/>
    </row>
    <row r="373" ht="23.1" customHeight="1">
      <c r="A373" t="s" s="24">
        <v>511</v>
      </c>
      <c r="B373" t="s" s="53">
        <v>511</v>
      </c>
      <c r="C373" t="s" s="53">
        <v>215</v>
      </c>
      <c r="D373" s="54">
        <v>42.731361680273</v>
      </c>
      <c r="E373" s="54">
        <v>-73.6690590891012</v>
      </c>
      <c r="F373" s="55">
        <f>_xlfn.COUNTIFS('Connections'!$B$6:$B$589,A373)+_xlfn.COUNTIFS('Connections'!$C$6:$C$589,A373)</f>
        <v>2</v>
      </c>
      <c r="G373" s="55">
        <f>_xlfn.COUNTIFS('Connections'!$B$6:$B$589,A373,'Connections'!$D$6:$D$589,"TRUE")+_xlfn.COUNTIFS('Connections'!$C$6:$C$589,A373,'Connections'!$D$6:$D$589,"TRUE")</f>
        <v>2</v>
      </c>
      <c r="H373" t="s" s="48">
        <v>69</v>
      </c>
      <c r="I373" t="s" s="48">
        <v>70</v>
      </c>
      <c r="J373" s="49"/>
      <c r="K373" s="50"/>
      <c r="L373" s="56"/>
      <c r="M373" t="s" s="53">
        <v>217</v>
      </c>
      <c r="N373" s="57">
        <v>296</v>
      </c>
      <c r="O373" s="44"/>
    </row>
    <row r="374" ht="23.1" customHeight="1">
      <c r="A374" t="s" s="21">
        <v>512</v>
      </c>
      <c r="B374" t="s" s="45">
        <v>512</v>
      </c>
      <c r="C374" t="s" s="45">
        <v>215</v>
      </c>
      <c r="D374" s="46">
        <v>42.731490425743</v>
      </c>
      <c r="E374" s="46">
        <v>-73.6686707297378</v>
      </c>
      <c r="F374" s="47">
        <f>_xlfn.COUNTIFS('Connections'!$B$6:$B$589,A374)+_xlfn.COUNTIFS('Connections'!$C$6:$C$589,A374)</f>
        <v>4</v>
      </c>
      <c r="G374" s="47">
        <f>_xlfn.COUNTIFS('Connections'!$B$6:$B$589,A374,'Connections'!$D$6:$D$589,"TRUE")+_xlfn.COUNTIFS('Connections'!$C$6:$C$589,A374,'Connections'!$D$6:$D$589,"TRUE")</f>
        <v>4</v>
      </c>
      <c r="H374" t="s" s="48">
        <v>69</v>
      </c>
      <c r="I374" t="s" s="48">
        <v>70</v>
      </c>
      <c r="J374" s="49"/>
      <c r="K374" s="50"/>
      <c r="L374" s="51"/>
      <c r="M374" t="s" s="45">
        <v>217</v>
      </c>
      <c r="N374" s="52">
        <v>297</v>
      </c>
      <c r="O374" s="44"/>
    </row>
    <row r="375" ht="23.1" customHeight="1">
      <c r="A375" t="s" s="24">
        <v>513</v>
      </c>
      <c r="B375" t="s" s="53">
        <v>513</v>
      </c>
      <c r="C375" t="s" s="53">
        <v>215</v>
      </c>
      <c r="D375" s="54">
        <v>42.7315846858193</v>
      </c>
      <c r="E375" s="54">
        <v>-73.6688967421542</v>
      </c>
      <c r="F375" s="55">
        <f>_xlfn.COUNTIFS('Connections'!$B$6:$B$589,A375)+_xlfn.COUNTIFS('Connections'!$C$6:$C$589,A375)</f>
        <v>3</v>
      </c>
      <c r="G375" s="55">
        <f>_xlfn.COUNTIFS('Connections'!$B$6:$B$589,A375,'Connections'!$D$6:$D$589,"TRUE")+_xlfn.COUNTIFS('Connections'!$C$6:$C$589,A375,'Connections'!$D$6:$D$589,"TRUE")</f>
        <v>3</v>
      </c>
      <c r="H375" t="s" s="48">
        <v>69</v>
      </c>
      <c r="I375" t="s" s="48">
        <v>70</v>
      </c>
      <c r="J375" s="49"/>
      <c r="K375" s="50"/>
      <c r="L375" s="56"/>
      <c r="M375" t="s" s="53">
        <v>217</v>
      </c>
      <c r="N375" s="57">
        <v>298</v>
      </c>
      <c r="O375" s="44"/>
    </row>
    <row r="376" ht="23.1" customHeight="1">
      <c r="A376" t="s" s="21">
        <v>514</v>
      </c>
      <c r="B376" t="s" s="45">
        <v>514</v>
      </c>
      <c r="C376" t="s" s="45">
        <v>215</v>
      </c>
      <c r="D376" s="46">
        <v>42.7311202825166</v>
      </c>
      <c r="E376" s="46">
        <v>-73.6690368061869</v>
      </c>
      <c r="F376" s="47">
        <f>_xlfn.COUNTIFS('Connections'!$B$6:$B$589,A376)+_xlfn.COUNTIFS('Connections'!$C$6:$C$589,A376)</f>
        <v>3</v>
      </c>
      <c r="G376" s="47">
        <f>_xlfn.COUNTIFS('Connections'!$B$6:$B$589,A376,'Connections'!$D$6:$D$589,"TRUE")+_xlfn.COUNTIFS('Connections'!$C$6:$C$589,A376,'Connections'!$D$6:$D$589,"TRUE")</f>
        <v>3</v>
      </c>
      <c r="H376" t="s" s="48">
        <v>69</v>
      </c>
      <c r="I376" t="s" s="48">
        <v>70</v>
      </c>
      <c r="J376" s="49"/>
      <c r="K376" s="50"/>
      <c r="L376" s="51"/>
      <c r="M376" t="s" s="45">
        <v>217</v>
      </c>
      <c r="N376" s="52">
        <v>299</v>
      </c>
      <c r="O376" s="44"/>
    </row>
    <row r="377" ht="23.1" customHeight="1">
      <c r="A377" t="s" s="24">
        <v>515</v>
      </c>
      <c r="B377" t="s" s="53">
        <v>515</v>
      </c>
      <c r="C377" t="s" s="53">
        <v>215</v>
      </c>
      <c r="D377" s="54">
        <v>42.7312421309079</v>
      </c>
      <c r="E377" s="54">
        <v>-73.6695365801217</v>
      </c>
      <c r="F377" s="55">
        <f>_xlfn.COUNTIFS('Connections'!$B$6:$B$589,A377)+_xlfn.COUNTIFS('Connections'!$C$6:$C$589,A377)</f>
        <v>3</v>
      </c>
      <c r="G377" s="55">
        <f>_xlfn.COUNTIFS('Connections'!$B$6:$B$589,A377,'Connections'!$D$6:$D$589,"TRUE")+_xlfn.COUNTIFS('Connections'!$C$6:$C$589,A377,'Connections'!$D$6:$D$589,"TRUE")</f>
        <v>3</v>
      </c>
      <c r="H377" t="s" s="48">
        <v>69</v>
      </c>
      <c r="I377" t="s" s="48">
        <v>70</v>
      </c>
      <c r="J377" s="49"/>
      <c r="K377" s="50"/>
      <c r="L377" s="56"/>
      <c r="M377" t="s" s="53">
        <v>217</v>
      </c>
      <c r="N377" s="57">
        <v>300</v>
      </c>
      <c r="O377" s="44"/>
    </row>
    <row r="378" ht="23.1" customHeight="1">
      <c r="A378" t="s" s="21">
        <v>516</v>
      </c>
      <c r="B378" t="s" s="45">
        <v>516</v>
      </c>
      <c r="C378" t="s" s="45">
        <v>215</v>
      </c>
      <c r="D378" s="46">
        <v>42.7312766163017</v>
      </c>
      <c r="E378" s="46">
        <v>-73.6701334438975</v>
      </c>
      <c r="F378" s="47">
        <f>_xlfn.COUNTIFS('Connections'!$B$6:$B$589,A378)+_xlfn.COUNTIFS('Connections'!$C$6:$C$589,A378)</f>
        <v>2</v>
      </c>
      <c r="G378" s="47">
        <f>_xlfn.COUNTIFS('Connections'!$B$6:$B$589,A378,'Connections'!$D$6:$D$589,"TRUE")+_xlfn.COUNTIFS('Connections'!$C$6:$C$589,A378,'Connections'!$D$6:$D$589,"TRUE")</f>
        <v>2</v>
      </c>
      <c r="H378" t="s" s="48">
        <v>69</v>
      </c>
      <c r="I378" t="s" s="48">
        <v>70</v>
      </c>
      <c r="J378" s="49"/>
      <c r="K378" s="50"/>
      <c r="L378" s="51"/>
      <c r="M378" t="s" s="45">
        <v>217</v>
      </c>
      <c r="N378" s="52">
        <v>301</v>
      </c>
      <c r="O378" s="44"/>
    </row>
    <row r="379" ht="23.1" customHeight="1">
      <c r="A379" t="s" s="24">
        <v>517</v>
      </c>
      <c r="B379" t="s" s="53">
        <v>517</v>
      </c>
      <c r="C379" t="s" s="53">
        <v>215</v>
      </c>
      <c r="D379" s="54">
        <v>42.7308489974191</v>
      </c>
      <c r="E379" s="54">
        <v>-73.670184376273</v>
      </c>
      <c r="F379" s="55">
        <f>_xlfn.COUNTIFS('Connections'!$B$6:$B$589,A379)+_xlfn.COUNTIFS('Connections'!$C$6:$C$589,A379)</f>
        <v>2</v>
      </c>
      <c r="G379" s="55">
        <f>_xlfn.COUNTIFS('Connections'!$B$6:$B$589,A379,'Connections'!$D$6:$D$589,"TRUE")+_xlfn.COUNTIFS('Connections'!$C$6:$C$589,A379,'Connections'!$D$6:$D$589,"TRUE")</f>
        <v>2</v>
      </c>
      <c r="H379" t="s" s="48">
        <v>69</v>
      </c>
      <c r="I379" t="s" s="48">
        <v>70</v>
      </c>
      <c r="J379" s="49"/>
      <c r="K379" s="50"/>
      <c r="L379" s="56"/>
      <c r="M379" t="s" s="53">
        <v>217</v>
      </c>
      <c r="N379" s="57">
        <v>302</v>
      </c>
      <c r="O379" s="44"/>
    </row>
    <row r="380" ht="23.1" customHeight="1">
      <c r="A380" t="s" s="21">
        <v>518</v>
      </c>
      <c r="B380" t="s" s="45">
        <v>518</v>
      </c>
      <c r="C380" t="s" s="45">
        <v>215</v>
      </c>
      <c r="D380" s="46">
        <v>42.7309087721016</v>
      </c>
      <c r="E380" s="46">
        <v>-73.669132304391</v>
      </c>
      <c r="F380" s="47">
        <f>_xlfn.COUNTIFS('Connections'!$B$6:$B$589,A380)+_xlfn.COUNTIFS('Connections'!$C$6:$C$589,A380)</f>
        <v>2</v>
      </c>
      <c r="G380" s="47">
        <f>_xlfn.COUNTIFS('Connections'!$B$6:$B$589,A380,'Connections'!$D$6:$D$589,"TRUE")+_xlfn.COUNTIFS('Connections'!$C$6:$C$589,A380,'Connections'!$D$6:$D$589,"TRUE")</f>
        <v>2</v>
      </c>
      <c r="H380" t="s" s="48">
        <v>69</v>
      </c>
      <c r="I380" t="s" s="48">
        <v>70</v>
      </c>
      <c r="J380" s="49"/>
      <c r="K380" s="50"/>
      <c r="L380" s="51"/>
      <c r="M380" t="s" s="45">
        <v>217</v>
      </c>
      <c r="N380" s="52">
        <v>303</v>
      </c>
      <c r="O380" s="44"/>
    </row>
    <row r="381" ht="23.1" customHeight="1">
      <c r="A381" t="s" s="24">
        <v>519</v>
      </c>
      <c r="B381" t="s" s="53">
        <v>519</v>
      </c>
      <c r="C381" t="s" s="53">
        <v>215</v>
      </c>
      <c r="D381" s="54">
        <v>42.7305294327702</v>
      </c>
      <c r="E381" s="54">
        <v>-73.66858159808061</v>
      </c>
      <c r="F381" s="55">
        <f>_xlfn.COUNTIFS('Connections'!$B$6:$B$589,A381)+_xlfn.COUNTIFS('Connections'!$C$6:$C$589,A381)</f>
        <v>2</v>
      </c>
      <c r="G381" s="55">
        <f>_xlfn.COUNTIFS('Connections'!$B$6:$B$589,A381,'Connections'!$D$6:$D$589,"TRUE")+_xlfn.COUNTIFS('Connections'!$C$6:$C$589,A381,'Connections'!$D$6:$D$589,"TRUE")</f>
        <v>2</v>
      </c>
      <c r="H381" t="s" s="48">
        <v>69</v>
      </c>
      <c r="I381" t="s" s="48">
        <v>70</v>
      </c>
      <c r="J381" s="49"/>
      <c r="K381" s="50"/>
      <c r="L381" s="56"/>
      <c r="M381" t="s" s="53">
        <v>217</v>
      </c>
      <c r="N381" s="57">
        <v>304</v>
      </c>
      <c r="O381" s="44"/>
    </row>
    <row r="382" ht="23.1" customHeight="1">
      <c r="A382" t="s" s="21">
        <v>520</v>
      </c>
      <c r="B382" t="s" s="45">
        <v>520</v>
      </c>
      <c r="C382" t="s" s="45">
        <v>215</v>
      </c>
      <c r="D382" s="46">
        <v>42.7307076073047</v>
      </c>
      <c r="E382" s="46">
        <v>-73.66829987837841</v>
      </c>
      <c r="F382" s="47">
        <f>_xlfn.COUNTIFS('Connections'!$B$6:$B$589,A382)+_xlfn.COUNTIFS('Connections'!$C$6:$C$589,A382)</f>
        <v>2</v>
      </c>
      <c r="G382" s="47">
        <f>_xlfn.COUNTIFS('Connections'!$B$6:$B$589,A382,'Connections'!$D$6:$D$589,"TRUE")+_xlfn.COUNTIFS('Connections'!$C$6:$C$589,A382,'Connections'!$D$6:$D$589,"TRUE")</f>
        <v>2</v>
      </c>
      <c r="H382" t="s" s="48">
        <v>69</v>
      </c>
      <c r="I382" t="s" s="48">
        <v>70</v>
      </c>
      <c r="J382" s="49"/>
      <c r="K382" s="50"/>
      <c r="L382" s="51"/>
      <c r="M382" t="s" s="45">
        <v>217</v>
      </c>
      <c r="N382" s="52">
        <v>305</v>
      </c>
      <c r="O382" s="44"/>
    </row>
    <row r="383" ht="23.1" customHeight="1">
      <c r="A383" t="s" s="24">
        <v>521</v>
      </c>
      <c r="B383" t="s" s="53">
        <v>521</v>
      </c>
      <c r="C383" t="s" s="53">
        <v>215</v>
      </c>
      <c r="D383" s="54">
        <v>42.7312536260392</v>
      </c>
      <c r="E383" s="54">
        <v>-73.66808341578241</v>
      </c>
      <c r="F383" s="55">
        <f>_xlfn.COUNTIFS('Connections'!$B$6:$B$589,A383)+_xlfn.COUNTIFS('Connections'!$C$6:$C$589,A383)</f>
        <v>4</v>
      </c>
      <c r="G383" s="55">
        <f>_xlfn.COUNTIFS('Connections'!$B$6:$B$589,A383,'Connections'!$D$6:$D$589,"TRUE")+_xlfn.COUNTIFS('Connections'!$C$6:$C$589,A383,'Connections'!$D$6:$D$589,"TRUE")</f>
        <v>4</v>
      </c>
      <c r="H383" t="s" s="48">
        <v>69</v>
      </c>
      <c r="I383" t="s" s="48">
        <v>70</v>
      </c>
      <c r="J383" s="49"/>
      <c r="K383" s="50"/>
      <c r="L383" s="56"/>
      <c r="M383" t="s" s="53">
        <v>217</v>
      </c>
      <c r="N383" s="57">
        <v>306</v>
      </c>
      <c r="O383" s="44"/>
    </row>
    <row r="384" ht="23.1" customHeight="1">
      <c r="A384" t="s" s="21">
        <v>522</v>
      </c>
      <c r="B384" t="s" s="45">
        <v>522</v>
      </c>
      <c r="C384" t="s" s="45">
        <v>215</v>
      </c>
      <c r="D384" s="46">
        <v>42.7321801336182</v>
      </c>
      <c r="E384" s="46">
        <v>-73.6681900554437</v>
      </c>
      <c r="F384" s="47">
        <f>_xlfn.COUNTIFS('Connections'!$B$6:$B$589,A384)+_xlfn.COUNTIFS('Connections'!$C$6:$C$589,A384)</f>
        <v>2</v>
      </c>
      <c r="G384" s="47">
        <f>_xlfn.COUNTIFS('Connections'!$B$6:$B$589,A384,'Connections'!$D$6:$D$589,"TRUE")+_xlfn.COUNTIFS('Connections'!$C$6:$C$589,A384,'Connections'!$D$6:$D$589,"TRUE")</f>
        <v>2</v>
      </c>
      <c r="H384" t="s" s="48">
        <v>69</v>
      </c>
      <c r="I384" t="s" s="48">
        <v>70</v>
      </c>
      <c r="J384" s="49"/>
      <c r="K384" s="50"/>
      <c r="L384" s="51"/>
      <c r="M384" t="s" s="45">
        <v>217</v>
      </c>
      <c r="N384" s="52">
        <v>307</v>
      </c>
      <c r="O384" s="44"/>
    </row>
    <row r="385" ht="23.1" customHeight="1">
      <c r="A385" t="s" s="24">
        <v>523</v>
      </c>
      <c r="B385" t="s" s="53">
        <v>523</v>
      </c>
      <c r="C385" t="s" s="53">
        <v>215</v>
      </c>
      <c r="D385" s="54">
        <v>42.7323778498757</v>
      </c>
      <c r="E385" s="54">
        <v>-73.66813593979469</v>
      </c>
      <c r="F385" s="55">
        <f>_xlfn.COUNTIFS('Connections'!$B$6:$B$589,A385)+_xlfn.COUNTIFS('Connections'!$C$6:$C$589,A385)</f>
        <v>4</v>
      </c>
      <c r="G385" s="55">
        <f>_xlfn.COUNTIFS('Connections'!$B$6:$B$589,A385,'Connections'!$D$6:$D$589,"TRUE")+_xlfn.COUNTIFS('Connections'!$C$6:$C$589,A385,'Connections'!$D$6:$D$589,"TRUE")</f>
        <v>4</v>
      </c>
      <c r="H385" t="s" s="48">
        <v>69</v>
      </c>
      <c r="I385" t="s" s="48">
        <v>70</v>
      </c>
      <c r="J385" s="49"/>
      <c r="K385" s="50"/>
      <c r="L385" s="56"/>
      <c r="M385" t="s" s="53">
        <v>217</v>
      </c>
      <c r="N385" s="57">
        <v>308</v>
      </c>
      <c r="O385" s="44"/>
    </row>
    <row r="386" ht="23.1" customHeight="1">
      <c r="A386" t="s" s="21">
        <v>524</v>
      </c>
      <c r="B386" t="s" s="45">
        <v>524</v>
      </c>
      <c r="C386" t="s" s="45">
        <v>215</v>
      </c>
      <c r="D386" s="46">
        <v>42.732426129427</v>
      </c>
      <c r="E386" s="46">
        <v>-73.6685147493377</v>
      </c>
      <c r="F386" s="47">
        <f>_xlfn.COUNTIFS('Connections'!$B$6:$B$589,A386)+_xlfn.COUNTIFS('Connections'!$C$6:$C$589,A386)</f>
        <v>3</v>
      </c>
      <c r="G386" s="47">
        <f>_xlfn.COUNTIFS('Connections'!$B$6:$B$589,A386,'Connections'!$D$6:$D$589,"TRUE")+_xlfn.COUNTIFS('Connections'!$C$6:$C$589,A386,'Connections'!$D$6:$D$589,"TRUE")</f>
        <v>3</v>
      </c>
      <c r="H386" t="s" s="48">
        <v>69</v>
      </c>
      <c r="I386" t="s" s="48">
        <v>70</v>
      </c>
      <c r="J386" s="49"/>
      <c r="K386" s="50"/>
      <c r="L386" s="51"/>
      <c r="M386" t="s" s="45">
        <v>217</v>
      </c>
      <c r="N386" s="52">
        <v>309</v>
      </c>
      <c r="O386" s="44"/>
    </row>
    <row r="387" ht="23.1" customHeight="1">
      <c r="A387" t="s" s="24">
        <v>525</v>
      </c>
      <c r="B387" t="s" s="53">
        <v>525</v>
      </c>
      <c r="C387" t="s" s="53">
        <v>215</v>
      </c>
      <c r="D387" s="54">
        <v>42.7308432498534</v>
      </c>
      <c r="E387" s="54">
        <v>-73.6670424853576</v>
      </c>
      <c r="F387" s="55">
        <f>_xlfn.COUNTIFS('Connections'!$B$6:$B$589,A387)+_xlfn.COUNTIFS('Connections'!$C$6:$C$589,A387)</f>
        <v>3</v>
      </c>
      <c r="G387" s="55">
        <f>_xlfn.COUNTIFS('Connections'!$B$6:$B$589,A387,'Connections'!$D$6:$D$589,"TRUE")+_xlfn.COUNTIFS('Connections'!$C$6:$C$589,A387,'Connections'!$D$6:$D$589,"TRUE")</f>
        <v>3</v>
      </c>
      <c r="H387" t="s" s="48">
        <v>69</v>
      </c>
      <c r="I387" t="s" s="48">
        <v>70</v>
      </c>
      <c r="J387" s="49"/>
      <c r="K387" s="50"/>
      <c r="L387" s="56"/>
      <c r="M387" t="s" s="53">
        <v>217</v>
      </c>
      <c r="N387" s="57">
        <v>310</v>
      </c>
      <c r="O387" s="44"/>
    </row>
    <row r="388" ht="23.1" customHeight="1">
      <c r="A388" t="s" s="21">
        <v>526</v>
      </c>
      <c r="B388" t="s" s="45">
        <v>526</v>
      </c>
      <c r="C388" t="s" s="45">
        <v>215</v>
      </c>
      <c r="D388" s="46">
        <v>42.7297650065419</v>
      </c>
      <c r="E388" s="46">
        <v>-73.66749291855361</v>
      </c>
      <c r="F388" s="47">
        <f>_xlfn.COUNTIFS('Connections'!$B$6:$B$589,A388)+_xlfn.COUNTIFS('Connections'!$C$6:$C$589,A388)</f>
        <v>2</v>
      </c>
      <c r="G388" s="47">
        <f>_xlfn.COUNTIFS('Connections'!$B$6:$B$589,A388,'Connections'!$D$6:$D$589,"TRUE")+_xlfn.COUNTIFS('Connections'!$C$6:$C$589,A388,'Connections'!$D$6:$D$589,"TRUE")</f>
        <v>2</v>
      </c>
      <c r="H388" t="s" s="48">
        <v>69</v>
      </c>
      <c r="I388" t="s" s="48">
        <v>70</v>
      </c>
      <c r="J388" s="49"/>
      <c r="K388" s="50"/>
      <c r="L388" s="51"/>
      <c r="M388" t="s" s="45">
        <v>217</v>
      </c>
      <c r="N388" s="52">
        <v>311</v>
      </c>
      <c r="O388" s="44"/>
    </row>
    <row r="389" ht="23.1" customHeight="1">
      <c r="A389" t="s" s="24">
        <v>527</v>
      </c>
      <c r="B389" t="s" s="53">
        <v>527</v>
      </c>
      <c r="C389" t="s" s="53">
        <v>215</v>
      </c>
      <c r="D389" s="54">
        <v>42.7290189725236</v>
      </c>
      <c r="E389" s="54">
        <v>-73.6680881906926</v>
      </c>
      <c r="F389" s="55">
        <f>_xlfn.COUNTIFS('Connections'!$B$6:$B$589,A389)+_xlfn.COUNTIFS('Connections'!$C$6:$C$589,A389)</f>
        <v>2</v>
      </c>
      <c r="G389" s="55">
        <f>_xlfn.COUNTIFS('Connections'!$B$6:$B$589,A389,'Connections'!$D$6:$D$589,"TRUE")+_xlfn.COUNTIFS('Connections'!$C$6:$C$589,A389,'Connections'!$D$6:$D$589,"TRUE")</f>
        <v>2</v>
      </c>
      <c r="H389" t="s" s="48">
        <v>69</v>
      </c>
      <c r="I389" t="s" s="48">
        <v>70</v>
      </c>
      <c r="J389" s="49"/>
      <c r="K389" s="50"/>
      <c r="L389" s="56"/>
      <c r="M389" t="s" s="53">
        <v>217</v>
      </c>
      <c r="N389" s="57">
        <v>312</v>
      </c>
      <c r="O389" s="44"/>
    </row>
    <row r="390" ht="23.1" customHeight="1">
      <c r="A390" t="s" s="21">
        <v>528</v>
      </c>
      <c r="B390" t="s" s="45">
        <v>528</v>
      </c>
      <c r="C390" t="s" s="45">
        <v>215</v>
      </c>
      <c r="D390" s="46">
        <v>42.728885629001</v>
      </c>
      <c r="E390" s="46">
        <v>-73.6680881906926</v>
      </c>
      <c r="F390" s="47">
        <f>_xlfn.COUNTIFS('Connections'!$B$6:$B$589,A390)+_xlfn.COUNTIFS('Connections'!$C$6:$C$589,A390)</f>
        <v>2</v>
      </c>
      <c r="G390" s="47">
        <f>_xlfn.COUNTIFS('Connections'!$B$6:$B$589,A390,'Connections'!$D$6:$D$589,"TRUE")+_xlfn.COUNTIFS('Connections'!$C$6:$C$589,A390,'Connections'!$D$6:$D$589,"TRUE")</f>
        <v>2</v>
      </c>
      <c r="H390" t="s" s="48">
        <v>69</v>
      </c>
      <c r="I390" t="s" s="48">
        <v>70</v>
      </c>
      <c r="J390" s="49"/>
      <c r="K390" s="50"/>
      <c r="L390" s="51"/>
      <c r="M390" t="s" s="45">
        <v>217</v>
      </c>
      <c r="N390" s="52">
        <v>313</v>
      </c>
      <c r="O390" s="44"/>
    </row>
    <row r="391" ht="23.1" customHeight="1">
      <c r="A391" t="s" s="24">
        <v>529</v>
      </c>
      <c r="B391" t="s" s="53">
        <v>529</v>
      </c>
      <c r="C391" t="s" s="53">
        <v>215</v>
      </c>
      <c r="D391" s="54">
        <v>42.7309271643116</v>
      </c>
      <c r="E391" s="54">
        <v>-73.6668196562146</v>
      </c>
      <c r="F391" s="55">
        <f>_xlfn.COUNTIFS('Connections'!$B$6:$B$589,A391)+_xlfn.COUNTIFS('Connections'!$C$6:$C$589,A391)</f>
        <v>4</v>
      </c>
      <c r="G391" s="55">
        <f>_xlfn.COUNTIFS('Connections'!$B$6:$B$589,A391,'Connections'!$D$6:$D$589,"TRUE")+_xlfn.COUNTIFS('Connections'!$C$6:$C$589,A391,'Connections'!$D$6:$D$589,"TRUE")</f>
        <v>4</v>
      </c>
      <c r="H391" t="s" s="48">
        <v>69</v>
      </c>
      <c r="I391" t="s" s="48">
        <v>70</v>
      </c>
      <c r="J391" s="49"/>
      <c r="K391" s="50"/>
      <c r="L391" s="56"/>
      <c r="M391" t="s" s="53">
        <v>217</v>
      </c>
      <c r="N391" s="57">
        <v>314</v>
      </c>
      <c r="O391" s="44"/>
    </row>
    <row r="392" ht="23.1" customHeight="1">
      <c r="A392" t="s" s="21">
        <v>530</v>
      </c>
      <c r="B392" t="s" s="45">
        <v>530</v>
      </c>
      <c r="C392" t="s" s="45">
        <v>215</v>
      </c>
      <c r="D392" s="46">
        <v>42.7307363451328</v>
      </c>
      <c r="E392" s="46">
        <v>-73.6663803644757</v>
      </c>
      <c r="F392" s="47">
        <f>_xlfn.COUNTIFS('Connections'!$B$6:$B$589,A392)+_xlfn.COUNTIFS('Connections'!$C$6:$C$589,A392)</f>
        <v>2</v>
      </c>
      <c r="G392" s="47">
        <f>_xlfn.COUNTIFS('Connections'!$B$6:$B$589,A392,'Connections'!$D$6:$D$589,"TRUE")+_xlfn.COUNTIFS('Connections'!$C$6:$C$589,A392,'Connections'!$D$6:$D$589,"TRUE")</f>
        <v>2</v>
      </c>
      <c r="H392" t="s" s="48">
        <v>69</v>
      </c>
      <c r="I392" t="s" s="48">
        <v>70</v>
      </c>
      <c r="J392" s="49"/>
      <c r="K392" s="50"/>
      <c r="L392" s="51"/>
      <c r="M392" t="s" s="45">
        <v>217</v>
      </c>
      <c r="N392" s="52">
        <v>315</v>
      </c>
      <c r="O392" s="44"/>
    </row>
    <row r="393" ht="23.1" customHeight="1">
      <c r="A393" t="s" s="24">
        <v>531</v>
      </c>
      <c r="B393" t="s" s="53">
        <v>531</v>
      </c>
      <c r="C393" t="s" s="53">
        <v>215</v>
      </c>
      <c r="D393" s="54">
        <v>42.7305236852046</v>
      </c>
      <c r="E393" s="54">
        <v>-73.66641378884719</v>
      </c>
      <c r="F393" s="55">
        <f>_xlfn.COUNTIFS('Connections'!$B$6:$B$589,A393)+_xlfn.COUNTIFS('Connections'!$C$6:$C$589,A393)</f>
        <v>1</v>
      </c>
      <c r="G393" s="55">
        <f>_xlfn.COUNTIFS('Connections'!$B$6:$B$589,A393,'Connections'!$D$6:$D$589,"TRUE")+_xlfn.COUNTIFS('Connections'!$C$6:$C$589,A393,'Connections'!$D$6:$D$589,"TRUE")</f>
        <v>1</v>
      </c>
      <c r="H393" t="s" s="48">
        <v>69</v>
      </c>
      <c r="I393" t="s" s="48">
        <v>70</v>
      </c>
      <c r="J393" s="49"/>
      <c r="K393" s="50"/>
      <c r="L393" s="56"/>
      <c r="M393" t="s" s="53">
        <v>217</v>
      </c>
      <c r="N393" s="57">
        <v>316</v>
      </c>
      <c r="O393" s="44"/>
    </row>
    <row r="394" ht="23.1" customHeight="1">
      <c r="A394" t="s" s="21">
        <v>532</v>
      </c>
      <c r="B394" t="s" s="45">
        <v>532</v>
      </c>
      <c r="C394" t="s" s="45">
        <v>215</v>
      </c>
      <c r="D394" s="46">
        <v>42.7314180064161</v>
      </c>
      <c r="E394" s="46">
        <v>-73.6663214739165</v>
      </c>
      <c r="F394" s="47">
        <f>_xlfn.COUNTIFS('Connections'!$B$6:$B$589,A394)+_xlfn.COUNTIFS('Connections'!$C$6:$C$589,A394)</f>
        <v>3</v>
      </c>
      <c r="G394" s="47">
        <f>_xlfn.COUNTIFS('Connections'!$B$6:$B$589,A394,'Connections'!$D$6:$D$589,"TRUE")+_xlfn.COUNTIFS('Connections'!$C$6:$C$589,A394,'Connections'!$D$6:$D$589,"TRUE")</f>
        <v>3</v>
      </c>
      <c r="H394" t="s" s="48">
        <v>69</v>
      </c>
      <c r="I394" t="s" s="48">
        <v>70</v>
      </c>
      <c r="J394" s="49"/>
      <c r="K394" s="50"/>
      <c r="L394" s="51"/>
      <c r="M394" t="s" s="45">
        <v>217</v>
      </c>
      <c r="N394" s="52">
        <v>317</v>
      </c>
      <c r="O394" s="44"/>
    </row>
    <row r="395" ht="23.1" customHeight="1">
      <c r="A395" t="s" s="24">
        <v>533</v>
      </c>
      <c r="B395" t="s" s="53">
        <v>533</v>
      </c>
      <c r="C395" t="s" s="53">
        <v>215</v>
      </c>
      <c r="D395" s="54">
        <v>42.7320008095706</v>
      </c>
      <c r="E395" s="54">
        <v>-73.66773803061091</v>
      </c>
      <c r="F395" s="55">
        <f>_xlfn.COUNTIFS('Connections'!$B$6:$B$589,A395)+_xlfn.COUNTIFS('Connections'!$C$6:$C$589,A395)</f>
        <v>2</v>
      </c>
      <c r="G395" s="55">
        <f>_xlfn.COUNTIFS('Connections'!$B$6:$B$589,A395,'Connections'!$D$6:$D$589,"TRUE")+_xlfn.COUNTIFS('Connections'!$C$6:$C$589,A395,'Connections'!$D$6:$D$589,"TRUE")</f>
        <v>2</v>
      </c>
      <c r="H395" t="s" s="48">
        <v>69</v>
      </c>
      <c r="I395" t="s" s="48">
        <v>70</v>
      </c>
      <c r="J395" s="49"/>
      <c r="K395" s="50"/>
      <c r="L395" s="56"/>
      <c r="M395" t="s" s="53">
        <v>217</v>
      </c>
      <c r="N395" s="57">
        <v>318</v>
      </c>
      <c r="O395" s="44"/>
    </row>
    <row r="396" ht="23.1" customHeight="1">
      <c r="A396" t="s" s="21">
        <v>534</v>
      </c>
      <c r="B396" t="s" s="45">
        <v>534</v>
      </c>
      <c r="C396" t="s" s="45">
        <v>215</v>
      </c>
      <c r="D396" s="46">
        <v>42.7313605307598</v>
      </c>
      <c r="E396" s="46">
        <v>-73.66827918710089</v>
      </c>
      <c r="F396" s="47">
        <f>_xlfn.COUNTIFS('Connections'!$B$6:$B$589,A396)+_xlfn.COUNTIFS('Connections'!$C$6:$C$589,A396)</f>
        <v>3</v>
      </c>
      <c r="G396" s="47">
        <f>_xlfn.COUNTIFS('Connections'!$B$6:$B$589,A396,'Connections'!$D$6:$D$589,"TRUE")+_xlfn.COUNTIFS('Connections'!$C$6:$C$589,A396,'Connections'!$D$6:$D$589,"TRUE")</f>
        <v>3</v>
      </c>
      <c r="H396" t="s" s="48">
        <v>69</v>
      </c>
      <c r="I396" t="s" s="48">
        <v>70</v>
      </c>
      <c r="J396" s="49"/>
      <c r="K396" s="50"/>
      <c r="L396" s="51"/>
      <c r="M396" t="s" s="45">
        <v>217</v>
      </c>
      <c r="N396" s="52">
        <v>319</v>
      </c>
      <c r="O396" s="44"/>
    </row>
    <row r="397" ht="23.1" customHeight="1">
      <c r="A397" t="s" s="24">
        <v>535</v>
      </c>
      <c r="B397" t="s" s="53">
        <v>535</v>
      </c>
      <c r="C397" t="s" s="53">
        <v>215</v>
      </c>
      <c r="D397" s="54">
        <v>42.7313030551036</v>
      </c>
      <c r="E397" s="54">
        <v>-73.6678160208109</v>
      </c>
      <c r="F397" s="55">
        <f>_xlfn.COUNTIFS('Connections'!$B$6:$B$589,A397)+_xlfn.COUNTIFS('Connections'!$C$6:$C$589,A397)</f>
        <v>2</v>
      </c>
      <c r="G397" s="55">
        <f>_xlfn.COUNTIFS('Connections'!$B$6:$B$589,A397,'Connections'!$D$6:$D$589,"TRUE")+_xlfn.COUNTIFS('Connections'!$C$6:$C$589,A397,'Connections'!$D$6:$D$589,"TRUE")</f>
        <v>2</v>
      </c>
      <c r="H397" t="s" s="48">
        <v>69</v>
      </c>
      <c r="I397" t="s" s="48">
        <v>70</v>
      </c>
      <c r="J397" s="49"/>
      <c r="K397" s="50"/>
      <c r="L397" s="56"/>
      <c r="M397" t="s" s="53">
        <v>217</v>
      </c>
      <c r="N397" s="57">
        <v>320</v>
      </c>
      <c r="O397" s="44"/>
    </row>
    <row r="398" ht="23.1" customHeight="1">
      <c r="A398" t="s" s="21">
        <v>536</v>
      </c>
      <c r="B398" t="s" s="45">
        <v>536</v>
      </c>
      <c r="C398" t="s" s="45">
        <v>215</v>
      </c>
      <c r="D398" s="46">
        <v>42.7318053923393</v>
      </c>
      <c r="E398" s="46">
        <v>-73.6672875974148</v>
      </c>
      <c r="F398" s="47">
        <f>_xlfn.COUNTIFS('Connections'!$B$6:$B$589,A398)+_xlfn.COUNTIFS('Connections'!$C$6:$C$589,A398)</f>
        <v>3</v>
      </c>
      <c r="G398" s="47">
        <f>_xlfn.COUNTIFS('Connections'!$B$6:$B$589,A398,'Connections'!$D$6:$D$589,"TRUE")+_xlfn.COUNTIFS('Connections'!$C$6:$C$589,A398,'Connections'!$D$6:$D$589,"TRUE")</f>
        <v>3</v>
      </c>
      <c r="H398" t="s" s="48">
        <v>69</v>
      </c>
      <c r="I398" t="s" s="48">
        <v>70</v>
      </c>
      <c r="J398" s="49"/>
      <c r="K398" s="50"/>
      <c r="L398" s="51"/>
      <c r="M398" t="s" s="45">
        <v>217</v>
      </c>
      <c r="N398" s="52">
        <v>321</v>
      </c>
      <c r="O398" s="44"/>
    </row>
    <row r="399" ht="23.1" customHeight="1">
      <c r="A399" t="s" s="24">
        <v>537</v>
      </c>
      <c r="B399" t="s" s="53">
        <v>537</v>
      </c>
      <c r="C399" t="s" s="53">
        <v>215</v>
      </c>
      <c r="D399" s="54">
        <v>42.7313168492611</v>
      </c>
      <c r="E399" s="54">
        <v>-73.6669151544188</v>
      </c>
      <c r="F399" s="55">
        <f>_xlfn.COUNTIFS('Connections'!$B$6:$B$589,A399)+_xlfn.COUNTIFS('Connections'!$C$6:$C$589,A399)</f>
        <v>1</v>
      </c>
      <c r="G399" s="55">
        <f>_xlfn.COUNTIFS('Connections'!$B$6:$B$589,A399,'Connections'!$D$6:$D$589,"TRUE")+_xlfn.COUNTIFS('Connections'!$C$6:$C$589,A399,'Connections'!$D$6:$D$589,"TRUE")</f>
        <v>1</v>
      </c>
      <c r="H399" t="s" s="48">
        <v>69</v>
      </c>
      <c r="I399" t="s" s="48">
        <v>70</v>
      </c>
      <c r="J399" s="49"/>
      <c r="K399" s="50"/>
      <c r="L399" s="56"/>
      <c r="M399" t="s" s="53">
        <v>217</v>
      </c>
      <c r="N399" s="57">
        <v>322</v>
      </c>
      <c r="O399" s="44"/>
    </row>
    <row r="400" ht="23.1" customHeight="1">
      <c r="A400" t="s" s="21">
        <v>538</v>
      </c>
      <c r="B400" t="s" s="45">
        <v>538</v>
      </c>
      <c r="C400" t="s" s="45">
        <v>215</v>
      </c>
      <c r="D400" s="46">
        <v>42.7338342830055</v>
      </c>
      <c r="E400" s="46">
        <v>-73.6676870982354</v>
      </c>
      <c r="F400" s="47">
        <f>_xlfn.COUNTIFS('Connections'!$B$6:$B$589,A400)+_xlfn.COUNTIFS('Connections'!$C$6:$C$589,A400)</f>
        <v>3</v>
      </c>
      <c r="G400" s="47">
        <f>_xlfn.COUNTIFS('Connections'!$B$6:$B$589,A400,'Connections'!$D$6:$D$589,"TRUE")+_xlfn.COUNTIFS('Connections'!$C$6:$C$589,A400,'Connections'!$D$6:$D$589,"TRUE")</f>
        <v>3</v>
      </c>
      <c r="H400" t="s" s="48">
        <v>69</v>
      </c>
      <c r="I400" t="s" s="48">
        <v>70</v>
      </c>
      <c r="J400" s="49"/>
      <c r="K400" s="50"/>
      <c r="L400" s="51"/>
      <c r="M400" t="s" s="45">
        <v>217</v>
      </c>
      <c r="N400" s="52">
        <v>323</v>
      </c>
      <c r="O400" s="44"/>
    </row>
    <row r="401" ht="23.1" customHeight="1">
      <c r="A401" t="s" s="24">
        <v>539</v>
      </c>
      <c r="B401" t="s" s="53">
        <v>539</v>
      </c>
      <c r="C401" t="s" s="53">
        <v>215</v>
      </c>
      <c r="D401" s="54">
        <v>42.7337515180605</v>
      </c>
      <c r="E401" s="54">
        <v>-73.6671968741209</v>
      </c>
      <c r="F401" s="55">
        <f>_xlfn.COUNTIFS('Connections'!$B$6:$B$589,A401)+_xlfn.COUNTIFS('Connections'!$C$6:$C$589,A401)</f>
        <v>4</v>
      </c>
      <c r="G401" s="55">
        <f>_xlfn.COUNTIFS('Connections'!$B$6:$B$589,A401,'Connections'!$D$6:$D$589,"TRUE")+_xlfn.COUNTIFS('Connections'!$C$6:$C$589,A401,'Connections'!$D$6:$D$589,"TRUE")</f>
        <v>4</v>
      </c>
      <c r="H401" t="s" s="48">
        <v>69</v>
      </c>
      <c r="I401" t="s" s="48">
        <v>70</v>
      </c>
      <c r="J401" s="49"/>
      <c r="K401" s="50"/>
      <c r="L401" s="56"/>
      <c r="M401" t="s" s="53">
        <v>217</v>
      </c>
      <c r="N401" s="57">
        <v>324</v>
      </c>
      <c r="O401" s="44"/>
    </row>
    <row r="402" ht="23.1" customHeight="1">
      <c r="A402" t="s" s="21">
        <v>540</v>
      </c>
      <c r="B402" t="s" s="45">
        <v>540</v>
      </c>
      <c r="C402" t="s" s="45">
        <v>215</v>
      </c>
      <c r="D402" s="46">
        <v>42.7326824708539</v>
      </c>
      <c r="E402" s="46">
        <v>-73.6674563109087</v>
      </c>
      <c r="F402" s="47">
        <f>_xlfn.COUNTIFS('Connections'!$B$6:$B$589,A402)+_xlfn.COUNTIFS('Connections'!$C$6:$C$589,A402)</f>
        <v>3</v>
      </c>
      <c r="G402" s="47">
        <f>_xlfn.COUNTIFS('Connections'!$B$6:$B$589,A402,'Connections'!$D$6:$D$589,"TRUE")+_xlfn.COUNTIFS('Connections'!$C$6:$C$589,A402,'Connections'!$D$6:$D$589,"TRUE")</f>
        <v>3</v>
      </c>
      <c r="H402" t="s" s="48">
        <v>69</v>
      </c>
      <c r="I402" t="s" s="48">
        <v>70</v>
      </c>
      <c r="J402" s="49"/>
      <c r="K402" s="50"/>
      <c r="L402" s="51"/>
      <c r="M402" t="s" s="45">
        <v>217</v>
      </c>
      <c r="N402" s="52">
        <v>325</v>
      </c>
      <c r="O402" s="44"/>
    </row>
    <row r="403" ht="23.1" customHeight="1">
      <c r="A403" t="s" s="24">
        <v>541</v>
      </c>
      <c r="B403" t="s" s="53">
        <v>541</v>
      </c>
      <c r="C403" t="s" s="53">
        <v>215</v>
      </c>
      <c r="D403" s="54">
        <v>42.7325249875558</v>
      </c>
      <c r="E403" s="54">
        <v>-73.6665124703247</v>
      </c>
      <c r="F403" s="55">
        <f>_xlfn.COUNTIFS('Connections'!$B$6:$B$589,A403)+_xlfn.COUNTIFS('Connections'!$C$6:$C$589,A403)</f>
        <v>5</v>
      </c>
      <c r="G403" s="55">
        <f>_xlfn.COUNTIFS('Connections'!$B$6:$B$589,A403,'Connections'!$D$6:$D$589,"TRUE")+_xlfn.COUNTIFS('Connections'!$C$6:$C$589,A403,'Connections'!$D$6:$D$589,"TRUE")</f>
        <v>5</v>
      </c>
      <c r="H403" t="s" s="48">
        <v>69</v>
      </c>
      <c r="I403" t="s" s="48">
        <v>70</v>
      </c>
      <c r="J403" s="49"/>
      <c r="K403" s="50"/>
      <c r="L403" s="56"/>
      <c r="M403" t="s" s="53">
        <v>217</v>
      </c>
      <c r="N403" s="57">
        <v>326</v>
      </c>
      <c r="O403" s="44"/>
    </row>
    <row r="404" ht="23.1" customHeight="1">
      <c r="A404" t="s" s="21">
        <v>542</v>
      </c>
      <c r="B404" t="s" s="45">
        <v>542</v>
      </c>
      <c r="C404" t="s" s="45">
        <v>215</v>
      </c>
      <c r="D404" s="46">
        <v>42.7336032308673</v>
      </c>
      <c r="E404" s="46">
        <v>-73.6661575353328</v>
      </c>
      <c r="F404" s="47">
        <f>_xlfn.COUNTIFS('Connections'!$B$6:$B$589,A404)+_xlfn.COUNTIFS('Connections'!$C$6:$C$589,A404)</f>
        <v>4</v>
      </c>
      <c r="G404" s="47">
        <f>_xlfn.COUNTIFS('Connections'!$B$6:$B$589,A404,'Connections'!$D$6:$D$589,"TRUE")+_xlfn.COUNTIFS('Connections'!$C$6:$C$589,A404,'Connections'!$D$6:$D$589,"TRUE")</f>
        <v>4</v>
      </c>
      <c r="H404" t="s" s="48">
        <v>69</v>
      </c>
      <c r="I404" t="s" s="48">
        <v>70</v>
      </c>
      <c r="J404" s="49"/>
      <c r="K404" s="50"/>
      <c r="L404" s="51"/>
      <c r="M404" t="s" s="45">
        <v>217</v>
      </c>
      <c r="N404" s="52">
        <v>327</v>
      </c>
      <c r="O404" s="44"/>
    </row>
    <row r="405" ht="23.1" customHeight="1">
      <c r="A405" t="s" s="24">
        <v>543</v>
      </c>
      <c r="B405" t="s" s="53">
        <v>543</v>
      </c>
      <c r="C405" t="s" s="53">
        <v>215</v>
      </c>
      <c r="D405" s="54">
        <v>42.7316502080674</v>
      </c>
      <c r="E405" s="54">
        <v>-73.6667925983901</v>
      </c>
      <c r="F405" s="55">
        <f>_xlfn.COUNTIFS('Connections'!$B$6:$B$589,A405)+_xlfn.COUNTIFS('Connections'!$C$6:$C$589,A405)</f>
        <v>3</v>
      </c>
      <c r="G405" s="55">
        <f>_xlfn.COUNTIFS('Connections'!$B$6:$B$589,A405,'Connections'!$D$6:$D$589,"TRUE")+_xlfn.COUNTIFS('Connections'!$C$6:$C$589,A405,'Connections'!$D$6:$D$589,"TRUE")</f>
        <v>3</v>
      </c>
      <c r="H405" t="s" s="48">
        <v>69</v>
      </c>
      <c r="I405" t="s" s="48">
        <v>70</v>
      </c>
      <c r="J405" s="49"/>
      <c r="K405" s="50"/>
      <c r="L405" s="56"/>
      <c r="M405" t="s" s="53">
        <v>217</v>
      </c>
      <c r="N405" s="57">
        <v>328</v>
      </c>
      <c r="O405" s="44"/>
    </row>
    <row r="406" ht="23.1" customHeight="1">
      <c r="A406" t="s" s="21">
        <v>544</v>
      </c>
      <c r="B406" t="s" s="45">
        <v>544</v>
      </c>
      <c r="C406" t="s" s="45">
        <v>215</v>
      </c>
      <c r="D406" s="46">
        <v>42.7321502462769</v>
      </c>
      <c r="E406" s="46">
        <v>-73.665597279202</v>
      </c>
      <c r="F406" s="47">
        <f>_xlfn.COUNTIFS('Connections'!$B$6:$B$589,A406)+_xlfn.COUNTIFS('Connections'!$C$6:$C$589,A406)</f>
        <v>2</v>
      </c>
      <c r="G406" s="47">
        <f>_xlfn.COUNTIFS('Connections'!$B$6:$B$589,A406,'Connections'!$D$6:$D$589,"TRUE")+_xlfn.COUNTIFS('Connections'!$C$6:$C$589,A406,'Connections'!$D$6:$D$589,"TRUE")</f>
        <v>2</v>
      </c>
      <c r="H406" t="s" s="48">
        <v>69</v>
      </c>
      <c r="I406" t="s" s="48">
        <v>70</v>
      </c>
      <c r="J406" s="49"/>
      <c r="K406" s="50"/>
      <c r="L406" s="51"/>
      <c r="M406" t="s" s="45">
        <v>217</v>
      </c>
      <c r="N406" s="52">
        <v>329</v>
      </c>
      <c r="O406" s="44"/>
    </row>
    <row r="407" ht="23.1" customHeight="1">
      <c r="A407" t="s" s="24">
        <v>545</v>
      </c>
      <c r="B407" t="s" s="53">
        <v>545</v>
      </c>
      <c r="C407" t="s" s="53">
        <v>215</v>
      </c>
      <c r="D407" s="54">
        <v>42.7328284590208</v>
      </c>
      <c r="E407" s="54">
        <v>-73.6647616699159</v>
      </c>
      <c r="F407" s="55">
        <f>_xlfn.COUNTIFS('Connections'!$B$6:$B$589,A407)+_xlfn.COUNTIFS('Connections'!$C$6:$C$589,A407)</f>
        <v>3</v>
      </c>
      <c r="G407" s="55">
        <f>_xlfn.COUNTIFS('Connections'!$B$6:$B$589,A407,'Connections'!$D$6:$D$589,"TRUE")+_xlfn.COUNTIFS('Connections'!$C$6:$C$589,A407,'Connections'!$D$6:$D$589,"TRUE")</f>
        <v>3</v>
      </c>
      <c r="H407" t="s" s="48">
        <v>69</v>
      </c>
      <c r="I407" t="s" s="48">
        <v>70</v>
      </c>
      <c r="J407" s="49"/>
      <c r="K407" s="50"/>
      <c r="L407" s="56"/>
      <c r="M407" t="s" s="53">
        <v>217</v>
      </c>
      <c r="N407" s="57">
        <v>330</v>
      </c>
      <c r="O407" s="44"/>
    </row>
    <row r="408" ht="23.1" customHeight="1">
      <c r="A408" t="s" s="21">
        <v>546</v>
      </c>
      <c r="B408" t="s" s="45">
        <v>546</v>
      </c>
      <c r="C408" t="s" s="45">
        <v>215</v>
      </c>
      <c r="D408" s="46">
        <v>42.7329204200709</v>
      </c>
      <c r="E408" s="46">
        <v>-73.665350575508</v>
      </c>
      <c r="F408" s="47">
        <f>_xlfn.COUNTIFS('Connections'!$B$6:$B$589,A408)+_xlfn.COUNTIFS('Connections'!$C$6:$C$589,A408)</f>
        <v>2</v>
      </c>
      <c r="G408" s="47">
        <f>_xlfn.COUNTIFS('Connections'!$B$6:$B$589,A408,'Connections'!$D$6:$D$589,"TRUE")+_xlfn.COUNTIFS('Connections'!$C$6:$C$589,A408,'Connections'!$D$6:$D$589,"TRUE")</f>
        <v>2</v>
      </c>
      <c r="H408" t="s" s="48">
        <v>69</v>
      </c>
      <c r="I408" t="s" s="48">
        <v>70</v>
      </c>
      <c r="J408" s="49"/>
      <c r="K408" s="50"/>
      <c r="L408" s="51"/>
      <c r="M408" t="s" s="45">
        <v>217</v>
      </c>
      <c r="N408" s="52">
        <v>331</v>
      </c>
      <c r="O408" s="44"/>
    </row>
    <row r="409" ht="23.1" customHeight="1">
      <c r="A409" t="s" s="24">
        <v>547</v>
      </c>
      <c r="B409" t="s" s="53">
        <v>547</v>
      </c>
      <c r="C409" t="s" s="53">
        <v>215</v>
      </c>
      <c r="D409" s="54">
        <v>42.7330123811209</v>
      </c>
      <c r="E409" s="54">
        <v>-73.6656880024959</v>
      </c>
      <c r="F409" s="55">
        <f>_xlfn.COUNTIFS('Connections'!$B$6:$B$589,A409)+_xlfn.COUNTIFS('Connections'!$C$6:$C$589,A409)</f>
        <v>3</v>
      </c>
      <c r="G409" s="55">
        <f>_xlfn.COUNTIFS('Connections'!$B$6:$B$589,A409,'Connections'!$D$6:$D$589,"TRUE")+_xlfn.COUNTIFS('Connections'!$C$6:$C$589,A409,'Connections'!$D$6:$D$589,"TRUE")</f>
        <v>3</v>
      </c>
      <c r="H409" t="s" s="48">
        <v>69</v>
      </c>
      <c r="I409" t="s" s="48">
        <v>70</v>
      </c>
      <c r="J409" s="49"/>
      <c r="K409" s="50"/>
      <c r="L409" s="56"/>
      <c r="M409" t="s" s="53">
        <v>217</v>
      </c>
      <c r="N409" s="57">
        <v>332</v>
      </c>
      <c r="O409" s="44"/>
    </row>
    <row r="410" ht="23.1" customHeight="1">
      <c r="A410" t="s" s="21">
        <v>548</v>
      </c>
      <c r="B410" t="s" s="45">
        <v>548</v>
      </c>
      <c r="C410" t="s" s="45">
        <v>215</v>
      </c>
      <c r="D410" s="46">
        <v>42.7330491655409</v>
      </c>
      <c r="E410" s="46">
        <v>-73.6659617640143</v>
      </c>
      <c r="F410" s="47">
        <f>_xlfn.COUNTIFS('Connections'!$B$6:$B$589,A410)+_xlfn.COUNTIFS('Connections'!$C$6:$C$589,A410)</f>
        <v>3</v>
      </c>
      <c r="G410" s="47">
        <f>_xlfn.COUNTIFS('Connections'!$B$6:$B$589,A410,'Connections'!$D$6:$D$589,"TRUE")+_xlfn.COUNTIFS('Connections'!$C$6:$C$589,A410,'Connections'!$D$6:$D$589,"TRUE")</f>
        <v>3</v>
      </c>
      <c r="H410" t="s" s="48">
        <v>69</v>
      </c>
      <c r="I410" t="s" s="48">
        <v>70</v>
      </c>
      <c r="J410" s="49"/>
      <c r="K410" s="50"/>
      <c r="L410" s="51"/>
      <c r="M410" t="s" s="45">
        <v>217</v>
      </c>
      <c r="N410" s="52">
        <v>333</v>
      </c>
      <c r="O410" s="44"/>
    </row>
    <row r="411" ht="23.1" customHeight="1">
      <c r="A411" t="s" s="24">
        <v>549</v>
      </c>
      <c r="B411" t="s" s="53">
        <v>549</v>
      </c>
      <c r="C411" t="s" s="53">
        <v>215</v>
      </c>
      <c r="D411" s="54">
        <v>42.7330376704096</v>
      </c>
      <c r="E411" s="54">
        <v>-73.6660827284062</v>
      </c>
      <c r="F411" s="55">
        <f>_xlfn.COUNTIFS('Connections'!$B$6:$B$589,A411)+_xlfn.COUNTIFS('Connections'!$C$6:$C$589,A411)</f>
        <v>2</v>
      </c>
      <c r="G411" s="55">
        <f>_xlfn.COUNTIFS('Connections'!$B$6:$B$589,A411,'Connections'!$D$6:$D$589,"TRUE")+_xlfn.COUNTIFS('Connections'!$C$6:$C$589,A411,'Connections'!$D$6:$D$589,"TRUE")</f>
        <v>2</v>
      </c>
      <c r="H411" t="s" s="48">
        <v>69</v>
      </c>
      <c r="I411" t="s" s="48">
        <v>70</v>
      </c>
      <c r="J411" s="49"/>
      <c r="K411" s="50"/>
      <c r="L411" s="56"/>
      <c r="M411" t="s" s="53">
        <v>217</v>
      </c>
      <c r="N411" s="57">
        <v>334</v>
      </c>
      <c r="O411" s="44"/>
    </row>
    <row r="412" ht="23.1" customHeight="1">
      <c r="A412" t="s" s="21">
        <v>550</v>
      </c>
      <c r="B412" t="s" s="45">
        <v>550</v>
      </c>
      <c r="C412" t="s" s="45">
        <v>215</v>
      </c>
      <c r="D412" s="46">
        <v>42.7324951002145</v>
      </c>
      <c r="E412" s="46">
        <v>-73.6662450753532</v>
      </c>
      <c r="F412" s="47">
        <f>_xlfn.COUNTIFS('Connections'!$B$6:$B$589,A412)+_xlfn.COUNTIFS('Connections'!$C$6:$C$589,A412)</f>
        <v>2</v>
      </c>
      <c r="G412" s="47">
        <f>_xlfn.COUNTIFS('Connections'!$B$6:$B$589,A412,'Connections'!$D$6:$D$589,"TRUE")+_xlfn.COUNTIFS('Connections'!$C$6:$C$589,A412,'Connections'!$D$6:$D$589,"TRUE")</f>
        <v>2</v>
      </c>
      <c r="H412" t="s" s="48">
        <v>69</v>
      </c>
      <c r="I412" t="s" s="48">
        <v>70</v>
      </c>
      <c r="J412" s="49"/>
      <c r="K412" s="50"/>
      <c r="L412" s="51"/>
      <c r="M412" t="s" s="45">
        <v>217</v>
      </c>
      <c r="N412" s="52">
        <v>335</v>
      </c>
      <c r="O412" s="44"/>
    </row>
    <row r="413" ht="23.1" customHeight="1">
      <c r="A413" t="s" s="24">
        <v>551</v>
      </c>
      <c r="B413" t="s" s="53">
        <v>551</v>
      </c>
      <c r="C413" t="s" s="53">
        <v>215</v>
      </c>
      <c r="D413" s="54">
        <v>42.7335997823279</v>
      </c>
      <c r="E413" s="54">
        <v>-73.6658598992633</v>
      </c>
      <c r="F413" s="55">
        <f>_xlfn.COUNTIFS('Connections'!$B$6:$B$589,A413)+_xlfn.COUNTIFS('Connections'!$C$6:$C$589,A413)</f>
        <v>3</v>
      </c>
      <c r="G413" s="55">
        <f>_xlfn.COUNTIFS('Connections'!$B$6:$B$589,A413,'Connections'!$D$6:$D$589,"TRUE")+_xlfn.COUNTIFS('Connections'!$C$6:$C$589,A413,'Connections'!$D$6:$D$589,"TRUE")</f>
        <v>3</v>
      </c>
      <c r="H413" t="s" s="48">
        <v>69</v>
      </c>
      <c r="I413" t="s" s="48">
        <v>70</v>
      </c>
      <c r="J413" s="49"/>
      <c r="K413" s="50"/>
      <c r="L413" s="56"/>
      <c r="M413" t="s" s="53">
        <v>217</v>
      </c>
      <c r="N413" s="57">
        <v>336</v>
      </c>
      <c r="O413" s="44"/>
    </row>
    <row r="414" ht="23.1" customHeight="1">
      <c r="A414" t="s" s="21">
        <v>552</v>
      </c>
      <c r="B414" t="s" s="45">
        <v>552</v>
      </c>
      <c r="C414" t="s" s="45">
        <v>215</v>
      </c>
      <c r="D414" s="46">
        <v>42.7339273935686</v>
      </c>
      <c r="E414" s="46">
        <v>-73.6634040037808</v>
      </c>
      <c r="F414" s="47">
        <f>_xlfn.COUNTIFS('Connections'!$B$6:$B$589,A414)+_xlfn.COUNTIFS('Connections'!$C$6:$C$589,A414)</f>
        <v>2</v>
      </c>
      <c r="G414" s="47">
        <f>_xlfn.COUNTIFS('Connections'!$B$6:$B$589,A414,'Connections'!$D$6:$D$589,"TRUE")+_xlfn.COUNTIFS('Connections'!$C$6:$C$589,A414,'Connections'!$D$6:$D$589,"TRUE")</f>
        <v>2</v>
      </c>
      <c r="H414" t="s" s="48">
        <v>69</v>
      </c>
      <c r="I414" t="s" s="48">
        <v>70</v>
      </c>
      <c r="J414" s="49"/>
      <c r="K414" s="50"/>
      <c r="L414" s="51"/>
      <c r="M414" t="s" s="45">
        <v>217</v>
      </c>
      <c r="N414" s="52">
        <v>337</v>
      </c>
      <c r="O414" s="44"/>
    </row>
    <row r="415" ht="23.1" customHeight="1">
      <c r="A415" t="s" s="24">
        <v>553</v>
      </c>
      <c r="B415" t="s" s="53">
        <v>553</v>
      </c>
      <c r="C415" t="s" s="53">
        <v>215</v>
      </c>
      <c r="D415" s="54">
        <v>42.7334032155835</v>
      </c>
      <c r="E415" s="54">
        <v>-73.66507999726301</v>
      </c>
      <c r="F415" s="55">
        <f>_xlfn.COUNTIFS('Connections'!$B$6:$B$589,A415)+_xlfn.COUNTIFS('Connections'!$C$6:$C$589,A415)</f>
        <v>2</v>
      </c>
      <c r="G415" s="55">
        <f>_xlfn.COUNTIFS('Connections'!$B$6:$B$589,A415,'Connections'!$D$6:$D$589,"TRUE")+_xlfn.COUNTIFS('Connections'!$C$6:$C$589,A415,'Connections'!$D$6:$D$589,"TRUE")</f>
        <v>2</v>
      </c>
      <c r="H415" t="s" s="48">
        <v>69</v>
      </c>
      <c r="I415" t="s" s="48">
        <v>70</v>
      </c>
      <c r="J415" s="49"/>
      <c r="K415" s="50"/>
      <c r="L415" s="56"/>
      <c r="M415" t="s" s="53">
        <v>217</v>
      </c>
      <c r="N415" s="57">
        <v>338</v>
      </c>
      <c r="O415" s="44"/>
    </row>
    <row r="416" ht="23.1" customHeight="1">
      <c r="A416" t="s" s="21">
        <v>554</v>
      </c>
      <c r="B416" t="s" s="45">
        <v>554</v>
      </c>
      <c r="C416" t="s" s="45">
        <v>215</v>
      </c>
      <c r="D416" s="46">
        <v>42.7339319916211</v>
      </c>
      <c r="E416" s="46">
        <v>-73.6649558495976</v>
      </c>
      <c r="F416" s="47">
        <f>_xlfn.COUNTIFS('Connections'!$B$6:$B$589,A416)+_xlfn.COUNTIFS('Connections'!$C$6:$C$589,A416)</f>
        <v>2</v>
      </c>
      <c r="G416" s="47">
        <f>_xlfn.COUNTIFS('Connections'!$B$6:$B$589,A416,'Connections'!$D$6:$D$589,"TRUE")+_xlfn.COUNTIFS('Connections'!$C$6:$C$589,A416,'Connections'!$D$6:$D$589,"TRUE")</f>
        <v>2</v>
      </c>
      <c r="H416" t="s" s="48">
        <v>69</v>
      </c>
      <c r="I416" t="s" s="48">
        <v>70</v>
      </c>
      <c r="J416" s="49"/>
      <c r="K416" s="50"/>
      <c r="L416" s="51"/>
      <c r="M416" t="s" s="45">
        <v>217</v>
      </c>
      <c r="N416" s="52">
        <v>339</v>
      </c>
      <c r="O416" s="44"/>
    </row>
    <row r="417" ht="23.1" customHeight="1">
      <c r="A417" t="s" s="24">
        <v>555</v>
      </c>
      <c r="B417" t="s" s="53">
        <v>555</v>
      </c>
      <c r="C417" t="s" s="53">
        <v>215</v>
      </c>
      <c r="D417" s="54">
        <v>42.734260752375</v>
      </c>
      <c r="E417" s="54">
        <v>-73.6644863167607</v>
      </c>
      <c r="F417" s="55">
        <f>_xlfn.COUNTIFS('Connections'!$B$6:$B$589,A417)+_xlfn.COUNTIFS('Connections'!$C$6:$C$589,A417)</f>
        <v>2</v>
      </c>
      <c r="G417" s="55">
        <f>_xlfn.COUNTIFS('Connections'!$B$6:$B$589,A417,'Connections'!$D$6:$D$589,"TRUE")+_xlfn.COUNTIFS('Connections'!$C$6:$C$589,A417,'Connections'!$D$6:$D$589,"TRUE")</f>
        <v>2</v>
      </c>
      <c r="H417" t="s" s="48">
        <v>69</v>
      </c>
      <c r="I417" t="s" s="48">
        <v>70</v>
      </c>
      <c r="J417" s="49"/>
      <c r="K417" s="50"/>
      <c r="L417" s="56"/>
      <c r="M417" t="s" s="53">
        <v>217</v>
      </c>
      <c r="N417" s="57">
        <v>340</v>
      </c>
      <c r="O417" s="44"/>
    </row>
    <row r="418" ht="23.1" customHeight="1">
      <c r="A418" t="s" s="21">
        <v>556</v>
      </c>
      <c r="B418" t="s" s="45">
        <v>556</v>
      </c>
      <c r="C418" t="s" s="45">
        <v>215</v>
      </c>
      <c r="D418" s="46">
        <v>42.7346527363507</v>
      </c>
      <c r="E418" s="46">
        <v>-73.66439559346681</v>
      </c>
      <c r="F418" s="47">
        <f>_xlfn.COUNTIFS('Connections'!$B$6:$B$589,A418)+_xlfn.COUNTIFS('Connections'!$C$6:$C$589,A418)</f>
        <v>4</v>
      </c>
      <c r="G418" s="47">
        <f>_xlfn.COUNTIFS('Connections'!$B$6:$B$589,A418,'Connections'!$D$6:$D$589,"TRUE")+_xlfn.COUNTIFS('Connections'!$C$6:$C$589,A418,'Connections'!$D$6:$D$589,"TRUE")</f>
        <v>4</v>
      </c>
      <c r="H418" t="s" s="48">
        <v>69</v>
      </c>
      <c r="I418" t="s" s="48">
        <v>70</v>
      </c>
      <c r="J418" s="49"/>
      <c r="K418" s="50"/>
      <c r="L418" s="51"/>
      <c r="M418" t="s" s="45">
        <v>217</v>
      </c>
      <c r="N418" s="52">
        <v>341</v>
      </c>
      <c r="O418" s="44"/>
    </row>
    <row r="419" ht="23.1" customHeight="1">
      <c r="A419" t="s" s="24">
        <v>557</v>
      </c>
      <c r="B419" t="s" s="53">
        <v>557</v>
      </c>
      <c r="C419" t="s" s="53">
        <v>215</v>
      </c>
      <c r="D419" s="54">
        <v>42.734481458895</v>
      </c>
      <c r="E419" s="54">
        <v>-73.6631875411848</v>
      </c>
      <c r="F419" s="55">
        <f>_xlfn.COUNTIFS('Connections'!$B$6:$B$589,A419)+_xlfn.COUNTIFS('Connections'!$C$6:$C$589,A419)</f>
        <v>3</v>
      </c>
      <c r="G419" s="55">
        <f>_xlfn.COUNTIFS('Connections'!$B$6:$B$589,A419,'Connections'!$D$6:$D$589,"TRUE")+_xlfn.COUNTIFS('Connections'!$C$6:$C$589,A419,'Connections'!$D$6:$D$589,"TRUE")</f>
        <v>3</v>
      </c>
      <c r="H419" t="s" s="48">
        <v>69</v>
      </c>
      <c r="I419" t="s" s="48">
        <v>70</v>
      </c>
      <c r="J419" s="49"/>
      <c r="K419" s="50"/>
      <c r="L419" s="56"/>
      <c r="M419" t="s" s="53">
        <v>217</v>
      </c>
      <c r="N419" s="57">
        <v>342</v>
      </c>
      <c r="O419" s="44"/>
    </row>
    <row r="420" ht="23.1" customHeight="1">
      <c r="A420" t="s" s="21">
        <v>558</v>
      </c>
      <c r="B420" t="s" s="45">
        <v>558</v>
      </c>
      <c r="C420" t="s" s="45">
        <v>215</v>
      </c>
      <c r="D420" s="46">
        <v>42.7355872905216</v>
      </c>
      <c r="E420" s="46">
        <v>-73.6642841788954</v>
      </c>
      <c r="F420" s="47">
        <f>_xlfn.COUNTIFS('Connections'!$B$6:$B$589,A420)+_xlfn.COUNTIFS('Connections'!$C$6:$C$589,A420)</f>
        <v>3</v>
      </c>
      <c r="G420" s="47">
        <f>_xlfn.COUNTIFS('Connections'!$B$6:$B$589,A420,'Connections'!$D$6:$D$589,"TRUE")+_xlfn.COUNTIFS('Connections'!$C$6:$C$589,A420,'Connections'!$D$6:$D$589,"TRUE")</f>
        <v>3</v>
      </c>
      <c r="H420" t="s" s="48">
        <v>69</v>
      </c>
      <c r="I420" t="s" s="48">
        <v>70</v>
      </c>
      <c r="J420" s="49"/>
      <c r="K420" s="50"/>
      <c r="L420" s="51"/>
      <c r="M420" t="s" s="45">
        <v>217</v>
      </c>
      <c r="N420" s="52">
        <v>343</v>
      </c>
      <c r="O420" s="44"/>
    </row>
    <row r="421" ht="23.1" customHeight="1">
      <c r="A421" t="s" s="24">
        <v>559</v>
      </c>
      <c r="B421" t="s" s="53">
        <v>559</v>
      </c>
      <c r="C421" t="s" s="53">
        <v>215</v>
      </c>
      <c r="D421" s="54">
        <v>42.7355148711947</v>
      </c>
      <c r="E421" s="54">
        <v>-73.6635201932624</v>
      </c>
      <c r="F421" s="55">
        <f>_xlfn.COUNTIFS('Connections'!$B$6:$B$589,A421)+_xlfn.COUNTIFS('Connections'!$C$6:$C$589,A421)</f>
        <v>3</v>
      </c>
      <c r="G421" s="55">
        <f>_xlfn.COUNTIFS('Connections'!$B$6:$B$589,A421,'Connections'!$D$6:$D$589,"TRUE")+_xlfn.COUNTIFS('Connections'!$C$6:$C$589,A421,'Connections'!$D$6:$D$589,"TRUE")</f>
        <v>3</v>
      </c>
      <c r="H421" t="s" s="48">
        <v>69</v>
      </c>
      <c r="I421" t="s" s="48">
        <v>70</v>
      </c>
      <c r="J421" s="49"/>
      <c r="K421" s="50"/>
      <c r="L421" s="56"/>
      <c r="M421" t="s" s="53">
        <v>217</v>
      </c>
      <c r="N421" s="57">
        <v>344</v>
      </c>
      <c r="O421" s="44"/>
    </row>
    <row r="422" ht="23.1" customHeight="1">
      <c r="A422" t="s" s="21">
        <v>560</v>
      </c>
      <c r="B422" t="s" s="45">
        <v>560</v>
      </c>
      <c r="C422" t="s" s="45">
        <v>215</v>
      </c>
      <c r="D422" s="46">
        <v>42.7355298148653</v>
      </c>
      <c r="E422" s="46">
        <v>-73.6638305624258</v>
      </c>
      <c r="F422" s="47">
        <f>_xlfn.COUNTIFS('Connections'!$B$6:$B$589,A422)+_xlfn.COUNTIFS('Connections'!$C$6:$C$589,A422)</f>
        <v>3</v>
      </c>
      <c r="G422" s="47">
        <f>_xlfn.COUNTIFS('Connections'!$B$6:$B$589,A422,'Connections'!$D$6:$D$589,"TRUE")+_xlfn.COUNTIFS('Connections'!$C$6:$C$589,A422,'Connections'!$D$6:$D$589,"TRUE")</f>
        <v>3</v>
      </c>
      <c r="H422" t="s" s="48">
        <v>69</v>
      </c>
      <c r="I422" t="s" s="48">
        <v>70</v>
      </c>
      <c r="J422" s="49"/>
      <c r="K422" s="50"/>
      <c r="L422" s="51"/>
      <c r="M422" t="s" s="45">
        <v>217</v>
      </c>
      <c r="N422" s="52">
        <v>345</v>
      </c>
      <c r="O422" s="44"/>
    </row>
    <row r="423" ht="23.1" customHeight="1">
      <c r="A423" t="s" s="24">
        <v>561</v>
      </c>
      <c r="B423" t="s" s="53">
        <v>561</v>
      </c>
      <c r="C423" t="s" s="53">
        <v>215</v>
      </c>
      <c r="D423" s="54">
        <v>42.7353780791328</v>
      </c>
      <c r="E423" s="54">
        <v>-73.66385443697681</v>
      </c>
      <c r="F423" s="55">
        <f>_xlfn.COUNTIFS('Connections'!$B$6:$B$589,A423)+_xlfn.COUNTIFS('Connections'!$C$6:$C$589,A423)</f>
        <v>2</v>
      </c>
      <c r="G423" s="55">
        <f>_xlfn.COUNTIFS('Connections'!$B$6:$B$589,A423,'Connections'!$D$6:$D$589,"TRUE")+_xlfn.COUNTIFS('Connections'!$C$6:$C$589,A423,'Connections'!$D$6:$D$589,"TRUE")</f>
        <v>2</v>
      </c>
      <c r="H423" t="s" s="48">
        <v>69</v>
      </c>
      <c r="I423" t="s" s="48">
        <v>70</v>
      </c>
      <c r="J423" s="49"/>
      <c r="K423" s="50"/>
      <c r="L423" s="56"/>
      <c r="M423" t="s" s="53">
        <v>217</v>
      </c>
      <c r="N423" s="57">
        <v>346</v>
      </c>
      <c r="O423" s="44"/>
    </row>
    <row r="424" ht="23.1" customHeight="1">
      <c r="A424" t="s" s="21">
        <v>562</v>
      </c>
      <c r="B424" t="s" s="45">
        <v>562</v>
      </c>
      <c r="C424" t="s" s="45">
        <v>215</v>
      </c>
      <c r="D424" s="46">
        <v>42.7354378538153</v>
      </c>
      <c r="E424" s="46">
        <v>-73.6632177822827</v>
      </c>
      <c r="F424" s="47">
        <f>_xlfn.COUNTIFS('Connections'!$B$6:$B$589,A424)+_xlfn.COUNTIFS('Connections'!$C$6:$C$589,A424)</f>
        <v>3</v>
      </c>
      <c r="G424" s="47">
        <f>_xlfn.COUNTIFS('Connections'!$B$6:$B$589,A424,'Connections'!$D$6:$D$589,"TRUE")+_xlfn.COUNTIFS('Connections'!$C$6:$C$589,A424,'Connections'!$D$6:$D$589,"TRUE")</f>
        <v>3</v>
      </c>
      <c r="H424" t="s" s="48">
        <v>69</v>
      </c>
      <c r="I424" t="s" s="48">
        <v>70</v>
      </c>
      <c r="J424" s="49"/>
      <c r="K424" s="50"/>
      <c r="L424" s="51"/>
      <c r="M424" t="s" s="45">
        <v>217</v>
      </c>
      <c r="N424" s="52">
        <v>347</v>
      </c>
      <c r="O424" s="44"/>
    </row>
    <row r="425" ht="23.1" customHeight="1">
      <c r="A425" t="s" s="24">
        <v>563</v>
      </c>
      <c r="B425" t="s" s="53">
        <v>563</v>
      </c>
      <c r="C425" t="s" s="53">
        <v>215</v>
      </c>
      <c r="D425" s="54">
        <v>42.7352918656484</v>
      </c>
      <c r="E425" s="54">
        <v>-73.6632384735603</v>
      </c>
      <c r="F425" s="55">
        <f>_xlfn.COUNTIFS('Connections'!$B$6:$B$589,A425)+_xlfn.COUNTIFS('Connections'!$C$6:$C$589,A425)</f>
        <v>2</v>
      </c>
      <c r="G425" s="55">
        <f>_xlfn.COUNTIFS('Connections'!$B$6:$B$589,A425,'Connections'!$D$6:$D$589,"TRUE")+_xlfn.COUNTIFS('Connections'!$C$6:$C$589,A425,'Connections'!$D$6:$D$589,"TRUE")</f>
        <v>2</v>
      </c>
      <c r="H425" t="s" s="48">
        <v>69</v>
      </c>
      <c r="I425" t="s" s="48">
        <v>70</v>
      </c>
      <c r="J425" s="49"/>
      <c r="K425" s="50"/>
      <c r="L425" s="56"/>
      <c r="M425" t="s" s="53">
        <v>217</v>
      </c>
      <c r="N425" s="57">
        <v>348</v>
      </c>
      <c r="O425" s="44"/>
    </row>
    <row r="426" ht="23.1" customHeight="1">
      <c r="A426" t="s" s="21">
        <v>564</v>
      </c>
      <c r="B426" t="s" s="45">
        <v>564</v>
      </c>
      <c r="C426" t="s" s="45">
        <v>215</v>
      </c>
      <c r="D426" s="46">
        <v>42.7353389956865</v>
      </c>
      <c r="E426" s="46">
        <v>-73.6635615758176</v>
      </c>
      <c r="F426" s="47">
        <f>_xlfn.COUNTIFS('Connections'!$B$6:$B$589,A426)+_xlfn.COUNTIFS('Connections'!$C$6:$C$589,A426)</f>
        <v>1</v>
      </c>
      <c r="G426" s="47">
        <f>_xlfn.COUNTIFS('Connections'!$B$6:$B$589,A426,'Connections'!$D$6:$D$589,"TRUE")+_xlfn.COUNTIFS('Connections'!$C$6:$C$589,A426,'Connections'!$D$6:$D$589,"TRUE")</f>
        <v>1</v>
      </c>
      <c r="H426" t="s" s="48">
        <v>69</v>
      </c>
      <c r="I426" t="s" s="48">
        <v>70</v>
      </c>
      <c r="J426" s="49"/>
      <c r="K426" s="50"/>
      <c r="L426" s="51"/>
      <c r="M426" t="s" s="45">
        <v>217</v>
      </c>
      <c r="N426" s="52">
        <v>349</v>
      </c>
      <c r="O426" s="44"/>
    </row>
    <row r="427" ht="23.1" customHeight="1">
      <c r="A427" t="s" s="24">
        <v>565</v>
      </c>
      <c r="B427" t="s" s="53">
        <v>565</v>
      </c>
      <c r="C427" t="s" s="53">
        <v>215</v>
      </c>
      <c r="D427" s="54">
        <v>42.7349665534339</v>
      </c>
      <c r="E427" s="54">
        <v>-73.6633642128624</v>
      </c>
      <c r="F427" s="55">
        <f>_xlfn.COUNTIFS('Connections'!$B$6:$B$589,A427)+_xlfn.COUNTIFS('Connections'!$C$6:$C$589,A427)</f>
        <v>2</v>
      </c>
      <c r="G427" s="55">
        <f>_xlfn.COUNTIFS('Connections'!$B$6:$B$589,A427,'Connections'!$D$6:$D$589,"TRUE")+_xlfn.COUNTIFS('Connections'!$C$6:$C$589,A427,'Connections'!$D$6:$D$589,"TRUE")</f>
        <v>2</v>
      </c>
      <c r="H427" t="s" s="48">
        <v>69</v>
      </c>
      <c r="I427" t="s" s="48">
        <v>70</v>
      </c>
      <c r="J427" s="49"/>
      <c r="K427" s="50"/>
      <c r="L427" s="56"/>
      <c r="M427" t="s" s="53">
        <v>217</v>
      </c>
      <c r="N427" s="57">
        <v>350</v>
      </c>
      <c r="O427" s="44"/>
    </row>
    <row r="428" ht="23.1" customHeight="1">
      <c r="A428" t="s" s="21">
        <v>566</v>
      </c>
      <c r="B428" t="s" s="45">
        <v>566</v>
      </c>
      <c r="C428" t="s" s="45">
        <v>215</v>
      </c>
      <c r="D428" s="46">
        <v>42.7351010464696</v>
      </c>
      <c r="E428" s="46">
        <v>-73.6638974111687</v>
      </c>
      <c r="F428" s="47">
        <f>_xlfn.COUNTIFS('Connections'!$B$6:$B$589,A428)+_xlfn.COUNTIFS('Connections'!$C$6:$C$589,A428)</f>
        <v>3</v>
      </c>
      <c r="G428" s="47">
        <f>_xlfn.COUNTIFS('Connections'!$B$6:$B$589,A428,'Connections'!$D$6:$D$589,"TRUE")+_xlfn.COUNTIFS('Connections'!$C$6:$C$589,A428,'Connections'!$D$6:$D$589,"TRUE")</f>
        <v>3</v>
      </c>
      <c r="H428" t="s" s="48">
        <v>69</v>
      </c>
      <c r="I428" t="s" s="48">
        <v>70</v>
      </c>
      <c r="J428" s="49"/>
      <c r="K428" s="50"/>
      <c r="L428" s="51"/>
      <c r="M428" t="s" s="45">
        <v>217</v>
      </c>
      <c r="N428" s="52">
        <v>351</v>
      </c>
      <c r="O428" s="44"/>
    </row>
    <row r="429" ht="23.1" customHeight="1">
      <c r="A429" t="s" s="24">
        <v>567</v>
      </c>
      <c r="B429" t="s" s="53">
        <v>567</v>
      </c>
      <c r="C429" t="s" s="53">
        <v>215</v>
      </c>
      <c r="D429" s="54">
        <v>42.7354033684215</v>
      </c>
      <c r="E429" s="54">
        <v>-73.66292492112341</v>
      </c>
      <c r="F429" s="55">
        <f>_xlfn.COUNTIFS('Connections'!$B$6:$B$589,A429)+_xlfn.COUNTIFS('Connections'!$C$6:$C$589,A429)</f>
        <v>2</v>
      </c>
      <c r="G429" s="55">
        <f>_xlfn.COUNTIFS('Connections'!$B$6:$B$589,A429,'Connections'!$D$6:$D$589,"TRUE")+_xlfn.COUNTIFS('Connections'!$C$6:$C$589,A429,'Connections'!$D$6:$D$589,"TRUE")</f>
        <v>2</v>
      </c>
      <c r="H429" t="s" s="48">
        <v>69</v>
      </c>
      <c r="I429" t="s" s="48">
        <v>70</v>
      </c>
      <c r="J429" s="49"/>
      <c r="K429" s="50"/>
      <c r="L429" s="56"/>
      <c r="M429" t="s" s="53">
        <v>217</v>
      </c>
      <c r="N429" s="57">
        <v>352</v>
      </c>
      <c r="O429" s="44"/>
    </row>
    <row r="430" ht="23.1" customHeight="1">
      <c r="A430" t="s" s="21">
        <v>568</v>
      </c>
      <c r="B430" t="s" s="45">
        <v>568</v>
      </c>
      <c r="C430" t="s" s="45">
        <v>215</v>
      </c>
      <c r="D430" s="46">
        <v>42.7327433950496</v>
      </c>
      <c r="E430" s="46">
        <v>-73.6683269362029</v>
      </c>
      <c r="F430" s="47">
        <f>_xlfn.COUNTIFS('Connections'!$B$6:$B$589,A430)+_xlfn.COUNTIFS('Connections'!$C$6:$C$589,A430)</f>
        <v>2</v>
      </c>
      <c r="G430" s="47">
        <f>_xlfn.COUNTIFS('Connections'!$B$6:$B$589,A430,'Connections'!$D$6:$D$589,"TRUE")+_xlfn.COUNTIFS('Connections'!$C$6:$C$589,A430,'Connections'!$D$6:$D$589,"TRUE")</f>
        <v>2</v>
      </c>
      <c r="H430" t="s" s="48">
        <v>69</v>
      </c>
      <c r="I430" t="s" s="48">
        <v>70</v>
      </c>
      <c r="J430" s="49"/>
      <c r="K430" s="50"/>
      <c r="L430" s="51"/>
      <c r="M430" t="s" s="45">
        <v>217</v>
      </c>
      <c r="N430" s="52">
        <v>353</v>
      </c>
      <c r="O430" s="44"/>
    </row>
    <row r="431" ht="23.1" customHeight="1">
      <c r="A431" t="s" s="24">
        <v>569</v>
      </c>
      <c r="B431" t="s" s="53">
        <v>569</v>
      </c>
      <c r="C431" t="s" s="53">
        <v>215</v>
      </c>
      <c r="D431" s="54">
        <v>42.7339319916211</v>
      </c>
      <c r="E431" s="54">
        <v>-73.6657325683245</v>
      </c>
      <c r="F431" s="55">
        <f>_xlfn.COUNTIFS('Connections'!$B$6:$B$589,A431)+_xlfn.COUNTIFS('Connections'!$C$6:$C$589,A431)</f>
        <v>3</v>
      </c>
      <c r="G431" s="55">
        <f>_xlfn.COUNTIFS('Connections'!$B$6:$B$589,A431,'Connections'!$D$6:$D$589,"TRUE")+_xlfn.COUNTIFS('Connections'!$C$6:$C$589,A431,'Connections'!$D$6:$D$589,"TRUE")</f>
        <v>3</v>
      </c>
      <c r="H431" t="s" s="48">
        <v>69</v>
      </c>
      <c r="I431" t="s" s="48">
        <v>70</v>
      </c>
      <c r="J431" s="49"/>
      <c r="K431" s="50"/>
      <c r="L431" s="56"/>
      <c r="M431" t="s" s="53">
        <v>217</v>
      </c>
      <c r="N431" s="57">
        <v>354</v>
      </c>
      <c r="O431" s="44"/>
    </row>
    <row r="432" ht="23.1" customHeight="1">
      <c r="A432" t="s" s="21">
        <v>570</v>
      </c>
      <c r="B432" t="s" s="45">
        <v>570</v>
      </c>
      <c r="C432" t="s" s="45">
        <v>215</v>
      </c>
      <c r="D432" s="46">
        <v>42.7339986633824</v>
      </c>
      <c r="E432" s="46">
        <v>-73.6661718600634</v>
      </c>
      <c r="F432" s="47">
        <f>_xlfn.COUNTIFS('Connections'!$B$6:$B$589,A432)+_xlfn.COUNTIFS('Connections'!$C$6:$C$589,A432)</f>
        <v>2</v>
      </c>
      <c r="G432" s="47">
        <f>_xlfn.COUNTIFS('Connections'!$B$6:$B$589,A432,'Connections'!$D$6:$D$589,"TRUE")+_xlfn.COUNTIFS('Connections'!$C$6:$C$589,A432,'Connections'!$D$6:$D$589,"TRUE")</f>
        <v>2</v>
      </c>
      <c r="H432" t="s" s="48">
        <v>69</v>
      </c>
      <c r="I432" t="s" s="48">
        <v>70</v>
      </c>
      <c r="J432" s="49"/>
      <c r="K432" s="50"/>
      <c r="L432" s="51"/>
      <c r="M432" t="s" s="45">
        <v>217</v>
      </c>
      <c r="N432" s="52">
        <v>355</v>
      </c>
      <c r="O432" s="44"/>
    </row>
    <row r="433" ht="23.1" customHeight="1">
      <c r="A433" t="s" s="24">
        <v>571</v>
      </c>
      <c r="B433" t="s" s="53">
        <v>571</v>
      </c>
      <c r="C433" t="s" s="53">
        <v>215</v>
      </c>
      <c r="D433" s="54">
        <v>42.7348860875151</v>
      </c>
      <c r="E433" s="54">
        <v>-73.6659553974674</v>
      </c>
      <c r="F433" s="55">
        <f>_xlfn.COUNTIFS('Connections'!$B$6:$B$589,A433)+_xlfn.COUNTIFS('Connections'!$C$6:$C$589,A433)</f>
        <v>4</v>
      </c>
      <c r="G433" s="55">
        <f>_xlfn.COUNTIFS('Connections'!$B$6:$B$589,A433,'Connections'!$D$6:$D$589,"TRUE")+_xlfn.COUNTIFS('Connections'!$C$6:$C$589,A433,'Connections'!$D$6:$D$589,"TRUE")</f>
        <v>4</v>
      </c>
      <c r="H433" t="s" s="48">
        <v>69</v>
      </c>
      <c r="I433" t="s" s="48">
        <v>70</v>
      </c>
      <c r="J433" s="49"/>
      <c r="K433" s="50"/>
      <c r="L433" s="56"/>
      <c r="M433" t="s" s="53">
        <v>217</v>
      </c>
      <c r="N433" s="57">
        <v>356</v>
      </c>
      <c r="O433" s="44"/>
    </row>
    <row r="434" ht="23.1" customHeight="1">
      <c r="A434" t="s" s="21">
        <v>572</v>
      </c>
      <c r="B434" t="s" s="45">
        <v>572</v>
      </c>
      <c r="C434" t="s" s="45">
        <v>215</v>
      </c>
      <c r="D434" s="46">
        <v>42.7357884553185</v>
      </c>
      <c r="E434" s="46">
        <v>-73.66570073558979</v>
      </c>
      <c r="F434" s="47">
        <f>_xlfn.COUNTIFS('Connections'!$B$6:$B$589,A434)+_xlfn.COUNTIFS('Connections'!$C$6:$C$589,A434)</f>
        <v>3</v>
      </c>
      <c r="G434" s="47">
        <f>_xlfn.COUNTIFS('Connections'!$B$6:$B$589,A434,'Connections'!$D$6:$D$589,"TRUE")+_xlfn.COUNTIFS('Connections'!$C$6:$C$589,A434,'Connections'!$D$6:$D$589,"TRUE")</f>
        <v>3</v>
      </c>
      <c r="H434" t="s" s="48">
        <v>69</v>
      </c>
      <c r="I434" t="s" s="48">
        <v>70</v>
      </c>
      <c r="J434" s="49"/>
      <c r="K434" s="50"/>
      <c r="L434" s="51"/>
      <c r="M434" t="s" s="45">
        <v>217</v>
      </c>
      <c r="N434" s="52">
        <v>357</v>
      </c>
      <c r="O434" s="44"/>
    </row>
    <row r="435" ht="23.1" customHeight="1">
      <c r="A435" t="s" s="24">
        <v>573</v>
      </c>
      <c r="B435" t="s" s="53">
        <v>573</v>
      </c>
      <c r="C435" t="s" s="53">
        <v>215</v>
      </c>
      <c r="D435" s="54">
        <v>42.735958583261</v>
      </c>
      <c r="E435" s="54">
        <v>-73.6669422122433</v>
      </c>
      <c r="F435" s="55">
        <f>_xlfn.COUNTIFS('Connections'!$B$6:$B$589,A435)+_xlfn.COUNTIFS('Connections'!$C$6:$C$589,A435)</f>
        <v>4</v>
      </c>
      <c r="G435" s="55">
        <f>_xlfn.COUNTIFS('Connections'!$B$6:$B$589,A435,'Connections'!$D$6:$D$589,"TRUE")+_xlfn.COUNTIFS('Connections'!$C$6:$C$589,A435,'Connections'!$D$6:$D$589,"TRUE")</f>
        <v>4</v>
      </c>
      <c r="H435" t="s" s="48">
        <v>69</v>
      </c>
      <c r="I435" t="s" s="48">
        <v>70</v>
      </c>
      <c r="J435" s="49"/>
      <c r="K435" s="50"/>
      <c r="L435" s="56"/>
      <c r="M435" t="s" s="53">
        <v>217</v>
      </c>
      <c r="N435" s="57">
        <v>358</v>
      </c>
      <c r="O435" s="44"/>
    </row>
    <row r="436" ht="23.1" customHeight="1">
      <c r="A436" t="s" s="21">
        <v>574</v>
      </c>
      <c r="B436" t="s" s="45">
        <v>574</v>
      </c>
      <c r="C436" t="s" s="45">
        <v>215</v>
      </c>
      <c r="D436" s="46">
        <v>42.7350746076677</v>
      </c>
      <c r="E436" s="46">
        <v>-73.66720483230461</v>
      </c>
      <c r="F436" s="47">
        <f>_xlfn.COUNTIFS('Connections'!$B$6:$B$589,A436)+_xlfn.COUNTIFS('Connections'!$C$6:$C$589,A436)</f>
        <v>3</v>
      </c>
      <c r="G436" s="47">
        <f>_xlfn.COUNTIFS('Connections'!$B$6:$B$589,A436,'Connections'!$D$6:$D$589,"TRUE")+_xlfn.COUNTIFS('Connections'!$C$6:$C$589,A436,'Connections'!$D$6:$D$589,"TRUE")</f>
        <v>3</v>
      </c>
      <c r="H436" t="s" s="48">
        <v>69</v>
      </c>
      <c r="I436" t="s" s="48">
        <v>70</v>
      </c>
      <c r="J436" s="49"/>
      <c r="K436" s="50"/>
      <c r="L436" s="51"/>
      <c r="M436" t="s" s="45">
        <v>217</v>
      </c>
      <c r="N436" s="52">
        <v>359</v>
      </c>
      <c r="O436" s="44"/>
    </row>
    <row r="437" ht="23.1" customHeight="1">
      <c r="A437" t="s" s="24">
        <v>575</v>
      </c>
      <c r="B437" t="s" s="53">
        <v>575</v>
      </c>
      <c r="C437" t="s" s="53">
        <v>215</v>
      </c>
      <c r="D437" s="54">
        <v>42.7348171167276</v>
      </c>
      <c r="E437" s="54">
        <v>-73.66548427299379</v>
      </c>
      <c r="F437" s="55">
        <f>_xlfn.COUNTIFS('Connections'!$B$6:$B$589,A437)+_xlfn.COUNTIFS('Connections'!$C$6:$C$589,A437)</f>
        <v>2</v>
      </c>
      <c r="G437" s="55">
        <f>_xlfn.COUNTIFS('Connections'!$B$6:$B$589,A437,'Connections'!$D$6:$D$589,"TRUE")+_xlfn.COUNTIFS('Connections'!$C$6:$C$589,A437,'Connections'!$D$6:$D$589,"TRUE")</f>
        <v>2</v>
      </c>
      <c r="H437" t="s" s="48">
        <v>69</v>
      </c>
      <c r="I437" t="s" s="48">
        <v>70</v>
      </c>
      <c r="J437" s="49"/>
      <c r="K437" s="50"/>
      <c r="L437" s="56"/>
      <c r="M437" t="s" s="53">
        <v>217</v>
      </c>
      <c r="N437" s="57">
        <v>360</v>
      </c>
      <c r="O437" s="44"/>
    </row>
    <row r="438" ht="23.1" customHeight="1">
      <c r="A438" t="s" s="21">
        <v>576</v>
      </c>
      <c r="B438" t="s" s="45">
        <v>576</v>
      </c>
      <c r="C438" t="s" s="45">
        <v>215</v>
      </c>
      <c r="D438" s="46">
        <v>42.7338975062274</v>
      </c>
      <c r="E438" s="46">
        <v>-73.66531874277329</v>
      </c>
      <c r="F438" s="47">
        <f>_xlfn.COUNTIFS('Connections'!$B$6:$B$589,A438)+_xlfn.COUNTIFS('Connections'!$C$6:$C$589,A438)</f>
        <v>3</v>
      </c>
      <c r="G438" s="47">
        <f>_xlfn.COUNTIFS('Connections'!$B$6:$B$589,A438,'Connections'!$D$6:$D$589,"TRUE")+_xlfn.COUNTIFS('Connections'!$C$6:$C$589,A438,'Connections'!$D$6:$D$589,"TRUE")</f>
        <v>3</v>
      </c>
      <c r="H438" t="s" s="48">
        <v>69</v>
      </c>
      <c r="I438" t="s" s="48">
        <v>70</v>
      </c>
      <c r="J438" s="49"/>
      <c r="K438" s="50"/>
      <c r="L438" s="51"/>
      <c r="M438" t="s" s="45">
        <v>217</v>
      </c>
      <c r="N438" s="52">
        <v>361</v>
      </c>
      <c r="O438" s="44"/>
    </row>
    <row r="439" ht="23.1" customHeight="1">
      <c r="A439" t="s" s="24">
        <v>577</v>
      </c>
      <c r="B439" t="s" s="53">
        <v>577</v>
      </c>
      <c r="C439" t="s" s="53">
        <v>215</v>
      </c>
      <c r="D439" s="54">
        <v>42.7346159519307</v>
      </c>
      <c r="E439" s="54">
        <v>-73.66494948305071</v>
      </c>
      <c r="F439" s="55">
        <f>_xlfn.COUNTIFS('Connections'!$B$6:$B$589,A439)+_xlfn.COUNTIFS('Connections'!$C$6:$C$589,A439)</f>
        <v>2</v>
      </c>
      <c r="G439" s="55">
        <f>_xlfn.COUNTIFS('Connections'!$B$6:$B$589,A439,'Connections'!$D$6:$D$589,"TRUE")+_xlfn.COUNTIFS('Connections'!$C$6:$C$589,A439,'Connections'!$D$6:$D$589,"TRUE")</f>
        <v>2</v>
      </c>
      <c r="H439" t="s" s="48">
        <v>69</v>
      </c>
      <c r="I439" t="s" s="48">
        <v>70</v>
      </c>
      <c r="J439" s="49"/>
      <c r="K439" s="50"/>
      <c r="L439" s="56"/>
      <c r="M439" t="s" s="53">
        <v>217</v>
      </c>
      <c r="N439" s="57">
        <v>362</v>
      </c>
      <c r="O439" s="44"/>
    </row>
    <row r="440" ht="23.1" customHeight="1">
      <c r="A440" t="s" s="21">
        <v>578</v>
      </c>
      <c r="B440" t="s" s="45">
        <v>578</v>
      </c>
      <c r="C440" t="s" s="45">
        <v>215</v>
      </c>
      <c r="D440" s="46">
        <v>42.7356620088747</v>
      </c>
      <c r="E440" s="46">
        <v>-73.66493674995679</v>
      </c>
      <c r="F440" s="47">
        <f>_xlfn.COUNTIFS('Connections'!$B$6:$B$589,A440)+_xlfn.COUNTIFS('Connections'!$C$6:$C$589,A440)</f>
        <v>4</v>
      </c>
      <c r="G440" s="47">
        <f>_xlfn.COUNTIFS('Connections'!$B$6:$B$589,A440,'Connections'!$D$6:$D$589,"TRUE")+_xlfn.COUNTIFS('Connections'!$C$6:$C$589,A440,'Connections'!$D$6:$D$589,"TRUE")</f>
        <v>4</v>
      </c>
      <c r="H440" t="s" s="48">
        <v>69</v>
      </c>
      <c r="I440" t="s" s="48">
        <v>70</v>
      </c>
      <c r="J440" s="49"/>
      <c r="K440" s="50"/>
      <c r="L440" s="51"/>
      <c r="M440" t="s" s="45">
        <v>217</v>
      </c>
      <c r="N440" s="52">
        <v>363</v>
      </c>
      <c r="O440" s="44"/>
    </row>
    <row r="441" ht="23.1" customHeight="1">
      <c r="A441" t="s" s="24">
        <v>579</v>
      </c>
      <c r="B441" t="s" s="53">
        <v>579</v>
      </c>
      <c r="C441" t="s" s="53">
        <v>215</v>
      </c>
      <c r="D441" s="54">
        <v>42.736224120793</v>
      </c>
      <c r="E441" s="54">
        <v>-73.6638146460585</v>
      </c>
      <c r="F441" s="55">
        <f>_xlfn.COUNTIFS('Connections'!$B$6:$B$589,A441)+_xlfn.COUNTIFS('Connections'!$C$6:$C$589,A441)</f>
        <v>2</v>
      </c>
      <c r="G441" s="55">
        <f>_xlfn.COUNTIFS('Connections'!$B$6:$B$589,A441,'Connections'!$D$6:$D$589,"TRUE")+_xlfn.COUNTIFS('Connections'!$C$6:$C$589,A441,'Connections'!$D$6:$D$589,"TRUE")</f>
        <v>2</v>
      </c>
      <c r="H441" t="s" s="48">
        <v>69</v>
      </c>
      <c r="I441" t="s" s="48">
        <v>70</v>
      </c>
      <c r="J441" s="49"/>
      <c r="K441" s="50"/>
      <c r="L441" s="56"/>
      <c r="M441" t="s" s="53">
        <v>217</v>
      </c>
      <c r="N441" s="57">
        <v>364</v>
      </c>
      <c r="O441" s="44"/>
    </row>
    <row r="442" ht="23.1" customHeight="1">
      <c r="A442" t="s" s="21">
        <v>580</v>
      </c>
      <c r="B442" t="s" s="45">
        <v>580</v>
      </c>
      <c r="C442" t="s" s="45">
        <v>215</v>
      </c>
      <c r="D442" s="46">
        <v>42.7366678328594</v>
      </c>
      <c r="E442" s="46">
        <v>-73.6633928623236</v>
      </c>
      <c r="F442" s="47">
        <f>_xlfn.COUNTIFS('Connections'!$B$6:$B$589,A442)+_xlfn.COUNTIFS('Connections'!$C$6:$C$589,A442)</f>
        <v>1</v>
      </c>
      <c r="G442" s="47">
        <f>_xlfn.COUNTIFS('Connections'!$B$6:$B$589,A442,'Connections'!$D$6:$D$589,"TRUE")+_xlfn.COUNTIFS('Connections'!$C$6:$C$589,A442,'Connections'!$D$6:$D$589,"TRUE")</f>
        <v>1</v>
      </c>
      <c r="H442" t="s" s="48">
        <v>69</v>
      </c>
      <c r="I442" t="s" s="48">
        <v>70</v>
      </c>
      <c r="J442" s="49"/>
      <c r="K442" s="50"/>
      <c r="L442" s="51"/>
      <c r="M442" t="s" s="45">
        <v>217</v>
      </c>
      <c r="N442" s="52">
        <v>365</v>
      </c>
      <c r="O442" s="44"/>
    </row>
    <row r="443" ht="23.1" customHeight="1">
      <c r="A443" t="s" s="24">
        <v>581</v>
      </c>
      <c r="B443" t="s" s="53">
        <v>581</v>
      </c>
      <c r="C443" t="s" s="53">
        <v>215</v>
      </c>
      <c r="D443" s="54">
        <v>42.7377368800659</v>
      </c>
      <c r="E443" s="54">
        <v>-73.66645676303899</v>
      </c>
      <c r="F443" s="55">
        <f>_xlfn.COUNTIFS('Connections'!$B$6:$B$589,A443)+_xlfn.COUNTIFS('Connections'!$C$6:$C$589,A443)</f>
        <v>2</v>
      </c>
      <c r="G443" s="55">
        <f>_xlfn.COUNTIFS('Connections'!$B$6:$B$589,A443,'Connections'!$D$6:$D$589,"TRUE")+_xlfn.COUNTIFS('Connections'!$C$6:$C$589,A443,'Connections'!$D$6:$D$589,"TRUE")</f>
        <v>2</v>
      </c>
      <c r="H443" t="s" s="48">
        <v>69</v>
      </c>
      <c r="I443" t="s" s="48">
        <v>70</v>
      </c>
      <c r="J443" s="49"/>
      <c r="K443" s="50"/>
      <c r="L443" s="56"/>
      <c r="M443" t="s" s="53">
        <v>217</v>
      </c>
      <c r="N443" s="57">
        <v>366</v>
      </c>
      <c r="O443" s="44"/>
    </row>
    <row r="444" ht="23.1" customHeight="1">
      <c r="A444" t="s" s="21">
        <v>582</v>
      </c>
      <c r="B444" t="s" s="45">
        <v>582</v>
      </c>
      <c r="C444" t="s" s="45">
        <v>215</v>
      </c>
      <c r="D444" s="46">
        <v>42.7382311707098</v>
      </c>
      <c r="E444" s="46">
        <v>-73.67002998750969</v>
      </c>
      <c r="F444" s="47">
        <f>_xlfn.COUNTIFS('Connections'!$B$6:$B$589,A444)+_xlfn.COUNTIFS('Connections'!$C$6:$C$589,A444)</f>
        <v>3</v>
      </c>
      <c r="G444" s="47">
        <f>_xlfn.COUNTIFS('Connections'!$B$6:$B$589,A444,'Connections'!$D$6:$D$589,"TRUE")+_xlfn.COUNTIFS('Connections'!$C$6:$C$589,A444,'Connections'!$D$6:$D$589,"TRUE")</f>
        <v>3</v>
      </c>
      <c r="H444" t="s" s="48">
        <v>69</v>
      </c>
      <c r="I444" t="s" s="48">
        <v>70</v>
      </c>
      <c r="J444" s="49"/>
      <c r="K444" s="50"/>
      <c r="L444" s="51"/>
      <c r="M444" t="s" s="45">
        <v>217</v>
      </c>
      <c r="N444" s="52">
        <v>367</v>
      </c>
      <c r="O444" s="44"/>
    </row>
    <row r="445" ht="23.1" customHeight="1">
      <c r="A445" t="s" s="24">
        <v>583</v>
      </c>
      <c r="B445" t="s" s="53">
        <v>583</v>
      </c>
      <c r="C445" t="s" s="53">
        <v>215</v>
      </c>
      <c r="D445" s="54">
        <v>42.7368057744344</v>
      </c>
      <c r="E445" s="54">
        <v>-73.6703960639588</v>
      </c>
      <c r="F445" s="55">
        <f>_xlfn.COUNTIFS('Connections'!$B$6:$B$589,A445)+_xlfn.COUNTIFS('Connections'!$C$6:$C$589,A445)</f>
        <v>3</v>
      </c>
      <c r="G445" s="55">
        <f>_xlfn.COUNTIFS('Connections'!$B$6:$B$589,A445,'Connections'!$D$6:$D$589,"TRUE")+_xlfn.COUNTIFS('Connections'!$C$6:$C$589,A445,'Connections'!$D$6:$D$589,"TRUE")</f>
        <v>3</v>
      </c>
      <c r="H445" t="s" s="48">
        <v>69</v>
      </c>
      <c r="I445" t="s" s="48">
        <v>70</v>
      </c>
      <c r="J445" s="49"/>
      <c r="K445" s="50"/>
      <c r="L445" s="56"/>
      <c r="M445" t="s" s="53">
        <v>217</v>
      </c>
      <c r="N445" s="57">
        <v>368</v>
      </c>
      <c r="O445" s="44"/>
    </row>
    <row r="446" ht="23.1" customHeight="1">
      <c r="A446" t="s" s="21">
        <v>584</v>
      </c>
      <c r="B446" t="s" s="45">
        <v>584</v>
      </c>
      <c r="C446" t="s" s="45">
        <v>215</v>
      </c>
      <c r="D446" s="46">
        <v>42.7364183885112</v>
      </c>
      <c r="E446" s="46">
        <v>-73.67054886108539</v>
      </c>
      <c r="F446" s="47">
        <f>_xlfn.COUNTIFS('Connections'!$B$6:$B$589,A446)+_xlfn.COUNTIFS('Connections'!$C$6:$C$589,A446)</f>
        <v>3</v>
      </c>
      <c r="G446" s="47">
        <f>_xlfn.COUNTIFS('Connections'!$B$6:$B$589,A446,'Connections'!$D$6:$D$589,"TRUE")+_xlfn.COUNTIFS('Connections'!$C$6:$C$589,A446,'Connections'!$D$6:$D$589,"TRUE")</f>
        <v>3</v>
      </c>
      <c r="H446" t="s" s="48">
        <v>69</v>
      </c>
      <c r="I446" t="s" s="48">
        <v>70</v>
      </c>
      <c r="J446" s="49"/>
      <c r="K446" s="50"/>
      <c r="L446" s="51"/>
      <c r="M446" t="s" s="45">
        <v>217</v>
      </c>
      <c r="N446" s="52">
        <v>369</v>
      </c>
      <c r="O446" s="44"/>
    </row>
    <row r="447" ht="23.1" customHeight="1">
      <c r="A447" t="s" s="24">
        <v>585</v>
      </c>
      <c r="B447" t="s" s="53">
        <v>585</v>
      </c>
      <c r="C447" t="s" s="53">
        <v>215</v>
      </c>
      <c r="D447" s="54">
        <v>42.7345757189713</v>
      </c>
      <c r="E447" s="54">
        <v>-73.6710422684733</v>
      </c>
      <c r="F447" s="55">
        <f>_xlfn.COUNTIFS('Connections'!$B$6:$B$589,A447)+_xlfn.COUNTIFS('Connections'!$C$6:$C$589,A447)</f>
        <v>3</v>
      </c>
      <c r="G447" s="55">
        <f>_xlfn.COUNTIFS('Connections'!$B$6:$B$589,A447,'Connections'!$D$6:$D$589,"TRUE")+_xlfn.COUNTIFS('Connections'!$C$6:$C$589,A447,'Connections'!$D$6:$D$589,"TRUE")</f>
        <v>3</v>
      </c>
      <c r="H447" t="s" s="48">
        <v>69</v>
      </c>
      <c r="I447" t="s" s="48">
        <v>70</v>
      </c>
      <c r="J447" s="49"/>
      <c r="K447" s="50"/>
      <c r="L447" s="56"/>
      <c r="M447" t="s" s="53">
        <v>217</v>
      </c>
      <c r="N447" s="57">
        <v>370</v>
      </c>
      <c r="O447" s="44"/>
    </row>
    <row r="448" ht="23.1" customHeight="1">
      <c r="A448" t="s" s="21">
        <v>586</v>
      </c>
      <c r="B448" t="s" s="45">
        <v>586</v>
      </c>
      <c r="C448" t="s" s="45">
        <v>215</v>
      </c>
      <c r="D448" s="46">
        <v>42.7350125339589</v>
      </c>
      <c r="E448" s="46">
        <v>-73.67399316298049</v>
      </c>
      <c r="F448" s="47">
        <f>_xlfn.COUNTIFS('Connections'!$B$6:$B$589,A448)+_xlfn.COUNTIFS('Connections'!$C$6:$C$589,A448)</f>
        <v>4</v>
      </c>
      <c r="G448" s="47">
        <f>_xlfn.COUNTIFS('Connections'!$B$6:$B$589,A448,'Connections'!$D$6:$D$589,"TRUE")+_xlfn.COUNTIFS('Connections'!$C$6:$C$589,A448,'Connections'!$D$6:$D$589,"TRUE")</f>
        <v>4</v>
      </c>
      <c r="H448" t="s" s="48">
        <v>69</v>
      </c>
      <c r="I448" t="s" s="48">
        <v>70</v>
      </c>
      <c r="J448" s="49"/>
      <c r="K448" s="50"/>
      <c r="L448" s="51"/>
      <c r="M448" t="s" s="45">
        <v>217</v>
      </c>
      <c r="N448" s="52">
        <v>371</v>
      </c>
      <c r="O448" s="44"/>
    </row>
    <row r="449" ht="23.1" customHeight="1">
      <c r="A449" t="s" s="24">
        <v>587</v>
      </c>
      <c r="B449" t="s" s="53">
        <v>587</v>
      </c>
      <c r="C449" t="s" s="53">
        <v>215</v>
      </c>
      <c r="D449" s="54">
        <v>42.7342308650337</v>
      </c>
      <c r="E449" s="54">
        <v>-73.6742478248581</v>
      </c>
      <c r="F449" s="55">
        <f>_xlfn.COUNTIFS('Connections'!$B$6:$B$589,A449)+_xlfn.COUNTIFS('Connections'!$C$6:$C$589,A449)</f>
        <v>1</v>
      </c>
      <c r="G449" s="55">
        <f>_xlfn.COUNTIFS('Connections'!$B$6:$B$589,A449,'Connections'!$D$6:$D$589,"TRUE")+_xlfn.COUNTIFS('Connections'!$C$6:$C$589,A449,'Connections'!$D$6:$D$589,"TRUE")</f>
        <v>1</v>
      </c>
      <c r="H449" t="s" s="48">
        <v>69</v>
      </c>
      <c r="I449" t="s" s="48">
        <v>70</v>
      </c>
      <c r="J449" s="49"/>
      <c r="K449" s="50"/>
      <c r="L449" s="56"/>
      <c r="M449" t="s" s="53">
        <v>217</v>
      </c>
      <c r="N449" s="57">
        <v>372</v>
      </c>
      <c r="O449" s="44"/>
    </row>
    <row r="450" ht="23.1" customHeight="1">
      <c r="A450" t="s" s="21">
        <v>588</v>
      </c>
      <c r="B450" t="s" s="45">
        <v>588</v>
      </c>
      <c r="C450" t="s" s="45">
        <v>215</v>
      </c>
      <c r="D450" s="46">
        <v>42.7372195991595</v>
      </c>
      <c r="E450" s="46">
        <v>-73.6733978908415</v>
      </c>
      <c r="F450" s="47">
        <f>_xlfn.COUNTIFS('Connections'!$B$6:$B$589,A450)+_xlfn.COUNTIFS('Connections'!$C$6:$C$589,A450)</f>
        <v>1</v>
      </c>
      <c r="G450" s="47">
        <f>_xlfn.COUNTIFS('Connections'!$B$6:$B$589,A450,'Connections'!$D$6:$D$589,"TRUE")+_xlfn.COUNTIFS('Connections'!$C$6:$C$589,A450,'Connections'!$D$6:$D$589,"TRUE")</f>
        <v>1</v>
      </c>
      <c r="H450" t="s" s="48">
        <v>69</v>
      </c>
      <c r="I450" t="s" s="48">
        <v>70</v>
      </c>
      <c r="J450" s="49"/>
      <c r="K450" s="50"/>
      <c r="L450" s="51"/>
      <c r="M450" t="s" s="45">
        <v>217</v>
      </c>
      <c r="N450" s="52">
        <v>373</v>
      </c>
      <c r="O450" s="44"/>
    </row>
    <row r="451" ht="23.1" customHeight="1">
      <c r="A451" t="s" s="24">
        <v>589</v>
      </c>
      <c r="B451" t="s" s="53">
        <v>589</v>
      </c>
      <c r="C451" t="s" s="53">
        <v>215</v>
      </c>
      <c r="D451" s="54">
        <v>42.7352688753859</v>
      </c>
      <c r="E451" s="54">
        <v>-73.6759508761648</v>
      </c>
      <c r="F451" s="55">
        <f>_xlfn.COUNTIFS('Connections'!$B$6:$B$589,A451)+_xlfn.COUNTIFS('Connections'!$C$6:$C$589,A451)</f>
        <v>3</v>
      </c>
      <c r="G451" s="55">
        <f>_xlfn.COUNTIFS('Connections'!$B$6:$B$589,A451,'Connections'!$D$6:$D$589,"TRUE")+_xlfn.COUNTIFS('Connections'!$C$6:$C$589,A451,'Connections'!$D$6:$D$589,"TRUE")</f>
        <v>3</v>
      </c>
      <c r="H451" t="s" s="48">
        <v>69</v>
      </c>
      <c r="I451" t="s" s="48">
        <v>70</v>
      </c>
      <c r="J451" s="49"/>
      <c r="K451" s="50"/>
      <c r="L451" s="56"/>
      <c r="M451" t="s" s="53">
        <v>217</v>
      </c>
      <c r="N451" s="57">
        <v>374</v>
      </c>
      <c r="O451" s="44"/>
    </row>
    <row r="452" ht="23.1" customHeight="1">
      <c r="A452" t="s" s="21">
        <v>590</v>
      </c>
      <c r="B452" t="s" s="45">
        <v>590</v>
      </c>
      <c r="C452" t="s" s="45">
        <v>215</v>
      </c>
      <c r="D452" s="46">
        <v>42.738920878585</v>
      </c>
      <c r="E452" s="46">
        <v>-73.6749322286543</v>
      </c>
      <c r="F452" s="47">
        <f>_xlfn.COUNTIFS('Connections'!$B$6:$B$589,A452)+_xlfn.COUNTIFS('Connections'!$C$6:$C$589,A452)</f>
        <v>2</v>
      </c>
      <c r="G452" s="47">
        <f>_xlfn.COUNTIFS('Connections'!$B$6:$B$589,A452,'Connections'!$D$6:$D$589,"TRUE")+_xlfn.COUNTIFS('Connections'!$C$6:$C$589,A452,'Connections'!$D$6:$D$589,"TRUE")</f>
        <v>2</v>
      </c>
      <c r="H452" t="s" s="48">
        <v>69</v>
      </c>
      <c r="I452" t="s" s="48">
        <v>70</v>
      </c>
      <c r="J452" s="49"/>
      <c r="K452" s="50"/>
      <c r="L452" s="51"/>
      <c r="M452" t="s" s="45">
        <v>217</v>
      </c>
      <c r="N452" s="52">
        <v>375</v>
      </c>
      <c r="O452" s="44"/>
    </row>
    <row r="453" ht="23.1" customHeight="1">
      <c r="A453" t="s" s="24">
        <v>591</v>
      </c>
      <c r="B453" t="s" s="53">
        <v>591</v>
      </c>
      <c r="C453" t="s" s="53">
        <v>215</v>
      </c>
      <c r="D453" s="54">
        <v>42.7367540463438</v>
      </c>
      <c r="E453" s="54">
        <v>-73.669961547130</v>
      </c>
      <c r="F453" s="55">
        <f>_xlfn.COUNTIFS('Connections'!$B$6:$B$589,A453)+_xlfn.COUNTIFS('Connections'!$C$6:$C$589,A453)</f>
        <v>2</v>
      </c>
      <c r="G453" s="55">
        <f>_xlfn.COUNTIFS('Connections'!$B$6:$B$589,A453,'Connections'!$D$6:$D$589,"TRUE")+_xlfn.COUNTIFS('Connections'!$C$6:$C$589,A453,'Connections'!$D$6:$D$589,"TRUE")</f>
        <v>2</v>
      </c>
      <c r="H453" t="s" s="48">
        <v>69</v>
      </c>
      <c r="I453" t="s" s="48">
        <v>70</v>
      </c>
      <c r="J453" s="49"/>
      <c r="K453" s="50"/>
      <c r="L453" s="56"/>
      <c r="M453" t="s" s="53">
        <v>217</v>
      </c>
      <c r="N453" s="57">
        <v>376</v>
      </c>
      <c r="O453" s="44"/>
    </row>
    <row r="454" ht="23.1" customHeight="1">
      <c r="A454" t="s" s="21">
        <v>592</v>
      </c>
      <c r="B454" t="s" s="45">
        <v>592</v>
      </c>
      <c r="C454" t="s" s="45">
        <v>215</v>
      </c>
      <c r="D454" s="46">
        <v>42.7295615427187</v>
      </c>
      <c r="E454" s="46">
        <v>-73.6796275570233</v>
      </c>
      <c r="F454" s="47">
        <f>_xlfn.COUNTIFS('Connections'!$B$6:$B$589,A454)+_xlfn.COUNTIFS('Connections'!$C$6:$C$589,A454)</f>
        <v>3</v>
      </c>
      <c r="G454" s="47">
        <f>_xlfn.COUNTIFS('Connections'!$B$6:$B$589,A454,'Connections'!$D$6:$D$589,"TRUE")+_xlfn.COUNTIFS('Connections'!$C$6:$C$589,A454,'Connections'!$D$6:$D$589,"TRUE")</f>
        <v>2</v>
      </c>
      <c r="H454" t="s" s="48">
        <v>69</v>
      </c>
      <c r="I454" t="s" s="48">
        <v>70</v>
      </c>
      <c r="J454" s="49"/>
      <c r="K454" s="50"/>
      <c r="L454" s="51"/>
      <c r="M454" t="s" s="45">
        <v>217</v>
      </c>
      <c r="N454" s="52">
        <v>377</v>
      </c>
      <c r="O454" s="44"/>
    </row>
    <row r="455" ht="23.1" customHeight="1">
      <c r="A455" t="s" s="24">
        <v>593</v>
      </c>
      <c r="B455" t="s" s="53">
        <v>593</v>
      </c>
      <c r="C455" t="s" s="53">
        <v>215</v>
      </c>
      <c r="D455" s="54">
        <v>42.7304891998108</v>
      </c>
      <c r="E455" s="54">
        <v>-73.67771759294099</v>
      </c>
      <c r="F455" s="55">
        <f>_xlfn.COUNTIFS('Connections'!$B$6:$B$589,A455)+_xlfn.COUNTIFS('Connections'!$C$6:$C$589,A455)</f>
        <v>2</v>
      </c>
      <c r="G455" s="55">
        <f>_xlfn.COUNTIFS('Connections'!$B$6:$B$589,A455,'Connections'!$D$6:$D$589,"TRUE")+_xlfn.COUNTIFS('Connections'!$C$6:$C$589,A455,'Connections'!$D$6:$D$589,"TRUE")</f>
        <v>2</v>
      </c>
      <c r="H455" t="s" s="48">
        <v>69</v>
      </c>
      <c r="I455" t="s" s="48">
        <v>70</v>
      </c>
      <c r="J455" s="49"/>
      <c r="K455" s="50"/>
      <c r="L455" s="56"/>
      <c r="M455" t="s" s="53">
        <v>217</v>
      </c>
      <c r="N455" s="57">
        <v>378</v>
      </c>
      <c r="O455" s="44"/>
    </row>
    <row r="456" ht="13.55" customHeight="1">
      <c r="A456" s="68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40"/>
    </row>
  </sheetData>
  <conditionalFormatting sqref="F6:F455">
    <cfRule type="cellIs" dxfId="0" priority="1" operator="equal" stopIfTrue="1">
      <formula>0</formula>
    </cfRule>
  </conditionalFormatting>
  <conditionalFormatting sqref="G6:G455">
    <cfRule type="cellIs" dxfId="1" priority="1" operator="equal" stopIfTrue="1">
      <formula>0</formula>
    </cfRule>
  </conditionalFormatting>
  <dataValidations count="2">
    <dataValidation type="list" allowBlank="1" showInputMessage="1" showErrorMessage="1" sqref="H6:H455">
      <formula1>"unknown,yes,no"</formula1>
    </dataValidation>
    <dataValidation type="list" allowBlank="1" showInputMessage="1" showErrorMessage="1" sqref="I6:I455">
      <formula1>"unverified,needs_review,checked"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W590"/>
  <sheetViews>
    <sheetView workbookViewId="0" showGridLines="0" defaultGridColor="1"/>
  </sheetViews>
  <sheetFormatPr defaultColWidth="8.83333" defaultRowHeight="14.25" customHeight="1" outlineLevelRow="0" outlineLevelCol="0"/>
  <cols>
    <col min="1" max="3" width="14" style="70" customWidth="1"/>
    <col min="4" max="4" width="20" style="70" customWidth="1"/>
    <col min="5" max="5" width="19" style="70" customWidth="1"/>
    <col min="6" max="6" width="18" style="70" customWidth="1"/>
    <col min="7" max="7" width="24" style="70" customWidth="1"/>
    <col min="8" max="9" width="15" style="70" customWidth="1"/>
    <col min="10" max="10" width="20" style="70" customWidth="1"/>
    <col min="11" max="12" width="15" style="70" customWidth="1"/>
    <col min="13" max="13" width="55" style="70" customWidth="1"/>
    <col min="14" max="14" width="17" style="70" customWidth="1"/>
    <col min="15" max="15" width="22" style="70" customWidth="1"/>
    <col min="16" max="16" width="58" style="70" customWidth="1"/>
    <col min="17" max="17" width="15" style="70" customWidth="1"/>
    <col min="18" max="18" width="78" style="70" customWidth="1"/>
    <col min="19" max="22" width="20" style="70" customWidth="1"/>
    <col min="23" max="23" width="8.85156" style="70" customWidth="1"/>
    <col min="24" max="16384" width="8.85156" style="70" customWidth="1"/>
  </cols>
  <sheetData>
    <row r="1" ht="23.1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5"/>
    </row>
    <row r="2" ht="23.1" customHeight="1">
      <c r="A2" t="s" s="6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9"/>
    </row>
    <row r="3" ht="23.1" customHeight="1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9"/>
    </row>
    <row r="4" ht="23.1" customHeight="1">
      <c r="A4" t="s" s="42">
        <v>594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9"/>
    </row>
    <row r="5" ht="36" customHeight="1">
      <c r="A5" t="s" s="17">
        <v>595</v>
      </c>
      <c r="B5" t="s" s="18">
        <v>596</v>
      </c>
      <c r="C5" t="s" s="18">
        <v>597</v>
      </c>
      <c r="D5" t="s" s="18">
        <v>598</v>
      </c>
      <c r="E5" t="s" s="18">
        <v>599</v>
      </c>
      <c r="F5" t="s" s="18">
        <v>60</v>
      </c>
      <c r="G5" t="s" s="18">
        <v>600</v>
      </c>
      <c r="H5" t="s" s="18">
        <v>601</v>
      </c>
      <c r="I5" t="s" s="18">
        <v>602</v>
      </c>
      <c r="J5" t="s" s="18">
        <v>603</v>
      </c>
      <c r="K5" t="s" s="18">
        <v>604</v>
      </c>
      <c r="L5" t="s" s="18">
        <v>605</v>
      </c>
      <c r="M5" t="s" s="18">
        <v>606</v>
      </c>
      <c r="N5" t="s" s="18">
        <v>61</v>
      </c>
      <c r="O5" t="s" s="18">
        <v>62</v>
      </c>
      <c r="P5" t="s" s="18">
        <v>607</v>
      </c>
      <c r="Q5" t="s" s="18">
        <v>65</v>
      </c>
      <c r="R5" t="s" s="18">
        <v>608</v>
      </c>
      <c r="S5" t="s" s="18">
        <v>609</v>
      </c>
      <c r="T5" t="s" s="18">
        <v>610</v>
      </c>
      <c r="U5" t="s" s="18">
        <v>611</v>
      </c>
      <c r="V5" t="s" s="19">
        <v>612</v>
      </c>
      <c r="W5" s="44"/>
    </row>
    <row r="6" ht="23.1" customHeight="1">
      <c r="A6" t="s" s="21">
        <v>613</v>
      </c>
      <c r="B6" t="s" s="45">
        <v>223</v>
      </c>
      <c r="C6" t="s" s="45">
        <v>224</v>
      </c>
      <c r="D6" t="s" s="45">
        <v>614</v>
      </c>
      <c r="E6" s="71">
        <f>2*6371000*ASIN(SQRT(MIN(1,SIN(RADIANS(U6-S6)/2)^2+COS(RADIANS(S6))*COS(RADIANS(U6))*SIN(RADIANS(V6-T6)/2)^2)))</f>
        <v>93.1750432141982</v>
      </c>
      <c r="F6" t="s" s="48">
        <v>70</v>
      </c>
      <c r="G6" t="s" s="48">
        <v>69</v>
      </c>
      <c r="H6" t="s" s="48">
        <v>69</v>
      </c>
      <c r="I6" t="s" s="48">
        <v>69</v>
      </c>
      <c r="J6" t="s" s="48">
        <v>69</v>
      </c>
      <c r="K6" s="72"/>
      <c r="L6" s="72"/>
      <c r="M6" s="50"/>
      <c r="N6" s="49"/>
      <c r="O6" s="50"/>
      <c r="P6" s="50"/>
      <c r="Q6" s="30">
        <v>2</v>
      </c>
      <c r="R6" s="61"/>
      <c r="S6" s="46">
        <f>INDEX('Locations'!$D$6:$D$455,MATCH(B6,'Locations'!$A$6:$A$455,0))</f>
        <v>42.7319088485206</v>
      </c>
      <c r="T6" s="46">
        <f>INDEX('Locations'!$E$6:$E$455,MATCH(B6,'Locations'!$A$6:$A$455,0))</f>
        <v>-73.6746298176746</v>
      </c>
      <c r="U6" s="46">
        <f>INDEX('Locations'!$D$6:$D$455,MATCH(C6,'Locations'!$A$6:$A$455,0))</f>
        <v>42.7327135077083</v>
      </c>
      <c r="V6" s="73">
        <f>INDEX('Locations'!$E$6:$E$455,MATCH(C6,'Locations'!$A$6:$A$455,0))</f>
        <v>-73.6743114903275</v>
      </c>
      <c r="W6" s="44"/>
    </row>
    <row r="7" ht="23.1" customHeight="1">
      <c r="A7" t="s" s="24">
        <v>615</v>
      </c>
      <c r="B7" t="s" s="53">
        <v>219</v>
      </c>
      <c r="C7" t="s" s="53">
        <v>224</v>
      </c>
      <c r="D7" t="s" s="53">
        <v>614</v>
      </c>
      <c r="E7" s="74">
        <f>2*6371000*ASIN(SQRT(MIN(1,SIN(RADIANS(U7-S7)/2)^2+COS(RADIANS(S7))*COS(RADIANS(U7))*SIN(RADIANS(V7-T7)/2)^2)))</f>
        <v>185.992582770847</v>
      </c>
      <c r="F7" t="s" s="48">
        <v>70</v>
      </c>
      <c r="G7" t="s" s="48">
        <v>69</v>
      </c>
      <c r="H7" t="s" s="48">
        <v>69</v>
      </c>
      <c r="I7" t="s" s="48">
        <v>69</v>
      </c>
      <c r="J7" t="s" s="48">
        <v>69</v>
      </c>
      <c r="K7" s="72"/>
      <c r="L7" s="72"/>
      <c r="M7" s="50"/>
      <c r="N7" s="49"/>
      <c r="O7" s="50"/>
      <c r="P7" s="50"/>
      <c r="Q7" s="32">
        <v>3</v>
      </c>
      <c r="R7" s="64"/>
      <c r="S7" s="54">
        <f>INDEX('Locations'!$D$6:$D$455,MATCH(B7,'Locations'!$A$6:$A$455,0))</f>
        <v>42.7330583616459</v>
      </c>
      <c r="T7" s="54">
        <f>INDEX('Locations'!$E$6:$E$455,MATCH(B7,'Locations'!$A$6:$A$455,0))</f>
        <v>-73.6765397817569</v>
      </c>
      <c r="U7" s="54">
        <f>INDEX('Locations'!$D$6:$D$455,MATCH(C7,'Locations'!$A$6:$A$455,0))</f>
        <v>42.7327135077083</v>
      </c>
      <c r="V7" s="75">
        <f>INDEX('Locations'!$E$6:$E$455,MATCH(C7,'Locations'!$A$6:$A$455,0))</f>
        <v>-73.6743114903275</v>
      </c>
      <c r="W7" s="44"/>
    </row>
    <row r="8" ht="23.1" customHeight="1">
      <c r="A8" t="s" s="21">
        <v>616</v>
      </c>
      <c r="B8" t="s" s="45">
        <v>220</v>
      </c>
      <c r="C8" t="s" s="45">
        <v>219</v>
      </c>
      <c r="D8" t="s" s="45">
        <v>614</v>
      </c>
      <c r="E8" s="71">
        <f>2*6371000*ASIN(SQRT(MIN(1,SIN(RADIANS(U8-S8)/2)^2+COS(RADIANS(S8))*COS(RADIANS(U8))*SIN(RADIANS(V8-T8)/2)^2)))</f>
        <v>260.431853411214</v>
      </c>
      <c r="F8" t="s" s="48">
        <v>70</v>
      </c>
      <c r="G8" t="s" s="48">
        <v>69</v>
      </c>
      <c r="H8" t="s" s="48">
        <v>69</v>
      </c>
      <c r="I8" t="s" s="48">
        <v>69</v>
      </c>
      <c r="J8" t="s" s="48">
        <v>69</v>
      </c>
      <c r="K8" s="72"/>
      <c r="L8" s="72"/>
      <c r="M8" s="50"/>
      <c r="N8" s="49"/>
      <c r="O8" s="50"/>
      <c r="P8" s="50"/>
      <c r="Q8" s="30">
        <v>4</v>
      </c>
      <c r="R8" s="61"/>
      <c r="S8" s="46">
        <f>INDEX('Locations'!$D$6:$D$455,MATCH(B8,'Locations'!$A$6:$A$455,0))</f>
        <v>42.7307708305265</v>
      </c>
      <c r="T8" s="46">
        <f>INDEX('Locations'!$E$6:$E$455,MATCH(B8,'Locations'!$A$6:$A$455,0))</f>
        <v>-73.6772241855531</v>
      </c>
      <c r="U8" s="46">
        <f>INDEX('Locations'!$D$6:$D$455,MATCH(C8,'Locations'!$A$6:$A$455,0))</f>
        <v>42.7330583616459</v>
      </c>
      <c r="V8" s="73">
        <f>INDEX('Locations'!$E$6:$E$455,MATCH(C8,'Locations'!$A$6:$A$455,0))</f>
        <v>-73.6765397817569</v>
      </c>
      <c r="W8" s="44"/>
    </row>
    <row r="9" ht="23.1" customHeight="1">
      <c r="A9" t="s" s="24">
        <v>617</v>
      </c>
      <c r="B9" t="s" s="53">
        <v>220</v>
      </c>
      <c r="C9" t="s" s="53">
        <v>221</v>
      </c>
      <c r="D9" t="s" s="53">
        <v>614</v>
      </c>
      <c r="E9" s="74">
        <f>2*6371000*ASIN(SQRT(MIN(1,SIN(RADIANS(U9-S9)/2)^2+COS(RADIANS(S9))*COS(RADIANS(U9))*SIN(RADIANS(V9-T9)/2)^2)))</f>
        <v>83.0995333300654</v>
      </c>
      <c r="F9" t="s" s="48">
        <v>70</v>
      </c>
      <c r="G9" t="s" s="48">
        <v>69</v>
      </c>
      <c r="H9" t="s" s="48">
        <v>69</v>
      </c>
      <c r="I9" t="s" s="48">
        <v>69</v>
      </c>
      <c r="J9" t="s" s="48">
        <v>69</v>
      </c>
      <c r="K9" s="72"/>
      <c r="L9" s="72"/>
      <c r="M9" s="50"/>
      <c r="N9" s="49"/>
      <c r="O9" s="50"/>
      <c r="P9" s="50"/>
      <c r="Q9" s="32">
        <v>5</v>
      </c>
      <c r="R9" s="64"/>
      <c r="S9" s="54">
        <f>INDEX('Locations'!$D$6:$D$455,MATCH(B9,'Locations'!$A$6:$A$455,0))</f>
        <v>42.7307708305265</v>
      </c>
      <c r="T9" s="54">
        <f>INDEX('Locations'!$E$6:$E$455,MATCH(B9,'Locations'!$A$6:$A$455,0))</f>
        <v>-73.6772241855531</v>
      </c>
      <c r="U9" s="54">
        <f>INDEX('Locations'!$D$6:$D$455,MATCH(C9,'Locations'!$A$6:$A$455,0))</f>
        <v>42.7306443840828</v>
      </c>
      <c r="V9" s="75">
        <f>INDEX('Locations'!$E$6:$E$455,MATCH(C9,'Locations'!$A$6:$A$455,0))</f>
        <v>-73.6762214544098</v>
      </c>
      <c r="W9" s="44"/>
    </row>
    <row r="10" ht="23.1" customHeight="1">
      <c r="A10" t="s" s="21">
        <v>618</v>
      </c>
      <c r="B10" t="s" s="45">
        <v>222</v>
      </c>
      <c r="C10" t="s" s="45">
        <v>221</v>
      </c>
      <c r="D10" t="s" s="45">
        <v>614</v>
      </c>
      <c r="E10" s="71">
        <f>2*6371000*ASIN(SQRT(MIN(1,SIN(RADIANS(U10-S10)/2)^2+COS(RADIANS(S10))*COS(RADIANS(U10))*SIN(RADIANS(V10-T10)/2)^2)))</f>
        <v>57.3999659773673</v>
      </c>
      <c r="F10" t="s" s="48">
        <v>70</v>
      </c>
      <c r="G10" t="s" s="48">
        <v>69</v>
      </c>
      <c r="H10" t="s" s="48">
        <v>69</v>
      </c>
      <c r="I10" t="s" s="48">
        <v>69</v>
      </c>
      <c r="J10" t="s" s="48">
        <v>69</v>
      </c>
      <c r="K10" s="72"/>
      <c r="L10" s="72"/>
      <c r="M10" s="50"/>
      <c r="N10" s="49"/>
      <c r="O10" s="50"/>
      <c r="P10" s="50"/>
      <c r="Q10" s="30">
        <v>6</v>
      </c>
      <c r="R10" s="61"/>
      <c r="S10" s="46">
        <f>INDEX('Locations'!$D$6:$D$455,MATCH(B10,'Locations'!$A$6:$A$455,0))</f>
        <v>42.7309432574953</v>
      </c>
      <c r="T10" s="46">
        <f>INDEX('Locations'!$E$6:$E$455,MATCH(B10,'Locations'!$A$6:$A$455,0))</f>
        <v>-73.67564846518511</v>
      </c>
      <c r="U10" s="46">
        <f>INDEX('Locations'!$D$6:$D$455,MATCH(C10,'Locations'!$A$6:$A$455,0))</f>
        <v>42.7306443840828</v>
      </c>
      <c r="V10" s="73">
        <f>INDEX('Locations'!$E$6:$E$455,MATCH(C10,'Locations'!$A$6:$A$455,0))</f>
        <v>-73.6762214544098</v>
      </c>
      <c r="W10" s="44"/>
    </row>
    <row r="11" ht="23.1" customHeight="1">
      <c r="A11" t="s" s="24">
        <v>619</v>
      </c>
      <c r="B11" t="s" s="53">
        <v>223</v>
      </c>
      <c r="C11" t="s" s="53">
        <v>226</v>
      </c>
      <c r="D11" t="s" s="53">
        <v>614</v>
      </c>
      <c r="E11" s="74">
        <f>2*6371000*ASIN(SQRT(MIN(1,SIN(RADIANS(U11-S11)/2)^2+COS(RADIANS(S11))*COS(RADIANS(U11))*SIN(RADIANS(V11-T11)/2)^2)))</f>
        <v>68.3230405513612</v>
      </c>
      <c r="F11" t="s" s="48">
        <v>70</v>
      </c>
      <c r="G11" t="s" s="48">
        <v>69</v>
      </c>
      <c r="H11" t="s" s="48">
        <v>69</v>
      </c>
      <c r="I11" t="s" s="48">
        <v>69</v>
      </c>
      <c r="J11" t="s" s="48">
        <v>69</v>
      </c>
      <c r="K11" s="72"/>
      <c r="L11" s="72"/>
      <c r="M11" s="50"/>
      <c r="N11" s="49"/>
      <c r="O11" s="50"/>
      <c r="P11" s="50"/>
      <c r="Q11" s="32">
        <v>7</v>
      </c>
      <c r="R11" s="64"/>
      <c r="S11" s="54">
        <f>INDEX('Locations'!$D$6:$D$455,MATCH(B11,'Locations'!$A$6:$A$455,0))</f>
        <v>42.7319088485206</v>
      </c>
      <c r="T11" s="54">
        <f>INDEX('Locations'!$E$6:$E$455,MATCH(B11,'Locations'!$A$6:$A$455,0))</f>
        <v>-73.6746298176746</v>
      </c>
      <c r="U11" s="54">
        <f>INDEX('Locations'!$D$6:$D$455,MATCH(C11,'Locations'!$A$6:$A$455,0))</f>
        <v>42.7313455870892</v>
      </c>
      <c r="V11" s="75">
        <f>INDEX('Locations'!$E$6:$E$455,MATCH(C11,'Locations'!$A$6:$A$455,0))</f>
        <v>-73.67429557396019</v>
      </c>
      <c r="W11" s="44"/>
    </row>
    <row r="12" ht="23.1" customHeight="1">
      <c r="A12" t="s" s="21">
        <v>620</v>
      </c>
      <c r="B12" t="s" s="45">
        <v>225</v>
      </c>
      <c r="C12" t="s" s="45">
        <v>226</v>
      </c>
      <c r="D12" t="s" s="45">
        <v>614</v>
      </c>
      <c r="E12" s="71">
        <f>2*6371000*ASIN(SQRT(MIN(1,SIN(RADIANS(U12-S12)/2)^2+COS(RADIANS(S12))*COS(RADIANS(U12))*SIN(RADIANS(V12-T12)/2)^2)))</f>
        <v>63.1278671798486</v>
      </c>
      <c r="F12" t="s" s="48">
        <v>70</v>
      </c>
      <c r="G12" t="s" s="48">
        <v>69</v>
      </c>
      <c r="H12" t="s" s="48">
        <v>69</v>
      </c>
      <c r="I12" t="s" s="48">
        <v>69</v>
      </c>
      <c r="J12" t="s" s="48">
        <v>69</v>
      </c>
      <c r="K12" s="72"/>
      <c r="L12" s="72"/>
      <c r="M12" s="50"/>
      <c r="N12" s="49"/>
      <c r="O12" s="50"/>
      <c r="P12" s="50"/>
      <c r="Q12" s="30">
        <v>8</v>
      </c>
      <c r="R12" s="61"/>
      <c r="S12" s="46">
        <f>INDEX('Locations'!$D$6:$D$455,MATCH(B12,'Locations'!$A$6:$A$455,0))</f>
        <v>42.7309145196672</v>
      </c>
      <c r="T12" s="46">
        <f>INDEX('Locations'!$E$6:$E$455,MATCH(B12,'Locations'!$A$6:$A$455,0))</f>
        <v>-73.6737926167518</v>
      </c>
      <c r="U12" s="46">
        <f>INDEX('Locations'!$D$6:$D$455,MATCH(C12,'Locations'!$A$6:$A$455,0))</f>
        <v>42.7313455870892</v>
      </c>
      <c r="V12" s="73">
        <f>INDEX('Locations'!$E$6:$E$455,MATCH(C12,'Locations'!$A$6:$A$455,0))</f>
        <v>-73.67429557396019</v>
      </c>
      <c r="W12" s="44"/>
    </row>
    <row r="13" ht="23.1" customHeight="1">
      <c r="A13" t="s" s="24">
        <v>621</v>
      </c>
      <c r="B13" t="s" s="53">
        <v>228</v>
      </c>
      <c r="C13" t="s" s="53">
        <v>225</v>
      </c>
      <c r="D13" t="s" s="53">
        <v>614</v>
      </c>
      <c r="E13" s="74">
        <f>2*6371000*ASIN(SQRT(MIN(1,SIN(RADIANS(U13-S13)/2)^2+COS(RADIANS(S13))*COS(RADIANS(U13))*SIN(RADIANS(V13-T13)/2)^2)))</f>
        <v>66.00215661660231</v>
      </c>
      <c r="F13" t="s" s="48">
        <v>70</v>
      </c>
      <c r="G13" t="s" s="48">
        <v>69</v>
      </c>
      <c r="H13" t="s" s="48">
        <v>69</v>
      </c>
      <c r="I13" t="s" s="48">
        <v>69</v>
      </c>
      <c r="J13" t="s" s="48">
        <v>69</v>
      </c>
      <c r="K13" s="72"/>
      <c r="L13" s="72"/>
      <c r="M13" s="50"/>
      <c r="N13" s="49"/>
      <c r="O13" s="50"/>
      <c r="P13" s="50"/>
      <c r="Q13" s="32">
        <v>9</v>
      </c>
      <c r="R13" s="64"/>
      <c r="S13" s="54">
        <f>INDEX('Locations'!$D$6:$D$455,MATCH(B13,'Locations'!$A$6:$A$455,0))</f>
        <v>42.7311271795954</v>
      </c>
      <c r="T13" s="54">
        <f>INDEX('Locations'!$E$6:$E$455,MATCH(B13,'Locations'!$A$6:$A$455,0))</f>
        <v>-73.6730381809393</v>
      </c>
      <c r="U13" s="54">
        <f>INDEX('Locations'!$D$6:$D$455,MATCH(C13,'Locations'!$A$6:$A$455,0))</f>
        <v>42.7309145196672</v>
      </c>
      <c r="V13" s="75">
        <f>INDEX('Locations'!$E$6:$E$455,MATCH(C13,'Locations'!$A$6:$A$455,0))</f>
        <v>-73.6737926167518</v>
      </c>
      <c r="W13" s="44"/>
    </row>
    <row r="14" ht="23.1" customHeight="1">
      <c r="A14" t="s" s="21">
        <v>622</v>
      </c>
      <c r="B14" t="s" s="45">
        <v>228</v>
      </c>
      <c r="C14" t="s" s="45">
        <v>227</v>
      </c>
      <c r="D14" t="s" s="45">
        <v>614</v>
      </c>
      <c r="E14" s="71">
        <f>2*6371000*ASIN(SQRT(MIN(1,SIN(RADIANS(U14-S14)/2)^2+COS(RADIANS(S14))*COS(RADIANS(U14))*SIN(RADIANS(V14-T14)/2)^2)))</f>
        <v>93.5666527112112</v>
      </c>
      <c r="F14" t="s" s="48">
        <v>70</v>
      </c>
      <c r="G14" t="s" s="48">
        <v>69</v>
      </c>
      <c r="H14" t="s" s="48">
        <v>69</v>
      </c>
      <c r="I14" t="s" s="48">
        <v>69</v>
      </c>
      <c r="J14" t="s" s="48">
        <v>69</v>
      </c>
      <c r="K14" s="72"/>
      <c r="L14" s="72"/>
      <c r="M14" s="50"/>
      <c r="N14" s="49"/>
      <c r="O14" s="50"/>
      <c r="P14" s="50"/>
      <c r="Q14" s="30">
        <v>10</v>
      </c>
      <c r="R14" s="61"/>
      <c r="S14" s="46">
        <f>INDEX('Locations'!$D$6:$D$455,MATCH(B14,'Locations'!$A$6:$A$455,0))</f>
        <v>42.7311271795954</v>
      </c>
      <c r="T14" s="46">
        <f>INDEX('Locations'!$E$6:$E$455,MATCH(B14,'Locations'!$A$6:$A$455,0))</f>
        <v>-73.6730381809393</v>
      </c>
      <c r="U14" s="46">
        <f>INDEX('Locations'!$D$6:$D$455,MATCH(C14,'Locations'!$A$6:$A$455,0))</f>
        <v>42.7312651211704</v>
      </c>
      <c r="V14" s="73">
        <f>INDEX('Locations'!$E$6:$E$455,MATCH(C14,'Locations'!$A$6:$A$455,0))</f>
        <v>-73.6719081188573</v>
      </c>
      <c r="W14" s="44"/>
    </row>
    <row r="15" ht="23.1" customHeight="1">
      <c r="A15" t="s" s="24">
        <v>623</v>
      </c>
      <c r="B15" t="s" s="53">
        <v>218</v>
      </c>
      <c r="C15" t="s" s="53">
        <v>229</v>
      </c>
      <c r="D15" t="s" s="53">
        <v>614</v>
      </c>
      <c r="E15" s="74">
        <f>2*6371000*ASIN(SQRT(MIN(1,SIN(RADIANS(U15-S15)/2)^2+COS(RADIANS(S15))*COS(RADIANS(U15))*SIN(RADIANS(V15-T15)/2)^2)))</f>
        <v>87.5574064114294</v>
      </c>
      <c r="F15" t="s" s="48">
        <v>70</v>
      </c>
      <c r="G15" t="s" s="48">
        <v>69</v>
      </c>
      <c r="H15" t="s" s="48">
        <v>69</v>
      </c>
      <c r="I15" t="s" s="48">
        <v>69</v>
      </c>
      <c r="J15" t="s" s="48">
        <v>69</v>
      </c>
      <c r="K15" s="72"/>
      <c r="L15" s="72"/>
      <c r="M15" s="50"/>
      <c r="N15" s="49"/>
      <c r="O15" s="50"/>
      <c r="P15" s="50"/>
      <c r="Q15" s="32">
        <v>11</v>
      </c>
      <c r="R15" s="64"/>
      <c r="S15" s="54">
        <f>INDEX('Locations'!$D$6:$D$455,MATCH(B15,'Locations'!$A$6:$A$455,0))</f>
        <v>42.732426129427</v>
      </c>
      <c r="T15" s="54">
        <f>INDEX('Locations'!$E$6:$E$455,MATCH(B15,'Locations'!$A$6:$A$455,0))</f>
        <v>-73.6716057078776</v>
      </c>
      <c r="U15" s="54">
        <f>INDEX('Locations'!$D$6:$D$455,MATCH(C15,'Locations'!$A$6:$A$455,0))</f>
        <v>42.7325065953458</v>
      </c>
      <c r="V15" s="75">
        <f>INDEX('Locations'!$E$6:$E$455,MATCH(C15,'Locations'!$A$6:$A$455,0))</f>
        <v>-73.6726721044902</v>
      </c>
      <c r="W15" s="44"/>
    </row>
    <row r="16" ht="23.1" customHeight="1">
      <c r="A16" t="s" s="21">
        <v>624</v>
      </c>
      <c r="B16" t="s" s="45">
        <v>224</v>
      </c>
      <c r="C16" t="s" s="45">
        <v>229</v>
      </c>
      <c r="D16" t="s" s="45">
        <v>614</v>
      </c>
      <c r="E16" s="71">
        <f>2*6371000*ASIN(SQRT(MIN(1,SIN(RADIANS(U16-S16)/2)^2+COS(RADIANS(S16))*COS(RADIANS(U16))*SIN(RADIANS(V16-T16)/2)^2)))</f>
        <v>135.860528182148</v>
      </c>
      <c r="F16" t="s" s="48">
        <v>70</v>
      </c>
      <c r="G16" t="s" s="48">
        <v>69</v>
      </c>
      <c r="H16" t="s" s="48">
        <v>69</v>
      </c>
      <c r="I16" t="s" s="48">
        <v>69</v>
      </c>
      <c r="J16" t="s" s="48">
        <v>69</v>
      </c>
      <c r="K16" s="72"/>
      <c r="L16" s="72"/>
      <c r="M16" s="50"/>
      <c r="N16" s="49"/>
      <c r="O16" s="50"/>
      <c r="P16" s="50"/>
      <c r="Q16" s="30">
        <v>12</v>
      </c>
      <c r="R16" s="61"/>
      <c r="S16" s="46">
        <f>INDEX('Locations'!$D$6:$D$455,MATCH(B16,'Locations'!$A$6:$A$455,0))</f>
        <v>42.7327135077083</v>
      </c>
      <c r="T16" s="46">
        <f>INDEX('Locations'!$E$6:$E$455,MATCH(B16,'Locations'!$A$6:$A$455,0))</f>
        <v>-73.6743114903275</v>
      </c>
      <c r="U16" s="46">
        <f>INDEX('Locations'!$D$6:$D$455,MATCH(C16,'Locations'!$A$6:$A$455,0))</f>
        <v>42.7325065953458</v>
      </c>
      <c r="V16" s="73">
        <f>INDEX('Locations'!$E$6:$E$455,MATCH(C16,'Locations'!$A$6:$A$455,0))</f>
        <v>-73.6726721044902</v>
      </c>
      <c r="W16" s="44"/>
    </row>
    <row r="17" ht="23.1" customHeight="1">
      <c r="A17" t="s" s="24">
        <v>625</v>
      </c>
      <c r="B17" t="s" s="53">
        <v>223</v>
      </c>
      <c r="C17" t="s" s="53">
        <v>230</v>
      </c>
      <c r="D17" t="s" s="53">
        <v>614</v>
      </c>
      <c r="E17" s="74">
        <f>2*6371000*ASIN(SQRT(MIN(1,SIN(RADIANS(U17-S17)/2)^2+COS(RADIANS(S17))*COS(RADIANS(U17))*SIN(RADIANS(V17-T17)/2)^2)))</f>
        <v>71.62445421443169</v>
      </c>
      <c r="F17" t="s" s="48">
        <v>70</v>
      </c>
      <c r="G17" t="s" s="48">
        <v>69</v>
      </c>
      <c r="H17" t="s" s="48">
        <v>69</v>
      </c>
      <c r="I17" t="s" s="48">
        <v>69</v>
      </c>
      <c r="J17" t="s" s="48">
        <v>69</v>
      </c>
      <c r="K17" s="72"/>
      <c r="L17" s="72"/>
      <c r="M17" s="50"/>
      <c r="N17" s="49"/>
      <c r="O17" s="50"/>
      <c r="P17" s="50"/>
      <c r="Q17" s="32">
        <v>13</v>
      </c>
      <c r="R17" s="64"/>
      <c r="S17" s="54">
        <f>INDEX('Locations'!$D$6:$D$455,MATCH(B17,'Locations'!$A$6:$A$455,0))</f>
        <v>42.7319088485206</v>
      </c>
      <c r="T17" s="54">
        <f>INDEX('Locations'!$E$6:$E$455,MATCH(B17,'Locations'!$A$6:$A$455,0))</f>
        <v>-73.6746298176746</v>
      </c>
      <c r="U17" s="54">
        <f>INDEX('Locations'!$D$6:$D$455,MATCH(C17,'Locations'!$A$6:$A$455,0))</f>
        <v>42.7313685773517</v>
      </c>
      <c r="V17" s="75">
        <f>INDEX('Locations'!$E$6:$E$455,MATCH(C17,'Locations'!$A$6:$A$455,0))</f>
        <v>-73.6751073086951</v>
      </c>
      <c r="W17" s="44"/>
    </row>
    <row r="18" ht="23.1" customHeight="1">
      <c r="A18" t="s" s="21">
        <v>626</v>
      </c>
      <c r="B18" t="s" s="45">
        <v>222</v>
      </c>
      <c r="C18" t="s" s="45">
        <v>230</v>
      </c>
      <c r="D18" t="s" s="45">
        <v>614</v>
      </c>
      <c r="E18" s="71">
        <f>2*6371000*ASIN(SQRT(MIN(1,SIN(RADIANS(U18-S18)/2)^2+COS(RADIANS(S18))*COS(RADIANS(U18))*SIN(RADIANS(V18-T18)/2)^2)))</f>
        <v>64.7328842961042</v>
      </c>
      <c r="F18" t="s" s="48">
        <v>70</v>
      </c>
      <c r="G18" t="s" s="48">
        <v>69</v>
      </c>
      <c r="H18" t="s" s="48">
        <v>69</v>
      </c>
      <c r="I18" t="s" s="48">
        <v>69</v>
      </c>
      <c r="J18" t="s" s="48">
        <v>69</v>
      </c>
      <c r="K18" s="72"/>
      <c r="L18" s="72"/>
      <c r="M18" s="50"/>
      <c r="N18" s="49"/>
      <c r="O18" s="50"/>
      <c r="P18" s="50"/>
      <c r="Q18" s="30">
        <v>14</v>
      </c>
      <c r="R18" s="61"/>
      <c r="S18" s="46">
        <f>INDEX('Locations'!$D$6:$D$455,MATCH(B18,'Locations'!$A$6:$A$455,0))</f>
        <v>42.7309432574953</v>
      </c>
      <c r="T18" s="46">
        <f>INDEX('Locations'!$E$6:$E$455,MATCH(B18,'Locations'!$A$6:$A$455,0))</f>
        <v>-73.67564846518511</v>
      </c>
      <c r="U18" s="46">
        <f>INDEX('Locations'!$D$6:$D$455,MATCH(C18,'Locations'!$A$6:$A$455,0))</f>
        <v>42.7313685773517</v>
      </c>
      <c r="V18" s="73">
        <f>INDEX('Locations'!$E$6:$E$455,MATCH(C18,'Locations'!$A$6:$A$455,0))</f>
        <v>-73.6751073086951</v>
      </c>
      <c r="W18" s="44"/>
    </row>
    <row r="19" ht="23.1" customHeight="1">
      <c r="A19" t="s" s="24">
        <v>627</v>
      </c>
      <c r="B19" t="s" s="53">
        <v>225</v>
      </c>
      <c r="C19" t="s" s="53">
        <v>231</v>
      </c>
      <c r="D19" t="s" s="53">
        <v>614</v>
      </c>
      <c r="E19" s="74">
        <f>2*6371000*ASIN(SQRT(MIN(1,SIN(RADIANS(U19-S19)/2)^2+COS(RADIANS(S19))*COS(RADIANS(U19))*SIN(RADIANS(V19-T19)/2)^2)))</f>
        <v>40.3888850279887</v>
      </c>
      <c r="F19" t="s" s="48">
        <v>70</v>
      </c>
      <c r="G19" t="s" s="48">
        <v>69</v>
      </c>
      <c r="H19" t="s" s="48">
        <v>69</v>
      </c>
      <c r="I19" t="s" s="48">
        <v>69</v>
      </c>
      <c r="J19" t="s" s="48">
        <v>69</v>
      </c>
      <c r="K19" s="72"/>
      <c r="L19" s="72"/>
      <c r="M19" s="50"/>
      <c r="N19" s="49"/>
      <c r="O19" s="50"/>
      <c r="P19" s="50"/>
      <c r="Q19" s="32">
        <v>15</v>
      </c>
      <c r="R19" s="64"/>
      <c r="S19" s="54">
        <f>INDEX('Locations'!$D$6:$D$455,MATCH(B19,'Locations'!$A$6:$A$455,0))</f>
        <v>42.7309145196672</v>
      </c>
      <c r="T19" s="54">
        <f>INDEX('Locations'!$E$6:$E$455,MATCH(B19,'Locations'!$A$6:$A$455,0))</f>
        <v>-73.6737926167518</v>
      </c>
      <c r="U19" s="54">
        <f>INDEX('Locations'!$D$6:$D$455,MATCH(C19,'Locations'!$A$6:$A$455,0))</f>
        <v>42.7306053006365</v>
      </c>
      <c r="V19" s="75">
        <f>INDEX('Locations'!$E$6:$E$455,MATCH(C19,'Locations'!$A$6:$A$455,0))</f>
        <v>-73.6740520535397</v>
      </c>
      <c r="W19" s="44"/>
    </row>
    <row r="20" ht="23.1" customHeight="1">
      <c r="A20" t="s" s="21">
        <v>628</v>
      </c>
      <c r="B20" t="s" s="45">
        <v>232</v>
      </c>
      <c r="C20" t="s" s="45">
        <v>231</v>
      </c>
      <c r="D20" t="s" s="45">
        <v>614</v>
      </c>
      <c r="E20" s="71">
        <f>2*6371000*ASIN(SQRT(MIN(1,SIN(RADIANS(U20-S20)/2)^2+COS(RADIANS(S20))*COS(RADIANS(U20))*SIN(RADIANS(V20-T20)/2)^2)))</f>
        <v>47.8589146347606</v>
      </c>
      <c r="F20" t="s" s="48">
        <v>70</v>
      </c>
      <c r="G20" t="s" s="48">
        <v>69</v>
      </c>
      <c r="H20" t="s" s="48">
        <v>69</v>
      </c>
      <c r="I20" t="s" s="48">
        <v>69</v>
      </c>
      <c r="J20" t="s" s="48">
        <v>69</v>
      </c>
      <c r="K20" s="72"/>
      <c r="L20" s="72"/>
      <c r="M20" s="50"/>
      <c r="N20" s="49"/>
      <c r="O20" s="50"/>
      <c r="P20" s="50"/>
      <c r="Q20" s="30">
        <v>16</v>
      </c>
      <c r="R20" s="61"/>
      <c r="S20" s="46">
        <f>INDEX('Locations'!$D$6:$D$455,MATCH(B20,'Locations'!$A$6:$A$455,0))</f>
        <v>42.7304294251283</v>
      </c>
      <c r="T20" s="46">
        <f>INDEX('Locations'!$E$6:$E$455,MATCH(B20,'Locations'!$A$6:$A$455,0))</f>
        <v>-73.6745868434827</v>
      </c>
      <c r="U20" s="46">
        <f>INDEX('Locations'!$D$6:$D$455,MATCH(C20,'Locations'!$A$6:$A$455,0))</f>
        <v>42.7306053006365</v>
      </c>
      <c r="V20" s="73">
        <f>INDEX('Locations'!$E$6:$E$455,MATCH(C20,'Locations'!$A$6:$A$455,0))</f>
        <v>-73.6740520535397</v>
      </c>
      <c r="W20" s="44"/>
    </row>
    <row r="21" ht="23.1" customHeight="1">
      <c r="A21" t="s" s="24">
        <v>629</v>
      </c>
      <c r="B21" t="s" s="53">
        <v>233</v>
      </c>
      <c r="C21" t="s" s="53">
        <v>232</v>
      </c>
      <c r="D21" t="s" s="53">
        <v>614</v>
      </c>
      <c r="E21" s="74">
        <f>2*6371000*ASIN(SQRT(MIN(1,SIN(RADIANS(U21-S21)/2)^2+COS(RADIANS(S21))*COS(RADIANS(U21))*SIN(RADIANS(V21-T21)/2)^2)))</f>
        <v>14.2343380370414</v>
      </c>
      <c r="F21" t="s" s="48">
        <v>70</v>
      </c>
      <c r="G21" t="s" s="48">
        <v>69</v>
      </c>
      <c r="H21" t="s" s="48">
        <v>69</v>
      </c>
      <c r="I21" t="s" s="48">
        <v>69</v>
      </c>
      <c r="J21" t="s" s="48">
        <v>69</v>
      </c>
      <c r="K21" s="72"/>
      <c r="L21" s="72"/>
      <c r="M21" s="50"/>
      <c r="N21" s="49"/>
      <c r="O21" s="50"/>
      <c r="P21" s="50"/>
      <c r="Q21" s="32">
        <v>17</v>
      </c>
      <c r="R21" s="64"/>
      <c r="S21" s="54">
        <f>INDEX('Locations'!$D$6:$D$455,MATCH(B21,'Locations'!$A$6:$A$455,0))</f>
        <v>42.7303340155389</v>
      </c>
      <c r="T21" s="54">
        <f>INDEX('Locations'!$E$6:$E$455,MATCH(B21,'Locations'!$A$6:$A$455,0))</f>
        <v>-73.6747030329644</v>
      </c>
      <c r="U21" s="54">
        <f>INDEX('Locations'!$D$6:$D$455,MATCH(C21,'Locations'!$A$6:$A$455,0))</f>
        <v>42.7304294251283</v>
      </c>
      <c r="V21" s="75">
        <f>INDEX('Locations'!$E$6:$E$455,MATCH(C21,'Locations'!$A$6:$A$455,0))</f>
        <v>-73.6745868434827</v>
      </c>
      <c r="W21" s="44"/>
    </row>
    <row r="22" ht="23.1" customHeight="1">
      <c r="A22" t="s" s="21">
        <v>630</v>
      </c>
      <c r="B22" t="s" s="45">
        <v>221</v>
      </c>
      <c r="C22" t="s" s="45">
        <v>235</v>
      </c>
      <c r="D22" t="s" s="45">
        <v>614</v>
      </c>
      <c r="E22" s="71">
        <f>2*6371000*ASIN(SQRT(MIN(1,SIN(RADIANS(U22-S22)/2)^2+COS(RADIANS(S22))*COS(RADIANS(U22))*SIN(RADIANS(V22-T22)/2)^2)))</f>
        <v>47.6006127052776</v>
      </c>
      <c r="F22" t="s" s="48">
        <v>70</v>
      </c>
      <c r="G22" t="s" s="48">
        <v>69</v>
      </c>
      <c r="H22" t="s" s="48">
        <v>69</v>
      </c>
      <c r="I22" t="s" s="48">
        <v>69</v>
      </c>
      <c r="J22" t="s" s="48">
        <v>69</v>
      </c>
      <c r="K22" s="72"/>
      <c r="L22" s="72"/>
      <c r="M22" s="50"/>
      <c r="N22" s="49"/>
      <c r="O22" s="50"/>
      <c r="P22" s="50"/>
      <c r="Q22" s="30">
        <v>18</v>
      </c>
      <c r="R22" s="61"/>
      <c r="S22" s="46">
        <f>INDEX('Locations'!$D$6:$D$455,MATCH(B22,'Locations'!$A$6:$A$455,0))</f>
        <v>42.7306443840828</v>
      </c>
      <c r="T22" s="46">
        <f>INDEX('Locations'!$E$6:$E$455,MATCH(B22,'Locations'!$A$6:$A$455,0))</f>
        <v>-73.6762214544098</v>
      </c>
      <c r="U22" s="46">
        <f>INDEX('Locations'!$D$6:$D$455,MATCH(C22,'Locations'!$A$6:$A$455,0))</f>
        <v>42.7303075767371</v>
      </c>
      <c r="V22" s="73">
        <f>INDEX('Locations'!$E$6:$E$455,MATCH(C22,'Locations'!$A$6:$A$455,0))</f>
        <v>-73.6758617445077</v>
      </c>
      <c r="W22" s="44"/>
    </row>
    <row r="23" ht="23.1" customHeight="1">
      <c r="A23" t="s" s="24">
        <v>631</v>
      </c>
      <c r="B23" t="s" s="53">
        <v>234</v>
      </c>
      <c r="C23" t="s" s="53">
        <v>235</v>
      </c>
      <c r="D23" t="s" s="53">
        <v>614</v>
      </c>
      <c r="E23" s="74">
        <f>2*6371000*ASIN(SQRT(MIN(1,SIN(RADIANS(U23-S23)/2)^2+COS(RADIANS(S23))*COS(RADIANS(U23))*SIN(RADIANS(V23-T23)/2)^2)))</f>
        <v>71.8401473652776</v>
      </c>
      <c r="F23" t="s" s="48">
        <v>70</v>
      </c>
      <c r="G23" t="s" s="48">
        <v>69</v>
      </c>
      <c r="H23" t="s" s="48">
        <v>69</v>
      </c>
      <c r="I23" t="s" s="48">
        <v>69</v>
      </c>
      <c r="J23" t="s" s="48">
        <v>69</v>
      </c>
      <c r="K23" s="72"/>
      <c r="L23" s="72"/>
      <c r="M23" s="50"/>
      <c r="N23" s="49"/>
      <c r="O23" s="50"/>
      <c r="P23" s="50"/>
      <c r="Q23" s="32">
        <v>19</v>
      </c>
      <c r="R23" s="64"/>
      <c r="S23" s="54">
        <f>INDEX('Locations'!$D$6:$D$455,MATCH(B23,'Locations'!$A$6:$A$455,0))</f>
        <v>42.7300857207039</v>
      </c>
      <c r="T23" s="54">
        <f>INDEX('Locations'!$E$6:$E$455,MATCH(B23,'Locations'!$A$6:$A$455,0))</f>
        <v>-73.6750356850421</v>
      </c>
      <c r="U23" s="54">
        <f>INDEX('Locations'!$D$6:$D$455,MATCH(C23,'Locations'!$A$6:$A$455,0))</f>
        <v>42.7303075767371</v>
      </c>
      <c r="V23" s="75">
        <f>INDEX('Locations'!$E$6:$E$455,MATCH(C23,'Locations'!$A$6:$A$455,0))</f>
        <v>-73.6758617445077</v>
      </c>
      <c r="W23" s="44"/>
    </row>
    <row r="24" ht="23.1" customHeight="1">
      <c r="A24" t="s" s="21">
        <v>632</v>
      </c>
      <c r="B24" t="s" s="45">
        <v>233</v>
      </c>
      <c r="C24" t="s" s="45">
        <v>234</v>
      </c>
      <c r="D24" t="s" s="45">
        <v>614</v>
      </c>
      <c r="E24" s="71">
        <f>2*6371000*ASIN(SQRT(MIN(1,SIN(RADIANS(U24-S24)/2)^2+COS(RADIANS(S24))*COS(RADIANS(U24))*SIN(RADIANS(V24-T24)/2)^2)))</f>
        <v>38.7364201021592</v>
      </c>
      <c r="F24" t="s" s="48">
        <v>70</v>
      </c>
      <c r="G24" t="s" s="48">
        <v>69</v>
      </c>
      <c r="H24" t="s" s="48">
        <v>69</v>
      </c>
      <c r="I24" t="s" s="48">
        <v>69</v>
      </c>
      <c r="J24" t="s" s="48">
        <v>69</v>
      </c>
      <c r="K24" s="72"/>
      <c r="L24" s="72"/>
      <c r="M24" s="50"/>
      <c r="N24" s="49"/>
      <c r="O24" s="50"/>
      <c r="P24" s="50"/>
      <c r="Q24" s="30">
        <v>20</v>
      </c>
      <c r="R24" s="61"/>
      <c r="S24" s="46">
        <f>INDEX('Locations'!$D$6:$D$455,MATCH(B24,'Locations'!$A$6:$A$455,0))</f>
        <v>42.7303340155389</v>
      </c>
      <c r="T24" s="46">
        <f>INDEX('Locations'!$E$6:$E$455,MATCH(B24,'Locations'!$A$6:$A$455,0))</f>
        <v>-73.6747030329644</v>
      </c>
      <c r="U24" s="46">
        <f>INDEX('Locations'!$D$6:$D$455,MATCH(C24,'Locations'!$A$6:$A$455,0))</f>
        <v>42.7300857207039</v>
      </c>
      <c r="V24" s="73">
        <f>INDEX('Locations'!$E$6:$E$455,MATCH(C24,'Locations'!$A$6:$A$455,0))</f>
        <v>-73.6750356850421</v>
      </c>
      <c r="W24" s="44"/>
    </row>
    <row r="25" ht="23.1" customHeight="1">
      <c r="A25" t="s" s="24">
        <v>633</v>
      </c>
      <c r="B25" t="s" s="53">
        <v>222</v>
      </c>
      <c r="C25" t="s" s="53">
        <v>236</v>
      </c>
      <c r="D25" t="s" s="53">
        <v>614</v>
      </c>
      <c r="E25" s="74">
        <f>2*6371000*ASIN(SQRT(MIN(1,SIN(RADIANS(U25-S25)/2)^2+COS(RADIANS(S25))*COS(RADIANS(U25))*SIN(RADIANS(V25-T25)/2)^2)))</f>
        <v>40.3359445418691</v>
      </c>
      <c r="F25" t="s" s="48">
        <v>70</v>
      </c>
      <c r="G25" t="s" s="48">
        <v>69</v>
      </c>
      <c r="H25" t="s" s="48">
        <v>69</v>
      </c>
      <c r="I25" t="s" s="48">
        <v>69</v>
      </c>
      <c r="J25" t="s" s="48">
        <v>69</v>
      </c>
      <c r="K25" s="72"/>
      <c r="L25" s="72"/>
      <c r="M25" s="50"/>
      <c r="N25" s="49"/>
      <c r="O25" s="50"/>
      <c r="P25" s="50"/>
      <c r="Q25" s="32">
        <v>21</v>
      </c>
      <c r="R25" s="64"/>
      <c r="S25" s="54">
        <f>INDEX('Locations'!$D$6:$D$455,MATCH(B25,'Locations'!$A$6:$A$455,0))</f>
        <v>42.7309432574953</v>
      </c>
      <c r="T25" s="54">
        <f>INDEX('Locations'!$E$6:$E$455,MATCH(B25,'Locations'!$A$6:$A$455,0))</f>
        <v>-73.67564846518511</v>
      </c>
      <c r="U25" s="54">
        <f>INDEX('Locations'!$D$6:$D$455,MATCH(C25,'Locations'!$A$6:$A$455,0))</f>
        <v>42.7307133548703</v>
      </c>
      <c r="V25" s="75">
        <f>INDEX('Locations'!$E$6:$E$455,MATCH(C25,'Locations'!$A$6:$A$455,0))</f>
        <v>-73.6752664723687</v>
      </c>
      <c r="W25" s="44"/>
    </row>
    <row r="26" ht="23.1" customHeight="1">
      <c r="A26" t="s" s="21">
        <v>634</v>
      </c>
      <c r="B26" t="s" s="45">
        <v>75</v>
      </c>
      <c r="C26" t="s" s="45">
        <v>236</v>
      </c>
      <c r="D26" t="s" s="45">
        <v>614</v>
      </c>
      <c r="E26" s="71">
        <f>2*6371000*ASIN(SQRT(MIN(1,SIN(RADIANS(U26-S26)/2)^2+COS(RADIANS(S26))*COS(RADIANS(U26))*SIN(RADIANS(V26-T26)/2)^2)))</f>
        <v>23.0866711227193</v>
      </c>
      <c r="F26" t="s" s="48">
        <v>70</v>
      </c>
      <c r="G26" t="s" s="48">
        <v>69</v>
      </c>
      <c r="H26" t="s" s="48">
        <v>69</v>
      </c>
      <c r="I26" t="s" s="48">
        <v>69</v>
      </c>
      <c r="J26" t="s" s="48">
        <v>69</v>
      </c>
      <c r="K26" s="72"/>
      <c r="L26" s="72"/>
      <c r="M26" s="50"/>
      <c r="N26" s="49"/>
      <c r="O26" s="50"/>
      <c r="P26" s="50"/>
      <c r="Q26" s="30">
        <v>22</v>
      </c>
      <c r="R26" s="61"/>
      <c r="S26" s="46">
        <f>INDEX('Locations'!$D$6:$D$455,MATCH(B26,'Locations'!$A$6:$A$455,0))</f>
        <v>42.7306562926605</v>
      </c>
      <c r="T26" s="46">
        <f>INDEX('Locations'!$E$6:$E$455,MATCH(B26,'Locations'!$A$6:$A$455,0))</f>
        <v>-73.67553824117169</v>
      </c>
      <c r="U26" s="46">
        <f>INDEX('Locations'!$D$6:$D$455,MATCH(C26,'Locations'!$A$6:$A$455,0))</f>
        <v>42.7307133548703</v>
      </c>
      <c r="V26" s="73">
        <f>INDEX('Locations'!$E$6:$E$455,MATCH(C26,'Locations'!$A$6:$A$455,0))</f>
        <v>-73.6752664723687</v>
      </c>
      <c r="W26" s="44"/>
    </row>
    <row r="27" ht="23.1" customHeight="1">
      <c r="A27" t="s" s="24">
        <v>635</v>
      </c>
      <c r="B27" t="s" s="53">
        <v>233</v>
      </c>
      <c r="C27" t="s" s="53">
        <v>236</v>
      </c>
      <c r="D27" t="s" s="53">
        <v>614</v>
      </c>
      <c r="E27" s="74">
        <f>2*6371000*ASIN(SQRT(MIN(1,SIN(RADIANS(U27-S27)/2)^2+COS(RADIANS(S27))*COS(RADIANS(U27))*SIN(RADIANS(V27-T27)/2)^2)))</f>
        <v>62.4270002060092</v>
      </c>
      <c r="F27" t="s" s="48">
        <v>70</v>
      </c>
      <c r="G27" t="s" s="48">
        <v>69</v>
      </c>
      <c r="H27" t="s" s="48">
        <v>69</v>
      </c>
      <c r="I27" t="s" s="48">
        <v>69</v>
      </c>
      <c r="J27" t="s" s="48">
        <v>69</v>
      </c>
      <c r="K27" s="72"/>
      <c r="L27" s="72"/>
      <c r="M27" s="50"/>
      <c r="N27" s="49"/>
      <c r="O27" s="50"/>
      <c r="P27" s="50"/>
      <c r="Q27" s="32">
        <v>23</v>
      </c>
      <c r="R27" s="64"/>
      <c r="S27" s="54">
        <f>INDEX('Locations'!$D$6:$D$455,MATCH(B27,'Locations'!$A$6:$A$455,0))</f>
        <v>42.7303340155389</v>
      </c>
      <c r="T27" s="54">
        <f>INDEX('Locations'!$E$6:$E$455,MATCH(B27,'Locations'!$A$6:$A$455,0))</f>
        <v>-73.6747030329644</v>
      </c>
      <c r="U27" s="54">
        <f>INDEX('Locations'!$D$6:$D$455,MATCH(C27,'Locations'!$A$6:$A$455,0))</f>
        <v>42.7307133548703</v>
      </c>
      <c r="V27" s="75">
        <f>INDEX('Locations'!$E$6:$E$455,MATCH(C27,'Locations'!$A$6:$A$455,0))</f>
        <v>-73.6752664723687</v>
      </c>
      <c r="W27" s="44"/>
    </row>
    <row r="28" ht="23.1" customHeight="1">
      <c r="A28" t="s" s="21">
        <v>636</v>
      </c>
      <c r="B28" t="s" s="45">
        <v>105</v>
      </c>
      <c r="C28" t="s" s="45">
        <v>237</v>
      </c>
      <c r="D28" t="s" s="45">
        <v>614</v>
      </c>
      <c r="E28" s="71">
        <f>2*6371000*ASIN(SQRT(MIN(1,SIN(RADIANS(U28-S28)/2)^2+COS(RADIANS(S28))*COS(RADIANS(U28))*SIN(RADIANS(V28-T28)/2)^2)))</f>
        <v>14.7067602744494</v>
      </c>
      <c r="F28" t="s" s="48">
        <v>70</v>
      </c>
      <c r="G28" t="s" s="48">
        <v>69</v>
      </c>
      <c r="H28" t="s" s="48">
        <v>69</v>
      </c>
      <c r="I28" t="s" s="48">
        <v>69</v>
      </c>
      <c r="J28" t="s" s="48">
        <v>69</v>
      </c>
      <c r="K28" s="72"/>
      <c r="L28" s="72"/>
      <c r="M28" s="50"/>
      <c r="N28" s="49"/>
      <c r="O28" s="50"/>
      <c r="P28" s="50"/>
      <c r="Q28" s="30">
        <v>24</v>
      </c>
      <c r="R28" s="61"/>
      <c r="S28" s="46">
        <f>INDEX('Locations'!$D$6:$D$455,MATCH(B28,'Locations'!$A$6:$A$455,0))</f>
        <v>42.7317963596702</v>
      </c>
      <c r="T28" s="46">
        <f>INDEX('Locations'!$E$6:$E$455,MATCH(B28,'Locations'!$A$6:$A$455,0))</f>
        <v>-73.6722539949815</v>
      </c>
      <c r="U28" s="46">
        <f>INDEX('Locations'!$D$6:$D$455,MATCH(C28,'Locations'!$A$6:$A$455,0))</f>
        <v>42.7316674507643</v>
      </c>
      <c r="V28" s="73">
        <f>INDEX('Locations'!$E$6:$E$455,MATCH(C28,'Locations'!$A$6:$A$455,0))</f>
        <v>-73.67221371311039</v>
      </c>
      <c r="W28" s="44"/>
    </row>
    <row r="29" ht="23.1" customHeight="1">
      <c r="A29" t="s" s="24">
        <v>637</v>
      </c>
      <c r="B29" t="s" s="53">
        <v>238</v>
      </c>
      <c r="C29" t="s" s="53">
        <v>237</v>
      </c>
      <c r="D29" t="s" s="53">
        <v>614</v>
      </c>
      <c r="E29" s="74">
        <f>2*6371000*ASIN(SQRT(MIN(1,SIN(RADIANS(U29-S29)/2)^2+COS(RADIANS(S29))*COS(RADIANS(U29))*SIN(RADIANS(V29-T29)/2)^2)))</f>
        <v>34.0718171436048</v>
      </c>
      <c r="F29" t="s" s="48">
        <v>70</v>
      </c>
      <c r="G29" t="s" s="48">
        <v>69</v>
      </c>
      <c r="H29" t="s" s="48">
        <v>69</v>
      </c>
      <c r="I29" t="s" s="48">
        <v>69</v>
      </c>
      <c r="J29" t="s" s="48">
        <v>69</v>
      </c>
      <c r="K29" s="72"/>
      <c r="L29" s="72"/>
      <c r="M29" s="50"/>
      <c r="N29" s="49"/>
      <c r="O29" s="50"/>
      <c r="P29" s="50"/>
      <c r="Q29" s="32">
        <v>25</v>
      </c>
      <c r="R29" s="64"/>
      <c r="S29" s="54">
        <f>INDEX('Locations'!$D$6:$D$455,MATCH(B29,'Locations'!$A$6:$A$455,0))</f>
        <v>42.7316594041724</v>
      </c>
      <c r="T29" s="54">
        <f>INDEX('Locations'!$E$6:$E$455,MATCH(B29,'Locations'!$A$6:$A$455,0))</f>
        <v>-73.6717967042858</v>
      </c>
      <c r="U29" s="54">
        <f>INDEX('Locations'!$D$6:$D$455,MATCH(C29,'Locations'!$A$6:$A$455,0))</f>
        <v>42.7316674507643</v>
      </c>
      <c r="V29" s="75">
        <f>INDEX('Locations'!$E$6:$E$455,MATCH(C29,'Locations'!$A$6:$A$455,0))</f>
        <v>-73.67221371311039</v>
      </c>
      <c r="W29" s="44"/>
    </row>
    <row r="30" ht="23.1" customHeight="1">
      <c r="A30" t="s" s="21">
        <v>638</v>
      </c>
      <c r="B30" t="s" s="45">
        <v>228</v>
      </c>
      <c r="C30" t="s" s="45">
        <v>240</v>
      </c>
      <c r="D30" t="s" s="45">
        <v>614</v>
      </c>
      <c r="E30" s="71">
        <f>2*6371000*ASIN(SQRT(MIN(1,SIN(RADIANS(U30-S30)/2)^2+COS(RADIANS(S30))*COS(RADIANS(U30))*SIN(RADIANS(V30-T30)/2)^2)))</f>
        <v>59.0217748637001</v>
      </c>
      <c r="F30" t="s" s="48">
        <v>70</v>
      </c>
      <c r="G30" t="s" s="48">
        <v>69</v>
      </c>
      <c r="H30" t="s" s="48">
        <v>69</v>
      </c>
      <c r="I30" t="s" s="48">
        <v>69</v>
      </c>
      <c r="J30" t="s" s="48">
        <v>69</v>
      </c>
      <c r="K30" s="72"/>
      <c r="L30" s="72"/>
      <c r="M30" s="50"/>
      <c r="N30" s="49"/>
      <c r="O30" s="50"/>
      <c r="P30" s="50"/>
      <c r="Q30" s="30">
        <v>26</v>
      </c>
      <c r="R30" s="61"/>
      <c r="S30" s="46">
        <f>INDEX('Locations'!$D$6:$D$455,MATCH(B30,'Locations'!$A$6:$A$455,0))</f>
        <v>42.7311271795954</v>
      </c>
      <c r="T30" s="46">
        <f>INDEX('Locations'!$E$6:$E$455,MATCH(B30,'Locations'!$A$6:$A$455,0))</f>
        <v>-73.6730381809393</v>
      </c>
      <c r="U30" s="46">
        <f>INDEX('Locations'!$D$6:$D$455,MATCH(C30,'Locations'!$A$6:$A$455,0))</f>
        <v>42.7316525070937</v>
      </c>
      <c r="V30" s="73">
        <f>INDEX('Locations'!$E$6:$E$455,MATCH(C30,'Locations'!$A$6:$A$455,0))</f>
        <v>-73.6729347245515</v>
      </c>
      <c r="W30" s="44"/>
    </row>
    <row r="31" ht="23.1" customHeight="1">
      <c r="A31" t="s" s="24">
        <v>639</v>
      </c>
      <c r="B31" t="s" s="53">
        <v>239</v>
      </c>
      <c r="C31" t="s" s="53">
        <v>240</v>
      </c>
      <c r="D31" t="s" s="53">
        <v>614</v>
      </c>
      <c r="E31" s="74">
        <f>2*6371000*ASIN(SQRT(MIN(1,SIN(RADIANS(U31-S31)/2)^2+COS(RADIANS(S31))*COS(RADIANS(U31))*SIN(RADIANS(V31-T31)/2)^2)))</f>
        <v>16.7885528884038</v>
      </c>
      <c r="F31" t="s" s="48">
        <v>70</v>
      </c>
      <c r="G31" t="s" s="48">
        <v>69</v>
      </c>
      <c r="H31" t="s" s="48">
        <v>69</v>
      </c>
      <c r="I31" t="s" s="48">
        <v>69</v>
      </c>
      <c r="J31" t="s" s="48">
        <v>69</v>
      </c>
      <c r="K31" s="72"/>
      <c r="L31" s="72"/>
      <c r="M31" s="50"/>
      <c r="N31" s="49"/>
      <c r="O31" s="50"/>
      <c r="P31" s="50"/>
      <c r="Q31" s="32">
        <v>27</v>
      </c>
      <c r="R31" s="64"/>
      <c r="S31" s="54">
        <f>INDEX('Locations'!$D$6:$D$455,MATCH(B31,'Locations'!$A$6:$A$455,0))</f>
        <v>42.7316904410268</v>
      </c>
      <c r="T31" s="54">
        <f>INDEX('Locations'!$E$6:$E$455,MATCH(B31,'Locations'!$A$6:$A$455,0))</f>
        <v>-73.6731336791434</v>
      </c>
      <c r="U31" s="54">
        <f>INDEX('Locations'!$D$6:$D$455,MATCH(C31,'Locations'!$A$6:$A$455,0))</f>
        <v>42.7316525070937</v>
      </c>
      <c r="V31" s="75">
        <f>INDEX('Locations'!$E$6:$E$455,MATCH(C31,'Locations'!$A$6:$A$455,0))</f>
        <v>-73.6729347245515</v>
      </c>
      <c r="W31" s="44"/>
    </row>
    <row r="32" ht="23.1" customHeight="1">
      <c r="A32" t="s" s="21">
        <v>640</v>
      </c>
      <c r="B32" t="s" s="45">
        <v>229</v>
      </c>
      <c r="C32" t="s" s="45">
        <v>240</v>
      </c>
      <c r="D32" t="s" s="45">
        <v>614</v>
      </c>
      <c r="E32" s="71">
        <f>2*6371000*ASIN(SQRT(MIN(1,SIN(RADIANS(U32-S32)/2)^2+COS(RADIANS(S32))*COS(RADIANS(U32))*SIN(RADIANS(V32-T32)/2)^2)))</f>
        <v>97.36247902477881</v>
      </c>
      <c r="F32" t="s" s="48">
        <v>70</v>
      </c>
      <c r="G32" t="s" s="48">
        <v>69</v>
      </c>
      <c r="H32" t="s" s="48">
        <v>69</v>
      </c>
      <c r="I32" t="s" s="48">
        <v>69</v>
      </c>
      <c r="J32" t="s" s="48">
        <v>69</v>
      </c>
      <c r="K32" s="72"/>
      <c r="L32" s="72"/>
      <c r="M32" s="50"/>
      <c r="N32" s="49"/>
      <c r="O32" s="50"/>
      <c r="P32" s="50"/>
      <c r="Q32" s="30">
        <v>28</v>
      </c>
      <c r="R32" s="61"/>
      <c r="S32" s="46">
        <f>INDEX('Locations'!$D$6:$D$455,MATCH(B32,'Locations'!$A$6:$A$455,0))</f>
        <v>42.7325065953458</v>
      </c>
      <c r="T32" s="46">
        <f>INDEX('Locations'!$E$6:$E$455,MATCH(B32,'Locations'!$A$6:$A$455,0))</f>
        <v>-73.6726721044902</v>
      </c>
      <c r="U32" s="46">
        <f>INDEX('Locations'!$D$6:$D$455,MATCH(C32,'Locations'!$A$6:$A$455,0))</f>
        <v>42.7316525070937</v>
      </c>
      <c r="V32" s="73">
        <f>INDEX('Locations'!$E$6:$E$455,MATCH(C32,'Locations'!$A$6:$A$455,0))</f>
        <v>-73.6729347245515</v>
      </c>
      <c r="W32" s="44"/>
    </row>
    <row r="33" ht="23.1" customHeight="1">
      <c r="A33" t="s" s="24">
        <v>641</v>
      </c>
      <c r="B33" t="s" s="53">
        <v>242</v>
      </c>
      <c r="C33" t="s" s="53">
        <v>234</v>
      </c>
      <c r="D33" t="s" s="53">
        <v>614</v>
      </c>
      <c r="E33" s="74">
        <f>2*6371000*ASIN(SQRT(MIN(1,SIN(RADIANS(U33-S33)/2)^2+COS(RADIANS(S33))*COS(RADIANS(U33))*SIN(RADIANS(V33-T33)/2)^2)))</f>
        <v>81.1979781373774</v>
      </c>
      <c r="F33" t="s" s="48">
        <v>70</v>
      </c>
      <c r="G33" t="s" s="48">
        <v>69</v>
      </c>
      <c r="H33" t="s" s="48">
        <v>69</v>
      </c>
      <c r="I33" t="s" s="48">
        <v>69</v>
      </c>
      <c r="J33" t="s" s="48">
        <v>69</v>
      </c>
      <c r="K33" s="72"/>
      <c r="L33" s="72"/>
      <c r="M33" s="50"/>
      <c r="N33" s="49"/>
      <c r="O33" s="50"/>
      <c r="P33" s="50"/>
      <c r="Q33" s="32">
        <v>29</v>
      </c>
      <c r="R33" s="64"/>
      <c r="S33" s="54">
        <f>INDEX('Locations'!$D$6:$D$455,MATCH(B33,'Locations'!$A$6:$A$455,0))</f>
        <v>42.7295144126806</v>
      </c>
      <c r="T33" s="54">
        <f>INDEX('Locations'!$E$6:$E$455,MATCH(B33,'Locations'!$A$6:$A$455,0))</f>
        <v>-73.67441653835201</v>
      </c>
      <c r="U33" s="54">
        <f>INDEX('Locations'!$D$6:$D$455,MATCH(C33,'Locations'!$A$6:$A$455,0))</f>
        <v>42.7300857207039</v>
      </c>
      <c r="V33" s="75">
        <f>INDEX('Locations'!$E$6:$E$455,MATCH(C33,'Locations'!$A$6:$A$455,0))</f>
        <v>-73.6750356850421</v>
      </c>
      <c r="W33" s="44"/>
    </row>
    <row r="34" ht="23.1" customHeight="1">
      <c r="A34" t="s" s="21">
        <v>642</v>
      </c>
      <c r="B34" t="s" s="45">
        <v>242</v>
      </c>
      <c r="C34" t="s" s="45">
        <v>243</v>
      </c>
      <c r="D34" t="s" s="45">
        <v>614</v>
      </c>
      <c r="E34" s="71">
        <f>2*6371000*ASIN(SQRT(MIN(1,SIN(RADIANS(U34-S34)/2)^2+COS(RADIANS(S34))*COS(RADIANS(U34))*SIN(RADIANS(V34-T34)/2)^2)))</f>
        <v>81.84109187713921</v>
      </c>
      <c r="F34" t="s" s="48">
        <v>70</v>
      </c>
      <c r="G34" t="s" s="48">
        <v>69</v>
      </c>
      <c r="H34" t="s" s="48">
        <v>69</v>
      </c>
      <c r="I34" t="s" s="48">
        <v>69</v>
      </c>
      <c r="J34" t="s" s="48">
        <v>69</v>
      </c>
      <c r="K34" s="72"/>
      <c r="L34" s="72"/>
      <c r="M34" s="50"/>
      <c r="N34" s="49"/>
      <c r="O34" s="50"/>
      <c r="P34" s="50"/>
      <c r="Q34" s="30">
        <v>30</v>
      </c>
      <c r="R34" s="61"/>
      <c r="S34" s="46">
        <f>INDEX('Locations'!$D$6:$D$455,MATCH(B34,'Locations'!$A$6:$A$455,0))</f>
        <v>42.7295144126806</v>
      </c>
      <c r="T34" s="46">
        <f>INDEX('Locations'!$E$6:$E$455,MATCH(B34,'Locations'!$A$6:$A$455,0))</f>
        <v>-73.67441653835201</v>
      </c>
      <c r="U34" s="46">
        <f>INDEX('Locations'!$D$6:$D$455,MATCH(C34,'Locations'!$A$6:$A$455,0))</f>
        <v>42.729362676948</v>
      </c>
      <c r="V34" s="73">
        <f>INDEX('Locations'!$E$6:$E$455,MATCH(C34,'Locations'!$A$6:$A$455,0))</f>
        <v>-73.6734360901231</v>
      </c>
      <c r="W34" s="44"/>
    </row>
    <row r="35" ht="23.1" customHeight="1">
      <c r="A35" t="s" s="24">
        <v>643</v>
      </c>
      <c r="B35" t="s" s="53">
        <v>241</v>
      </c>
      <c r="C35" t="s" s="53">
        <v>244</v>
      </c>
      <c r="D35" t="s" s="53">
        <v>614</v>
      </c>
      <c r="E35" s="74">
        <f>2*6371000*ASIN(SQRT(MIN(1,SIN(RADIANS(U35-S35)/2)^2+COS(RADIANS(S35))*COS(RADIANS(U35))*SIN(RADIANS(V35-T35)/2)^2)))</f>
        <v>40.7241221283761</v>
      </c>
      <c r="F35" t="s" s="48">
        <v>70</v>
      </c>
      <c r="G35" t="s" s="48">
        <v>69</v>
      </c>
      <c r="H35" t="s" s="48">
        <v>69</v>
      </c>
      <c r="I35" t="s" s="48">
        <v>69</v>
      </c>
      <c r="J35" t="s" s="48">
        <v>69</v>
      </c>
      <c r="K35" s="72"/>
      <c r="L35" s="72"/>
      <c r="M35" s="50"/>
      <c r="N35" s="49"/>
      <c r="O35" s="50"/>
      <c r="P35" s="50"/>
      <c r="Q35" s="32">
        <v>31</v>
      </c>
      <c r="R35" s="64"/>
      <c r="S35" s="54">
        <f>INDEX('Locations'!$D$6:$D$455,MATCH(B35,'Locations'!$A$6:$A$455,0))</f>
        <v>42.7291212791917</v>
      </c>
      <c r="T35" s="54">
        <f>INDEX('Locations'!$E$6:$E$455,MATCH(B35,'Locations'!$A$6:$A$455,0))</f>
        <v>-73.6725208990003</v>
      </c>
      <c r="U35" s="54">
        <f>INDEX('Locations'!$D$6:$D$455,MATCH(C35,'Locations'!$A$6:$A$455,0))</f>
        <v>42.7292304829386</v>
      </c>
      <c r="V35" s="75">
        <f>INDEX('Locations'!$E$6:$E$455,MATCH(C35,'Locations'!$A$6:$A$455,0))</f>
        <v>-73.6729967983842</v>
      </c>
      <c r="W35" s="44"/>
    </row>
    <row r="36" ht="23.1" customHeight="1">
      <c r="A36" t="s" s="21">
        <v>644</v>
      </c>
      <c r="B36" t="s" s="45">
        <v>243</v>
      </c>
      <c r="C36" t="s" s="45">
        <v>244</v>
      </c>
      <c r="D36" t="s" s="45">
        <v>614</v>
      </c>
      <c r="E36" s="71">
        <f>2*6371000*ASIN(SQRT(MIN(1,SIN(RADIANS(U36-S36)/2)^2+COS(RADIANS(S36))*COS(RADIANS(U36))*SIN(RADIANS(V36-T36)/2)^2)))</f>
        <v>38.7756010168942</v>
      </c>
      <c r="F36" t="s" s="48">
        <v>70</v>
      </c>
      <c r="G36" t="s" s="48">
        <v>69</v>
      </c>
      <c r="H36" t="s" s="48">
        <v>69</v>
      </c>
      <c r="I36" t="s" s="48">
        <v>69</v>
      </c>
      <c r="J36" t="s" s="48">
        <v>69</v>
      </c>
      <c r="K36" s="72"/>
      <c r="L36" s="72"/>
      <c r="M36" s="50"/>
      <c r="N36" s="49"/>
      <c r="O36" s="50"/>
      <c r="P36" s="50"/>
      <c r="Q36" s="30">
        <v>32</v>
      </c>
      <c r="R36" s="61"/>
      <c r="S36" s="46">
        <f>INDEX('Locations'!$D$6:$D$455,MATCH(B36,'Locations'!$A$6:$A$455,0))</f>
        <v>42.729362676948</v>
      </c>
      <c r="T36" s="46">
        <f>INDEX('Locations'!$E$6:$E$455,MATCH(B36,'Locations'!$A$6:$A$455,0))</f>
        <v>-73.6734360901231</v>
      </c>
      <c r="U36" s="46">
        <f>INDEX('Locations'!$D$6:$D$455,MATCH(C36,'Locations'!$A$6:$A$455,0))</f>
        <v>42.7292304829386</v>
      </c>
      <c r="V36" s="73">
        <f>INDEX('Locations'!$E$6:$E$455,MATCH(C36,'Locations'!$A$6:$A$455,0))</f>
        <v>-73.6729967983842</v>
      </c>
      <c r="W36" s="44"/>
    </row>
    <row r="37" ht="23.1" customHeight="1">
      <c r="A37" t="s" s="24">
        <v>645</v>
      </c>
      <c r="B37" t="s" s="53">
        <v>245</v>
      </c>
      <c r="C37" t="s" s="53">
        <v>244</v>
      </c>
      <c r="D37" t="s" s="53">
        <v>614</v>
      </c>
      <c r="E37" s="74">
        <f>2*6371000*ASIN(SQRT(MIN(1,SIN(RADIANS(U37-S37)/2)^2+COS(RADIANS(S37))*COS(RADIANS(U37))*SIN(RADIANS(V37-T37)/2)^2)))</f>
        <v>49.5663643682275</v>
      </c>
      <c r="F37" t="s" s="48">
        <v>70</v>
      </c>
      <c r="G37" t="s" s="48">
        <v>69</v>
      </c>
      <c r="H37" t="s" s="48">
        <v>69</v>
      </c>
      <c r="I37" t="s" s="48">
        <v>69</v>
      </c>
      <c r="J37" t="s" s="48">
        <v>69</v>
      </c>
      <c r="K37" s="72"/>
      <c r="L37" s="72"/>
      <c r="M37" s="50"/>
      <c r="N37" s="49"/>
      <c r="O37" s="50"/>
      <c r="P37" s="50"/>
      <c r="Q37" s="32">
        <v>33</v>
      </c>
      <c r="R37" s="64"/>
      <c r="S37" s="54">
        <f>INDEX('Locations'!$D$6:$D$455,MATCH(B37,'Locations'!$A$6:$A$455,0))</f>
        <v>42.728793667951</v>
      </c>
      <c r="T37" s="54">
        <f>INDEX('Locations'!$E$6:$E$455,MATCH(B37,'Locations'!$A$6:$A$455,0))</f>
        <v>-73.6731177627761</v>
      </c>
      <c r="U37" s="54">
        <f>INDEX('Locations'!$D$6:$D$455,MATCH(C37,'Locations'!$A$6:$A$455,0))</f>
        <v>42.7292304829386</v>
      </c>
      <c r="V37" s="75">
        <f>INDEX('Locations'!$E$6:$E$455,MATCH(C37,'Locations'!$A$6:$A$455,0))</f>
        <v>-73.6729967983842</v>
      </c>
      <c r="W37" s="44"/>
    </row>
    <row r="38" ht="23.1" customHeight="1">
      <c r="A38" t="s" s="21">
        <v>646</v>
      </c>
      <c r="B38" t="s" s="45">
        <v>245</v>
      </c>
      <c r="C38" t="s" s="45">
        <v>247</v>
      </c>
      <c r="D38" t="s" s="45">
        <v>614</v>
      </c>
      <c r="E38" s="71">
        <f>2*6371000*ASIN(SQRT(MIN(1,SIN(RADIANS(U38-S38)/2)^2+COS(RADIANS(S38))*COS(RADIANS(U38))*SIN(RADIANS(V38-T38)/2)^2)))</f>
        <v>41.6982988645168</v>
      </c>
      <c r="F38" t="s" s="48">
        <v>70</v>
      </c>
      <c r="G38" t="s" s="48">
        <v>69</v>
      </c>
      <c r="H38" t="s" s="48">
        <v>69</v>
      </c>
      <c r="I38" t="s" s="48">
        <v>69</v>
      </c>
      <c r="J38" t="s" s="48">
        <v>69</v>
      </c>
      <c r="K38" s="72"/>
      <c r="L38" s="72"/>
      <c r="M38" s="50"/>
      <c r="N38" s="49"/>
      <c r="O38" s="50"/>
      <c r="P38" s="50"/>
      <c r="Q38" s="30">
        <v>34</v>
      </c>
      <c r="R38" s="61"/>
      <c r="S38" s="46">
        <f>INDEX('Locations'!$D$6:$D$455,MATCH(B38,'Locations'!$A$6:$A$455,0))</f>
        <v>42.728793667951</v>
      </c>
      <c r="T38" s="46">
        <f>INDEX('Locations'!$E$6:$E$455,MATCH(B38,'Locations'!$A$6:$A$455,0))</f>
        <v>-73.6731177627761</v>
      </c>
      <c r="U38" s="46">
        <f>INDEX('Locations'!$D$6:$D$455,MATCH(C38,'Locations'!$A$6:$A$455,0))</f>
        <v>42.7284488140134</v>
      </c>
      <c r="V38" s="73">
        <f>INDEX('Locations'!$E$6:$E$455,MATCH(C38,'Locations'!$A$6:$A$455,0))</f>
        <v>-73.6733183090047</v>
      </c>
      <c r="W38" s="44"/>
    </row>
    <row r="39" ht="23.1" customHeight="1">
      <c r="A39" t="s" s="24">
        <v>647</v>
      </c>
      <c r="B39" t="s" s="53">
        <v>101</v>
      </c>
      <c r="C39" t="s" s="53">
        <v>246</v>
      </c>
      <c r="D39" t="s" s="53">
        <v>614</v>
      </c>
      <c r="E39" s="74">
        <f>2*6371000*ASIN(SQRT(MIN(1,SIN(RADIANS(U39-S39)/2)^2+COS(RADIANS(S39))*COS(RADIANS(U39))*SIN(RADIANS(V39-T39)/2)^2)))</f>
        <v>44.1539265946872</v>
      </c>
      <c r="F39" t="s" s="48">
        <v>70</v>
      </c>
      <c r="G39" t="s" s="48">
        <v>69</v>
      </c>
      <c r="H39" t="s" s="48">
        <v>69</v>
      </c>
      <c r="I39" t="s" s="48">
        <v>69</v>
      </c>
      <c r="J39" t="s" s="48">
        <v>69</v>
      </c>
      <c r="K39" s="72"/>
      <c r="L39" s="72"/>
      <c r="M39" s="50"/>
      <c r="N39" s="49"/>
      <c r="O39" s="50"/>
      <c r="P39" s="50"/>
      <c r="Q39" s="32">
        <v>35</v>
      </c>
      <c r="R39" s="64"/>
      <c r="S39" s="54">
        <f>INDEX('Locations'!$D$6:$D$455,MATCH(B39,'Locations'!$A$6:$A$455,0))</f>
        <v>42.7288576188582</v>
      </c>
      <c r="T39" s="54">
        <f>INDEX('Locations'!$E$6:$E$455,MATCH(B39,'Locations'!$A$6:$A$455,0))</f>
        <v>-73.6746296811551</v>
      </c>
      <c r="U39" s="54">
        <f>INDEX('Locations'!$D$6:$D$455,MATCH(C39,'Locations'!$A$6:$A$455,0))</f>
        <v>42.7286327361135</v>
      </c>
      <c r="V39" s="75">
        <f>INDEX('Locations'!$E$6:$E$455,MATCH(C39,'Locations'!$A$6:$A$455,0))</f>
        <v>-73.6741841593887</v>
      </c>
      <c r="W39" s="44"/>
    </row>
    <row r="40" ht="23.1" customHeight="1">
      <c r="A40" t="s" s="21">
        <v>648</v>
      </c>
      <c r="B40" t="s" s="45">
        <v>93</v>
      </c>
      <c r="C40" t="s" s="45">
        <v>246</v>
      </c>
      <c r="D40" t="s" s="45">
        <v>614</v>
      </c>
      <c r="E40" s="71">
        <f>2*6371000*ASIN(SQRT(MIN(1,SIN(RADIANS(U40-S40)/2)^2+COS(RADIANS(S40))*COS(RADIANS(U40))*SIN(RADIANS(V40-T40)/2)^2)))</f>
        <v>34.0652152113856</v>
      </c>
      <c r="F40" t="s" s="48">
        <v>70</v>
      </c>
      <c r="G40" t="s" s="48">
        <v>69</v>
      </c>
      <c r="H40" t="s" s="48">
        <v>69</v>
      </c>
      <c r="I40" t="s" s="48">
        <v>69</v>
      </c>
      <c r="J40" t="s" s="48">
        <v>69</v>
      </c>
      <c r="K40" s="72"/>
      <c r="L40" s="72"/>
      <c r="M40" s="50"/>
      <c r="N40" s="49"/>
      <c r="O40" s="50"/>
      <c r="P40" s="50"/>
      <c r="Q40" s="30">
        <v>36</v>
      </c>
      <c r="R40" s="61"/>
      <c r="S40" s="46">
        <f>INDEX('Locations'!$D$6:$D$455,MATCH(B40,'Locations'!$A$6:$A$455,0))</f>
        <v>42.7287299054554</v>
      </c>
      <c r="T40" s="46">
        <f>INDEX('Locations'!$E$6:$E$455,MATCH(B40,'Locations'!$A$6:$A$455,0))</f>
        <v>-73.6737886416314</v>
      </c>
      <c r="U40" s="46">
        <f>INDEX('Locations'!$D$6:$D$455,MATCH(C40,'Locations'!$A$6:$A$455,0))</f>
        <v>42.7286327361135</v>
      </c>
      <c r="V40" s="73">
        <f>INDEX('Locations'!$E$6:$E$455,MATCH(C40,'Locations'!$A$6:$A$455,0))</f>
        <v>-73.6741841593887</v>
      </c>
      <c r="W40" s="44"/>
    </row>
    <row r="41" ht="23.1" customHeight="1">
      <c r="A41" t="s" s="24">
        <v>649</v>
      </c>
      <c r="B41" t="s" s="53">
        <v>247</v>
      </c>
      <c r="C41" t="s" s="53">
        <v>246</v>
      </c>
      <c r="D41" t="s" s="53">
        <v>614</v>
      </c>
      <c r="E41" s="74">
        <f>2*6371000*ASIN(SQRT(MIN(1,SIN(RADIANS(U41-S41)/2)^2+COS(RADIANS(S41))*COS(RADIANS(U41))*SIN(RADIANS(V41-T41)/2)^2)))</f>
        <v>73.6212839111201</v>
      </c>
      <c r="F41" t="s" s="48">
        <v>70</v>
      </c>
      <c r="G41" t="s" s="48">
        <v>69</v>
      </c>
      <c r="H41" t="s" s="48">
        <v>69</v>
      </c>
      <c r="I41" t="s" s="48">
        <v>69</v>
      </c>
      <c r="J41" t="s" s="48">
        <v>69</v>
      </c>
      <c r="K41" s="72"/>
      <c r="L41" s="72"/>
      <c r="M41" s="50"/>
      <c r="N41" s="49"/>
      <c r="O41" s="50"/>
      <c r="P41" s="50"/>
      <c r="Q41" s="32">
        <v>37</v>
      </c>
      <c r="R41" s="64"/>
      <c r="S41" s="54">
        <f>INDEX('Locations'!$D$6:$D$455,MATCH(B41,'Locations'!$A$6:$A$455,0))</f>
        <v>42.7284488140134</v>
      </c>
      <c r="T41" s="54">
        <f>INDEX('Locations'!$E$6:$E$455,MATCH(B41,'Locations'!$A$6:$A$455,0))</f>
        <v>-73.6733183090047</v>
      </c>
      <c r="U41" s="54">
        <f>INDEX('Locations'!$D$6:$D$455,MATCH(C41,'Locations'!$A$6:$A$455,0))</f>
        <v>42.7286327361135</v>
      </c>
      <c r="V41" s="75">
        <f>INDEX('Locations'!$E$6:$E$455,MATCH(C41,'Locations'!$A$6:$A$455,0))</f>
        <v>-73.6741841593887</v>
      </c>
      <c r="W41" s="44"/>
    </row>
    <row r="42" ht="23.1" customHeight="1">
      <c r="A42" t="s" s="21">
        <v>650</v>
      </c>
      <c r="B42" t="s" s="45">
        <v>248</v>
      </c>
      <c r="C42" t="s" s="45">
        <v>244</v>
      </c>
      <c r="D42" t="s" s="45">
        <v>614</v>
      </c>
      <c r="E42" s="71">
        <f>2*6371000*ASIN(SQRT(MIN(1,SIN(RADIANS(U42-S42)/2)^2+COS(RADIANS(S42))*COS(RADIANS(U42))*SIN(RADIANS(V42-T42)/2)^2)))</f>
        <v>45.9880165649093</v>
      </c>
      <c r="F42" t="s" s="48">
        <v>70</v>
      </c>
      <c r="G42" t="s" s="48">
        <v>69</v>
      </c>
      <c r="H42" t="s" s="48">
        <v>69</v>
      </c>
      <c r="I42" t="s" s="48">
        <v>69</v>
      </c>
      <c r="J42" t="s" s="48">
        <v>69</v>
      </c>
      <c r="K42" s="72"/>
      <c r="L42" s="72"/>
      <c r="M42" s="50"/>
      <c r="N42" s="49"/>
      <c r="O42" s="50"/>
      <c r="P42" s="50"/>
      <c r="Q42" s="30">
        <v>38</v>
      </c>
      <c r="R42" s="61"/>
      <c r="S42" s="46">
        <f>INDEX('Locations'!$D$6:$D$455,MATCH(B42,'Locations'!$A$6:$A$455,0))</f>
        <v>42.729004028853</v>
      </c>
      <c r="T42" s="46">
        <f>INDEX('Locations'!$E$6:$E$455,MATCH(B42,'Locations'!$A$6:$A$455,0))</f>
        <v>-73.6734679228578</v>
      </c>
      <c r="U42" s="46">
        <f>INDEX('Locations'!$D$6:$D$455,MATCH(C42,'Locations'!$A$6:$A$455,0))</f>
        <v>42.7292304829386</v>
      </c>
      <c r="V42" s="73">
        <f>INDEX('Locations'!$E$6:$E$455,MATCH(C42,'Locations'!$A$6:$A$455,0))</f>
        <v>-73.6729967983842</v>
      </c>
      <c r="W42" s="44"/>
    </row>
    <row r="43" ht="23.1" customHeight="1">
      <c r="A43" t="s" s="24">
        <v>651</v>
      </c>
      <c r="B43" t="s" s="53">
        <v>242</v>
      </c>
      <c r="C43" t="s" s="53">
        <v>252</v>
      </c>
      <c r="D43" t="s" s="53">
        <v>614</v>
      </c>
      <c r="E43" s="74">
        <f>2*6371000*ASIN(SQRT(MIN(1,SIN(RADIANS(U43-S43)/2)^2+COS(RADIANS(S43))*COS(RADIANS(U43))*SIN(RADIANS(V43-T43)/2)^2)))</f>
        <v>32.7539007893606</v>
      </c>
      <c r="F43" t="s" s="48">
        <v>70</v>
      </c>
      <c r="G43" t="s" s="48">
        <v>69</v>
      </c>
      <c r="H43" t="s" s="48">
        <v>69</v>
      </c>
      <c r="I43" t="s" s="48">
        <v>69</v>
      </c>
      <c r="J43" t="s" s="48">
        <v>69</v>
      </c>
      <c r="K43" s="72"/>
      <c r="L43" s="72"/>
      <c r="M43" s="50"/>
      <c r="N43" s="49"/>
      <c r="O43" s="50"/>
      <c r="P43" s="50"/>
      <c r="Q43" s="32">
        <v>39</v>
      </c>
      <c r="R43" s="64"/>
      <c r="S43" s="54">
        <f>INDEX('Locations'!$D$6:$D$455,MATCH(B43,'Locations'!$A$6:$A$455,0))</f>
        <v>42.7295144126806</v>
      </c>
      <c r="T43" s="54">
        <f>INDEX('Locations'!$E$6:$E$455,MATCH(B43,'Locations'!$A$6:$A$455,0))</f>
        <v>-73.67441653835201</v>
      </c>
      <c r="U43" s="54">
        <f>INDEX('Locations'!$D$6:$D$455,MATCH(C43,'Locations'!$A$6:$A$455,0))</f>
        <v>42.7292649683324</v>
      </c>
      <c r="V43" s="75">
        <f>INDEX('Locations'!$E$6:$E$455,MATCH(C43,'Locations'!$A$6:$A$455,0))</f>
        <v>-73.6746298176746</v>
      </c>
      <c r="W43" s="44"/>
    </row>
    <row r="44" ht="23.1" customHeight="1">
      <c r="A44" t="s" s="21">
        <v>652</v>
      </c>
      <c r="B44" t="s" s="45">
        <v>251</v>
      </c>
      <c r="C44" t="s" s="45">
        <v>252</v>
      </c>
      <c r="D44" t="s" s="45">
        <v>614</v>
      </c>
      <c r="E44" s="71">
        <f>2*6371000*ASIN(SQRT(MIN(1,SIN(RADIANS(U44-S44)/2)^2+COS(RADIANS(S44))*COS(RADIANS(U44))*SIN(RADIANS(V44-T44)/2)^2)))</f>
        <v>40.2922244258758</v>
      </c>
      <c r="F44" t="s" s="48">
        <v>70</v>
      </c>
      <c r="G44" t="s" s="48">
        <v>69</v>
      </c>
      <c r="H44" t="s" s="48">
        <v>69</v>
      </c>
      <c r="I44" t="s" s="48">
        <v>69</v>
      </c>
      <c r="J44" t="s" s="48">
        <v>69</v>
      </c>
      <c r="K44" s="72"/>
      <c r="L44" s="72"/>
      <c r="M44" s="50"/>
      <c r="N44" s="49"/>
      <c r="O44" s="50"/>
      <c r="P44" s="50"/>
      <c r="Q44" s="30">
        <v>40</v>
      </c>
      <c r="R44" s="61"/>
      <c r="S44" s="46">
        <f>INDEX('Locations'!$D$6:$D$455,MATCH(B44,'Locations'!$A$6:$A$455,0))</f>
        <v>42.7289339085523</v>
      </c>
      <c r="T44" s="46">
        <f>INDEX('Locations'!$E$6:$E$455,MATCH(B44,'Locations'!$A$6:$A$455,0))</f>
        <v>-73.6744292714459</v>
      </c>
      <c r="U44" s="46">
        <f>INDEX('Locations'!$D$6:$D$455,MATCH(C44,'Locations'!$A$6:$A$455,0))</f>
        <v>42.7292649683324</v>
      </c>
      <c r="V44" s="73">
        <f>INDEX('Locations'!$E$6:$E$455,MATCH(C44,'Locations'!$A$6:$A$455,0))</f>
        <v>-73.6746298176746</v>
      </c>
      <c r="W44" s="44"/>
    </row>
    <row r="45" ht="23.1" customHeight="1">
      <c r="A45" t="s" s="24">
        <v>653</v>
      </c>
      <c r="B45" t="s" s="53">
        <v>81</v>
      </c>
      <c r="C45" t="s" s="53">
        <v>250</v>
      </c>
      <c r="D45" t="s" s="53">
        <v>614</v>
      </c>
      <c r="E45" s="74">
        <f>2*6371000*ASIN(SQRT(MIN(1,SIN(RADIANS(U45-S45)/2)^2+COS(RADIANS(S45))*COS(RADIANS(U45))*SIN(RADIANS(V45-T45)/2)^2)))</f>
        <v>27.4704742927952</v>
      </c>
      <c r="F45" t="s" s="48">
        <v>70</v>
      </c>
      <c r="G45" t="s" s="48">
        <v>69</v>
      </c>
      <c r="H45" t="s" s="48">
        <v>69</v>
      </c>
      <c r="I45" t="s" s="48">
        <v>69</v>
      </c>
      <c r="J45" t="s" s="48">
        <v>69</v>
      </c>
      <c r="K45" s="72"/>
      <c r="L45" s="72"/>
      <c r="M45" s="50"/>
      <c r="N45" s="49"/>
      <c r="O45" s="50"/>
      <c r="P45" s="50"/>
      <c r="Q45" s="32">
        <v>41</v>
      </c>
      <c r="R45" s="64"/>
      <c r="S45" s="54">
        <f>INDEX('Locations'!$D$6:$D$455,MATCH(B45,'Locations'!$A$6:$A$455,0))</f>
        <v>42.7290866948623</v>
      </c>
      <c r="T45" s="54">
        <f>INDEX('Locations'!$E$6:$E$455,MATCH(B45,'Locations'!$A$6:$A$455,0))</f>
        <v>-73.6740898425949</v>
      </c>
      <c r="U45" s="54">
        <f>INDEX('Locations'!$D$6:$D$455,MATCH(C45,'Locations'!$A$6:$A$455,0))</f>
        <v>42.728839648476</v>
      </c>
      <c r="V45" s="75">
        <f>INDEX('Locations'!$E$6:$E$455,MATCH(C45,'Locations'!$A$6:$A$455,0))</f>
        <v>-73.6740886611846</v>
      </c>
      <c r="W45" s="44"/>
    </row>
    <row r="46" ht="23.1" customHeight="1">
      <c r="A46" t="s" s="21">
        <v>654</v>
      </c>
      <c r="B46" t="s" s="45">
        <v>246</v>
      </c>
      <c r="C46" t="s" s="45">
        <v>250</v>
      </c>
      <c r="D46" t="s" s="45">
        <v>614</v>
      </c>
      <c r="E46" s="71">
        <f>2*6371000*ASIN(SQRT(MIN(1,SIN(RADIANS(U46-S46)/2)^2+COS(RADIANS(S46))*COS(RADIANS(U46))*SIN(RADIANS(V46-T46)/2)^2)))</f>
        <v>24.293947161170</v>
      </c>
      <c r="F46" t="s" s="48">
        <v>70</v>
      </c>
      <c r="G46" t="s" s="48">
        <v>69</v>
      </c>
      <c r="H46" t="s" s="48">
        <v>69</v>
      </c>
      <c r="I46" t="s" s="48">
        <v>69</v>
      </c>
      <c r="J46" t="s" s="48">
        <v>69</v>
      </c>
      <c r="K46" s="72"/>
      <c r="L46" s="72"/>
      <c r="M46" s="50"/>
      <c r="N46" s="49"/>
      <c r="O46" s="50"/>
      <c r="P46" s="50"/>
      <c r="Q46" s="30">
        <v>42</v>
      </c>
      <c r="R46" s="61"/>
      <c r="S46" s="46">
        <f>INDEX('Locations'!$D$6:$D$455,MATCH(B46,'Locations'!$A$6:$A$455,0))</f>
        <v>42.7286327361135</v>
      </c>
      <c r="T46" s="46">
        <f>INDEX('Locations'!$E$6:$E$455,MATCH(B46,'Locations'!$A$6:$A$455,0))</f>
        <v>-73.6741841593887</v>
      </c>
      <c r="U46" s="46">
        <f>INDEX('Locations'!$D$6:$D$455,MATCH(C46,'Locations'!$A$6:$A$455,0))</f>
        <v>42.728839648476</v>
      </c>
      <c r="V46" s="73">
        <f>INDEX('Locations'!$E$6:$E$455,MATCH(C46,'Locations'!$A$6:$A$455,0))</f>
        <v>-73.6740886611846</v>
      </c>
      <c r="W46" s="44"/>
    </row>
    <row r="47" ht="23.1" customHeight="1">
      <c r="A47" t="s" s="24">
        <v>655</v>
      </c>
      <c r="B47" t="s" s="53">
        <v>251</v>
      </c>
      <c r="C47" t="s" s="53">
        <v>250</v>
      </c>
      <c r="D47" t="s" s="53">
        <v>614</v>
      </c>
      <c r="E47" s="74">
        <f>2*6371000*ASIN(SQRT(MIN(1,SIN(RADIANS(U47-S47)/2)^2+COS(RADIANS(S47))*COS(RADIANS(U47))*SIN(RADIANS(V47-T47)/2)^2)))</f>
        <v>29.7301392821202</v>
      </c>
      <c r="F47" t="s" s="48">
        <v>70</v>
      </c>
      <c r="G47" t="s" s="48">
        <v>69</v>
      </c>
      <c r="H47" t="s" s="48">
        <v>69</v>
      </c>
      <c r="I47" t="s" s="48">
        <v>69</v>
      </c>
      <c r="J47" t="s" s="48">
        <v>69</v>
      </c>
      <c r="K47" s="72"/>
      <c r="L47" s="72"/>
      <c r="M47" s="50"/>
      <c r="N47" s="49"/>
      <c r="O47" s="50"/>
      <c r="P47" s="50"/>
      <c r="Q47" s="32">
        <v>43</v>
      </c>
      <c r="R47" s="64"/>
      <c r="S47" s="54">
        <f>INDEX('Locations'!$D$6:$D$455,MATCH(B47,'Locations'!$A$6:$A$455,0))</f>
        <v>42.7289339085523</v>
      </c>
      <c r="T47" s="54">
        <f>INDEX('Locations'!$E$6:$E$455,MATCH(B47,'Locations'!$A$6:$A$455,0))</f>
        <v>-73.6744292714459</v>
      </c>
      <c r="U47" s="54">
        <f>INDEX('Locations'!$D$6:$D$455,MATCH(C47,'Locations'!$A$6:$A$455,0))</f>
        <v>42.728839648476</v>
      </c>
      <c r="V47" s="75">
        <f>INDEX('Locations'!$E$6:$E$455,MATCH(C47,'Locations'!$A$6:$A$455,0))</f>
        <v>-73.6740886611846</v>
      </c>
      <c r="W47" s="44"/>
    </row>
    <row r="48" ht="23.1" customHeight="1">
      <c r="A48" t="s" s="21">
        <v>656</v>
      </c>
      <c r="B48" t="s" s="45">
        <v>249</v>
      </c>
      <c r="C48" t="s" s="45">
        <v>250</v>
      </c>
      <c r="D48" t="s" s="45">
        <v>614</v>
      </c>
      <c r="E48" s="71">
        <f>2*6371000*ASIN(SQRT(MIN(1,SIN(RADIANS(U48-S48)/2)^2+COS(RADIANS(S48))*COS(RADIANS(U48))*SIN(RADIANS(V48-T48)/2)^2)))</f>
        <v>24.9693669624281</v>
      </c>
      <c r="F48" t="s" s="48">
        <v>70</v>
      </c>
      <c r="G48" t="s" s="48">
        <v>69</v>
      </c>
      <c r="H48" t="s" s="48">
        <v>69</v>
      </c>
      <c r="I48" t="s" s="48">
        <v>69</v>
      </c>
      <c r="J48" t="s" s="48">
        <v>69</v>
      </c>
      <c r="K48" s="72"/>
      <c r="L48" s="72"/>
      <c r="M48" s="50"/>
      <c r="N48" s="49"/>
      <c r="O48" s="50"/>
      <c r="P48" s="50"/>
      <c r="Q48" s="30">
        <v>44</v>
      </c>
      <c r="R48" s="61"/>
      <c r="S48" s="46">
        <f>INDEX('Locations'!$D$6:$D$455,MATCH(B48,'Locations'!$A$6:$A$455,0))</f>
        <v>42.7288339009104</v>
      </c>
      <c r="T48" s="46">
        <f>INDEX('Locations'!$E$6:$E$455,MATCH(B48,'Locations'!$A$6:$A$455,0))</f>
        <v>-73.67378306693141</v>
      </c>
      <c r="U48" s="46">
        <f>INDEX('Locations'!$D$6:$D$455,MATCH(C48,'Locations'!$A$6:$A$455,0))</f>
        <v>42.728839648476</v>
      </c>
      <c r="V48" s="73">
        <f>INDEX('Locations'!$E$6:$E$455,MATCH(C48,'Locations'!$A$6:$A$455,0))</f>
        <v>-73.6740886611846</v>
      </c>
      <c r="W48" s="44"/>
    </row>
    <row r="49" ht="23.1" customHeight="1">
      <c r="A49" t="s" s="24">
        <v>657</v>
      </c>
      <c r="B49" t="s" s="53">
        <v>248</v>
      </c>
      <c r="C49" t="s" s="53">
        <v>249</v>
      </c>
      <c r="D49" t="s" s="53">
        <v>614</v>
      </c>
      <c r="E49" s="74">
        <f>2*6371000*ASIN(SQRT(MIN(1,SIN(RADIANS(U49-S49)/2)^2+COS(RADIANS(S49))*COS(RADIANS(U49))*SIN(RADIANS(V49-T49)/2)^2)))</f>
        <v>31.9448823144344</v>
      </c>
      <c r="F49" t="s" s="48">
        <v>70</v>
      </c>
      <c r="G49" t="s" s="48">
        <v>69</v>
      </c>
      <c r="H49" t="s" s="48">
        <v>69</v>
      </c>
      <c r="I49" t="s" s="48">
        <v>69</v>
      </c>
      <c r="J49" t="s" s="48">
        <v>69</v>
      </c>
      <c r="K49" s="72"/>
      <c r="L49" s="72"/>
      <c r="M49" s="50"/>
      <c r="N49" s="49"/>
      <c r="O49" s="50"/>
      <c r="P49" s="50"/>
      <c r="Q49" s="32">
        <v>45</v>
      </c>
      <c r="R49" s="64"/>
      <c r="S49" s="54">
        <f>INDEX('Locations'!$D$6:$D$455,MATCH(B49,'Locations'!$A$6:$A$455,0))</f>
        <v>42.729004028853</v>
      </c>
      <c r="T49" s="54">
        <f>INDEX('Locations'!$E$6:$E$455,MATCH(B49,'Locations'!$A$6:$A$455,0))</f>
        <v>-73.6734679228578</v>
      </c>
      <c r="U49" s="54">
        <f>INDEX('Locations'!$D$6:$D$455,MATCH(C49,'Locations'!$A$6:$A$455,0))</f>
        <v>42.7288339009104</v>
      </c>
      <c r="V49" s="75">
        <f>INDEX('Locations'!$E$6:$E$455,MATCH(C49,'Locations'!$A$6:$A$455,0))</f>
        <v>-73.67378306693141</v>
      </c>
      <c r="W49" s="44"/>
    </row>
    <row r="50" ht="23.1" customHeight="1">
      <c r="A50" t="s" s="21">
        <v>658</v>
      </c>
      <c r="B50" t="s" s="45">
        <v>246</v>
      </c>
      <c r="C50" t="s" s="45">
        <v>253</v>
      </c>
      <c r="D50" t="s" s="45">
        <v>614</v>
      </c>
      <c r="E50" s="71">
        <f>2*6371000*ASIN(SQRT(MIN(1,SIN(RADIANS(U50-S50)/2)^2+COS(RADIANS(S50))*COS(RADIANS(U50))*SIN(RADIANS(V50-T50)/2)^2)))</f>
        <v>32.0414317576823</v>
      </c>
      <c r="F50" t="s" s="48">
        <v>70</v>
      </c>
      <c r="G50" t="s" s="48">
        <v>69</v>
      </c>
      <c r="H50" t="s" s="48">
        <v>69</v>
      </c>
      <c r="I50" t="s" s="48">
        <v>69</v>
      </c>
      <c r="J50" t="s" s="48">
        <v>69</v>
      </c>
      <c r="K50" s="72"/>
      <c r="L50" s="72"/>
      <c r="M50" s="50"/>
      <c r="N50" s="49"/>
      <c r="O50" s="50"/>
      <c r="P50" s="50"/>
      <c r="Q50" s="30">
        <v>46</v>
      </c>
      <c r="R50" s="61"/>
      <c r="S50" s="46">
        <f>INDEX('Locations'!$D$6:$D$455,MATCH(B50,'Locations'!$A$6:$A$455,0))</f>
        <v>42.7286327361135</v>
      </c>
      <c r="T50" s="46">
        <f>INDEX('Locations'!$E$6:$E$455,MATCH(B50,'Locations'!$A$6:$A$455,0))</f>
        <v>-73.6741841593887</v>
      </c>
      <c r="U50" s="46">
        <f>INDEX('Locations'!$D$6:$D$455,MATCH(C50,'Locations'!$A$6:$A$455,0))</f>
        <v>42.7285177848009</v>
      </c>
      <c r="V50" s="73">
        <f>INDEX('Locations'!$E$6:$E$455,MATCH(C50,'Locations'!$A$6:$A$455,0))</f>
        <v>-73.6745438692909</v>
      </c>
      <c r="W50" s="44"/>
    </row>
    <row r="51" ht="23.1" customHeight="1">
      <c r="A51" t="s" s="24">
        <v>659</v>
      </c>
      <c r="B51" t="s" s="53">
        <v>133</v>
      </c>
      <c r="C51" t="s" s="53">
        <v>254</v>
      </c>
      <c r="D51" t="s" s="53">
        <v>614</v>
      </c>
      <c r="E51" s="74">
        <f>2*6371000*ASIN(SQRT(MIN(1,SIN(RADIANS(U51-S51)/2)^2+COS(RADIANS(S51))*COS(RADIANS(U51))*SIN(RADIANS(V51-T51)/2)^2)))</f>
        <v>44.1975012999249</v>
      </c>
      <c r="F51" t="s" s="48">
        <v>70</v>
      </c>
      <c r="G51" t="s" s="48">
        <v>69</v>
      </c>
      <c r="H51" t="s" s="48">
        <v>69</v>
      </c>
      <c r="I51" t="s" s="48">
        <v>69</v>
      </c>
      <c r="J51" t="s" s="48">
        <v>69</v>
      </c>
      <c r="K51" s="72"/>
      <c r="L51" s="72"/>
      <c r="M51" s="50"/>
      <c r="N51" s="49"/>
      <c r="O51" s="50"/>
      <c r="P51" s="50"/>
      <c r="Q51" s="32">
        <v>47</v>
      </c>
      <c r="R51" s="64"/>
      <c r="S51" s="54">
        <f>INDEX('Locations'!$D$6:$D$455,MATCH(B51,'Locations'!$A$6:$A$455,0))</f>
        <v>42.7285552030114</v>
      </c>
      <c r="T51" s="54">
        <f>INDEX('Locations'!$E$6:$E$455,MATCH(B51,'Locations'!$A$6:$A$455,0))</f>
        <v>-73.6751461783729</v>
      </c>
      <c r="U51" s="54">
        <f>INDEX('Locations'!$D$6:$D$455,MATCH(C51,'Locations'!$A$6:$A$455,0))</f>
        <v>42.7283143209778</v>
      </c>
      <c r="V51" s="75">
        <f>INDEX('Locations'!$E$6:$E$455,MATCH(C51,'Locations'!$A$6:$A$455,0))</f>
        <v>-73.6747157660583</v>
      </c>
      <c r="W51" s="44"/>
    </row>
    <row r="52" ht="23.1" customHeight="1">
      <c r="A52" t="s" s="21">
        <v>660</v>
      </c>
      <c r="B52" t="s" s="45">
        <v>253</v>
      </c>
      <c r="C52" t="s" s="45">
        <v>254</v>
      </c>
      <c r="D52" t="s" s="45">
        <v>614</v>
      </c>
      <c r="E52" s="71">
        <f>2*6371000*ASIN(SQRT(MIN(1,SIN(RADIANS(U52-S52)/2)^2+COS(RADIANS(S52))*COS(RADIANS(U52))*SIN(RADIANS(V52-T52)/2)^2)))</f>
        <v>26.6269590663804</v>
      </c>
      <c r="F52" t="s" s="48">
        <v>70</v>
      </c>
      <c r="G52" t="s" s="48">
        <v>69</v>
      </c>
      <c r="H52" t="s" s="48">
        <v>69</v>
      </c>
      <c r="I52" t="s" s="48">
        <v>69</v>
      </c>
      <c r="J52" t="s" s="48">
        <v>69</v>
      </c>
      <c r="K52" s="72"/>
      <c r="L52" s="72"/>
      <c r="M52" s="50"/>
      <c r="N52" s="49"/>
      <c r="O52" s="50"/>
      <c r="P52" s="50"/>
      <c r="Q52" s="30">
        <v>48</v>
      </c>
      <c r="R52" s="61"/>
      <c r="S52" s="46">
        <f>INDEX('Locations'!$D$6:$D$455,MATCH(B52,'Locations'!$A$6:$A$455,0))</f>
        <v>42.7285177848009</v>
      </c>
      <c r="T52" s="46">
        <f>INDEX('Locations'!$E$6:$E$455,MATCH(B52,'Locations'!$A$6:$A$455,0))</f>
        <v>-73.6745438692909</v>
      </c>
      <c r="U52" s="46">
        <f>INDEX('Locations'!$D$6:$D$455,MATCH(C52,'Locations'!$A$6:$A$455,0))</f>
        <v>42.7283143209778</v>
      </c>
      <c r="V52" s="73">
        <f>INDEX('Locations'!$E$6:$E$455,MATCH(C52,'Locations'!$A$6:$A$455,0))</f>
        <v>-73.6747157660583</v>
      </c>
      <c r="W52" s="44"/>
    </row>
    <row r="53" ht="23.1" customHeight="1">
      <c r="A53" t="s" s="24">
        <v>661</v>
      </c>
      <c r="B53" t="s" s="53">
        <v>253</v>
      </c>
      <c r="C53" t="s" s="53">
        <v>111</v>
      </c>
      <c r="D53" t="s" s="53">
        <v>614</v>
      </c>
      <c r="E53" s="74">
        <f>2*6371000*ASIN(SQRT(MIN(1,SIN(RADIANS(U53-S53)/2)^2+COS(RADIANS(S53))*COS(RADIANS(U53))*SIN(RADIANS(V53-T53)/2)^2)))</f>
        <v>31.0060634862456</v>
      </c>
      <c r="F53" t="s" s="48">
        <v>70</v>
      </c>
      <c r="G53" t="s" s="48">
        <v>69</v>
      </c>
      <c r="H53" t="s" s="48">
        <v>69</v>
      </c>
      <c r="I53" t="s" s="48">
        <v>69</v>
      </c>
      <c r="J53" t="s" s="48">
        <v>69</v>
      </c>
      <c r="K53" s="72"/>
      <c r="L53" s="72"/>
      <c r="M53" s="50"/>
      <c r="N53" s="49"/>
      <c r="O53" s="50"/>
      <c r="P53" s="50"/>
      <c r="Q53" s="32">
        <v>49</v>
      </c>
      <c r="R53" s="64"/>
      <c r="S53" s="54">
        <f>INDEX('Locations'!$D$6:$D$455,MATCH(B53,'Locations'!$A$6:$A$455,0))</f>
        <v>42.7285177848009</v>
      </c>
      <c r="T53" s="54">
        <f>INDEX('Locations'!$E$6:$E$455,MATCH(B53,'Locations'!$A$6:$A$455,0))</f>
        <v>-73.6745438692909</v>
      </c>
      <c r="U53" s="54">
        <f>INDEX('Locations'!$D$6:$D$455,MATCH(C53,'Locations'!$A$6:$A$455,0))</f>
        <v>42.7282969500132</v>
      </c>
      <c r="V53" s="75">
        <f>INDEX('Locations'!$E$6:$E$455,MATCH(C53,'Locations'!$A$6:$A$455,0))</f>
        <v>-73.6743120995072</v>
      </c>
      <c r="W53" s="44"/>
    </row>
    <row r="54" ht="23.1" customHeight="1">
      <c r="A54" t="s" s="21">
        <v>662</v>
      </c>
      <c r="B54" t="s" s="45">
        <v>246</v>
      </c>
      <c r="C54" t="s" s="45">
        <v>256</v>
      </c>
      <c r="D54" t="s" s="45">
        <v>614</v>
      </c>
      <c r="E54" s="71">
        <f>2*6371000*ASIN(SQRT(MIN(1,SIN(RADIANS(U54-S54)/2)^2+COS(RADIANS(S54))*COS(RADIANS(U54))*SIN(RADIANS(V54-T54)/2)^2)))</f>
        <v>31.0784338946506</v>
      </c>
      <c r="F54" t="s" s="48">
        <v>70</v>
      </c>
      <c r="G54" t="s" s="48">
        <v>69</v>
      </c>
      <c r="H54" t="s" s="48">
        <v>69</v>
      </c>
      <c r="I54" t="s" s="48">
        <v>69</v>
      </c>
      <c r="J54" t="s" s="48">
        <v>69</v>
      </c>
      <c r="K54" s="72"/>
      <c r="L54" s="72"/>
      <c r="M54" s="50"/>
      <c r="N54" s="49"/>
      <c r="O54" s="50"/>
      <c r="P54" s="50"/>
      <c r="Q54" s="30">
        <v>50</v>
      </c>
      <c r="R54" s="61"/>
      <c r="S54" s="46">
        <f>INDEX('Locations'!$D$6:$D$455,MATCH(B54,'Locations'!$A$6:$A$455,0))</f>
        <v>42.7286327361135</v>
      </c>
      <c r="T54" s="46">
        <f>INDEX('Locations'!$E$6:$E$455,MATCH(B54,'Locations'!$A$6:$A$455,0))</f>
        <v>-73.6741841593887</v>
      </c>
      <c r="U54" s="46">
        <f>INDEX('Locations'!$D$6:$D$455,MATCH(C54,'Locations'!$A$6:$A$455,0))</f>
        <v>42.7284488140134</v>
      </c>
      <c r="V54" s="73">
        <f>INDEX('Locations'!$E$6:$E$455,MATCH(C54,'Locations'!$A$6:$A$455,0))</f>
        <v>-73.67389766477631</v>
      </c>
      <c r="W54" s="44"/>
    </row>
    <row r="55" ht="23.1" customHeight="1">
      <c r="A55" t="s" s="24">
        <v>663</v>
      </c>
      <c r="B55" t="s" s="53">
        <v>255</v>
      </c>
      <c r="C55" t="s" s="53">
        <v>256</v>
      </c>
      <c r="D55" t="s" s="53">
        <v>614</v>
      </c>
      <c r="E55" s="74">
        <f>2*6371000*ASIN(SQRT(MIN(1,SIN(RADIANS(U55-S55)/2)^2+COS(RADIANS(S55))*COS(RADIANS(U55))*SIN(RADIANS(V55-T55)/2)^2)))</f>
        <v>40.9259024442502</v>
      </c>
      <c r="F55" t="s" s="48">
        <v>70</v>
      </c>
      <c r="G55" t="s" s="48">
        <v>69</v>
      </c>
      <c r="H55" t="s" s="48">
        <v>69</v>
      </c>
      <c r="I55" t="s" s="48">
        <v>69</v>
      </c>
      <c r="J55" t="s" s="48">
        <v>69</v>
      </c>
      <c r="K55" s="72"/>
      <c r="L55" s="72"/>
      <c r="M55" s="50"/>
      <c r="N55" s="49"/>
      <c r="O55" s="50"/>
      <c r="P55" s="50"/>
      <c r="Q55" s="32">
        <v>51</v>
      </c>
      <c r="R55" s="64"/>
      <c r="S55" s="54">
        <f>INDEX('Locations'!$D$6:$D$455,MATCH(B55,'Locations'!$A$6:$A$455,0))</f>
        <v>42.7281039600758</v>
      </c>
      <c r="T55" s="54">
        <f>INDEX('Locations'!$E$6:$E$455,MATCH(B55,'Locations'!$A$6:$A$455,0))</f>
        <v>-73.6737225847355</v>
      </c>
      <c r="U55" s="54">
        <f>INDEX('Locations'!$D$6:$D$455,MATCH(C55,'Locations'!$A$6:$A$455,0))</f>
        <v>42.7284488140134</v>
      </c>
      <c r="V55" s="75">
        <f>INDEX('Locations'!$E$6:$E$455,MATCH(C55,'Locations'!$A$6:$A$455,0))</f>
        <v>-73.67389766477631</v>
      </c>
      <c r="W55" s="44"/>
    </row>
    <row r="56" ht="23.1" customHeight="1">
      <c r="A56" t="s" s="21">
        <v>664</v>
      </c>
      <c r="B56" t="s" s="45">
        <v>113</v>
      </c>
      <c r="C56" t="s" s="45">
        <v>255</v>
      </c>
      <c r="D56" t="s" s="45">
        <v>614</v>
      </c>
      <c r="E56" s="71">
        <f>2*6371000*ASIN(SQRT(MIN(1,SIN(RADIANS(U56-S56)/2)^2+COS(RADIANS(S56))*COS(RADIANS(U56))*SIN(RADIANS(V56-T56)/2)^2)))</f>
        <v>28.6687064653906</v>
      </c>
      <c r="F56" t="s" s="48">
        <v>70</v>
      </c>
      <c r="G56" t="s" s="48">
        <v>69</v>
      </c>
      <c r="H56" t="s" s="48">
        <v>69</v>
      </c>
      <c r="I56" t="s" s="48">
        <v>69</v>
      </c>
      <c r="J56" t="s" s="48">
        <v>69</v>
      </c>
      <c r="K56" s="72"/>
      <c r="L56" s="72"/>
      <c r="M56" s="50"/>
      <c r="N56" s="49"/>
      <c r="O56" s="50"/>
      <c r="P56" s="50"/>
      <c r="Q56" s="30">
        <v>52</v>
      </c>
      <c r="R56" s="61"/>
      <c r="S56" s="46">
        <f>INDEX('Locations'!$D$6:$D$455,MATCH(B56,'Locations'!$A$6:$A$455,0))</f>
        <v>42.7283076056935</v>
      </c>
      <c r="T56" s="46">
        <f>INDEX('Locations'!$E$6:$E$455,MATCH(B56,'Locations'!$A$6:$A$455,0))</f>
        <v>-73.67350733406759</v>
      </c>
      <c r="U56" s="46">
        <f>INDEX('Locations'!$D$6:$D$455,MATCH(C56,'Locations'!$A$6:$A$455,0))</f>
        <v>42.7281039600758</v>
      </c>
      <c r="V56" s="73">
        <f>INDEX('Locations'!$E$6:$E$455,MATCH(C56,'Locations'!$A$6:$A$455,0))</f>
        <v>-73.6737225847355</v>
      </c>
      <c r="W56" s="44"/>
    </row>
    <row r="57" ht="23.1" customHeight="1">
      <c r="A57" t="s" s="24">
        <v>665</v>
      </c>
      <c r="B57" t="s" s="53">
        <v>241</v>
      </c>
      <c r="C57" t="s" s="53">
        <v>257</v>
      </c>
      <c r="D57" t="s" s="53">
        <v>614</v>
      </c>
      <c r="E57" s="74">
        <f>2*6371000*ASIN(SQRT(MIN(1,SIN(RADIANS(U57-S57)/2)^2+COS(RADIANS(S57))*COS(RADIANS(U57))*SIN(RADIANS(V57-T57)/2)^2)))</f>
        <v>128.011422061638</v>
      </c>
      <c r="F57" t="s" s="48">
        <v>70</v>
      </c>
      <c r="G57" t="s" s="48">
        <v>69</v>
      </c>
      <c r="H57" t="s" s="48">
        <v>69</v>
      </c>
      <c r="I57" t="s" s="48">
        <v>69</v>
      </c>
      <c r="J57" t="s" s="48">
        <v>69</v>
      </c>
      <c r="K57" s="72"/>
      <c r="L57" s="72"/>
      <c r="M57" s="50"/>
      <c r="N57" s="49"/>
      <c r="O57" s="50"/>
      <c r="P57" s="50"/>
      <c r="Q57" s="32">
        <v>53</v>
      </c>
      <c r="R57" s="64"/>
      <c r="S57" s="54">
        <f>INDEX('Locations'!$D$6:$D$455,MATCH(B57,'Locations'!$A$6:$A$455,0))</f>
        <v>42.7291212791917</v>
      </c>
      <c r="T57" s="54">
        <f>INDEX('Locations'!$E$6:$E$455,MATCH(B57,'Locations'!$A$6:$A$455,0))</f>
        <v>-73.6725208990003</v>
      </c>
      <c r="U57" s="54">
        <f>INDEX('Locations'!$D$6:$D$455,MATCH(C57,'Locations'!$A$6:$A$455,0))</f>
        <v>42.7280005038946</v>
      </c>
      <c r="V57" s="75">
        <f>INDEX('Locations'!$E$6:$E$455,MATCH(C57,'Locations'!$A$6:$A$455,0))</f>
        <v>-73.6728790172658</v>
      </c>
      <c r="W57" s="44"/>
    </row>
    <row r="58" ht="23.1" customHeight="1">
      <c r="A58" t="s" s="21">
        <v>666</v>
      </c>
      <c r="B58" t="s" s="45">
        <v>255</v>
      </c>
      <c r="C58" t="s" s="45">
        <v>257</v>
      </c>
      <c r="D58" t="s" s="45">
        <v>614</v>
      </c>
      <c r="E58" s="71">
        <f>2*6371000*ASIN(SQRT(MIN(1,SIN(RADIANS(U58-S58)/2)^2+COS(RADIANS(S58))*COS(RADIANS(U58))*SIN(RADIANS(V58-T58)/2)^2)))</f>
        <v>69.85784818436299</v>
      </c>
      <c r="F58" t="s" s="48">
        <v>70</v>
      </c>
      <c r="G58" t="s" s="48">
        <v>69</v>
      </c>
      <c r="H58" t="s" s="48">
        <v>69</v>
      </c>
      <c r="I58" t="s" s="48">
        <v>69</v>
      </c>
      <c r="J58" t="s" s="48">
        <v>69</v>
      </c>
      <c r="K58" s="72"/>
      <c r="L58" s="72"/>
      <c r="M58" s="50"/>
      <c r="N58" s="49"/>
      <c r="O58" s="50"/>
      <c r="P58" s="50"/>
      <c r="Q58" s="30">
        <v>54</v>
      </c>
      <c r="R58" s="61"/>
      <c r="S58" s="46">
        <f>INDEX('Locations'!$D$6:$D$455,MATCH(B58,'Locations'!$A$6:$A$455,0))</f>
        <v>42.7281039600758</v>
      </c>
      <c r="T58" s="46">
        <f>INDEX('Locations'!$E$6:$E$455,MATCH(B58,'Locations'!$A$6:$A$455,0))</f>
        <v>-73.6737225847355</v>
      </c>
      <c r="U58" s="46">
        <f>INDEX('Locations'!$D$6:$D$455,MATCH(C58,'Locations'!$A$6:$A$455,0))</f>
        <v>42.7280005038946</v>
      </c>
      <c r="V58" s="73">
        <f>INDEX('Locations'!$E$6:$E$455,MATCH(C58,'Locations'!$A$6:$A$455,0))</f>
        <v>-73.6728790172658</v>
      </c>
      <c r="W58" s="44"/>
    </row>
    <row r="59" ht="23.1" customHeight="1">
      <c r="A59" t="s" s="24">
        <v>667</v>
      </c>
      <c r="B59" t="s" s="53">
        <v>253</v>
      </c>
      <c r="C59" t="s" s="53">
        <v>258</v>
      </c>
      <c r="D59" t="s" s="53">
        <v>614</v>
      </c>
      <c r="E59" s="74">
        <f>2*6371000*ASIN(SQRT(MIN(1,SIN(RADIANS(U59-S59)/2)^2+COS(RADIANS(S59))*COS(RADIANS(U59))*SIN(RADIANS(V59-T59)/2)^2)))</f>
        <v>52.318687807410</v>
      </c>
      <c r="F59" t="s" s="48">
        <v>70</v>
      </c>
      <c r="G59" t="s" s="48">
        <v>69</v>
      </c>
      <c r="H59" t="s" s="48">
        <v>69</v>
      </c>
      <c r="I59" t="s" s="48">
        <v>69</v>
      </c>
      <c r="J59" t="s" s="48">
        <v>69</v>
      </c>
      <c r="K59" s="72"/>
      <c r="L59" s="72"/>
      <c r="M59" s="50"/>
      <c r="N59" s="49"/>
      <c r="O59" s="50"/>
      <c r="P59" s="50"/>
      <c r="Q59" s="32">
        <v>55</v>
      </c>
      <c r="R59" s="64"/>
      <c r="S59" s="54">
        <f>INDEX('Locations'!$D$6:$D$455,MATCH(B59,'Locations'!$A$6:$A$455,0))</f>
        <v>42.7285177848009</v>
      </c>
      <c r="T59" s="54">
        <f>INDEX('Locations'!$E$6:$E$455,MATCH(B59,'Locations'!$A$6:$A$455,0))</f>
        <v>-73.6745438692909</v>
      </c>
      <c r="U59" s="54">
        <f>INDEX('Locations'!$D$6:$D$455,MATCH(C59,'Locations'!$A$6:$A$455,0))</f>
        <v>42.7288511436073</v>
      </c>
      <c r="V59" s="75">
        <f>INDEX('Locations'!$E$6:$E$455,MATCH(C59,'Locations'!$A$6:$A$455,0))</f>
        <v>-73.6749958941237</v>
      </c>
      <c r="W59" s="44"/>
    </row>
    <row r="60" ht="23.1" customHeight="1">
      <c r="A60" t="s" s="21">
        <v>668</v>
      </c>
      <c r="B60" t="s" s="45">
        <v>260</v>
      </c>
      <c r="C60" t="s" s="45">
        <v>259</v>
      </c>
      <c r="D60" t="s" s="45">
        <v>669</v>
      </c>
      <c r="E60" s="71">
        <f>2*6371000*ASIN(SQRT(MIN(1,SIN(RADIANS(U60-S60)/2)^2+COS(RADIANS(S60))*COS(RADIANS(U60))*SIN(RADIANS(V60-T60)/2)^2)))</f>
        <v>43.5434266368355</v>
      </c>
      <c r="F60" t="s" s="48">
        <v>70</v>
      </c>
      <c r="G60" t="s" s="48">
        <v>69</v>
      </c>
      <c r="H60" t="s" s="48">
        <v>69</v>
      </c>
      <c r="I60" t="s" s="48">
        <v>69</v>
      </c>
      <c r="J60" t="s" s="48">
        <v>69</v>
      </c>
      <c r="K60" s="72"/>
      <c r="L60" s="72"/>
      <c r="M60" s="50"/>
      <c r="N60" s="49"/>
      <c r="O60" s="50"/>
      <c r="P60" s="50"/>
      <c r="Q60" s="30">
        <v>56</v>
      </c>
      <c r="R60" s="61"/>
      <c r="S60" s="46">
        <f>INDEX('Locations'!$D$6:$D$455,MATCH(B60,'Locations'!$A$6:$A$455,0))</f>
        <v>42.7292488751486</v>
      </c>
      <c r="T60" s="46">
        <f>INDEX('Locations'!$E$6:$E$455,MATCH(B60,'Locations'!$A$6:$A$455,0))</f>
        <v>-73.6757344135688</v>
      </c>
      <c r="U60" s="46">
        <f>INDEX('Locations'!$D$6:$D$455,MATCH(C60,'Locations'!$A$6:$A$455,0))</f>
        <v>42.7290005803136</v>
      </c>
      <c r="V60" s="73">
        <f>INDEX('Locations'!$E$6:$E$455,MATCH(C60,'Locations'!$A$6:$A$455,0))</f>
        <v>-73.6753221796544</v>
      </c>
      <c r="W60" s="44"/>
    </row>
    <row r="61" ht="23.1" customHeight="1">
      <c r="A61" t="s" s="24">
        <v>670</v>
      </c>
      <c r="B61" t="s" s="53">
        <v>258</v>
      </c>
      <c r="C61" t="s" s="53">
        <v>259</v>
      </c>
      <c r="D61" t="s" s="53">
        <v>614</v>
      </c>
      <c r="E61" s="74">
        <f>2*6371000*ASIN(SQRT(MIN(1,SIN(RADIANS(U61-S61)/2)^2+COS(RADIANS(S61))*COS(RADIANS(U61))*SIN(RADIANS(V61-T61)/2)^2)))</f>
        <v>31.406997712552</v>
      </c>
      <c r="F61" t="s" s="48">
        <v>70</v>
      </c>
      <c r="G61" t="s" s="48">
        <v>69</v>
      </c>
      <c r="H61" t="s" s="48">
        <v>69</v>
      </c>
      <c r="I61" t="s" s="48">
        <v>69</v>
      </c>
      <c r="J61" t="s" s="48">
        <v>69</v>
      </c>
      <c r="K61" s="72"/>
      <c r="L61" s="72"/>
      <c r="M61" s="50"/>
      <c r="N61" s="49"/>
      <c r="O61" s="50"/>
      <c r="P61" s="50"/>
      <c r="Q61" s="32">
        <v>57</v>
      </c>
      <c r="R61" s="64"/>
      <c r="S61" s="54">
        <f>INDEX('Locations'!$D$6:$D$455,MATCH(B61,'Locations'!$A$6:$A$455,0))</f>
        <v>42.7288511436073</v>
      </c>
      <c r="T61" s="54">
        <f>INDEX('Locations'!$E$6:$E$455,MATCH(B61,'Locations'!$A$6:$A$455,0))</f>
        <v>-73.6749958941237</v>
      </c>
      <c r="U61" s="54">
        <f>INDEX('Locations'!$D$6:$D$455,MATCH(C61,'Locations'!$A$6:$A$455,0))</f>
        <v>42.7290005803136</v>
      </c>
      <c r="V61" s="75">
        <f>INDEX('Locations'!$E$6:$E$455,MATCH(C61,'Locations'!$A$6:$A$455,0))</f>
        <v>-73.6753221796544</v>
      </c>
      <c r="W61" s="44"/>
    </row>
    <row r="62" ht="23.1" customHeight="1">
      <c r="A62" t="s" s="21">
        <v>671</v>
      </c>
      <c r="B62" t="s" s="45">
        <v>261</v>
      </c>
      <c r="C62" t="s" s="45">
        <v>259</v>
      </c>
      <c r="D62" t="s" s="45">
        <v>614</v>
      </c>
      <c r="E62" s="71">
        <f>2*6371000*ASIN(SQRT(MIN(1,SIN(RADIANS(U62-S62)/2)^2+COS(RADIANS(S62))*COS(RADIANS(U62))*SIN(RADIANS(V62-T62)/2)^2)))</f>
        <v>29.3126150310992</v>
      </c>
      <c r="F62" t="s" s="48">
        <v>70</v>
      </c>
      <c r="G62" t="s" s="48">
        <v>69</v>
      </c>
      <c r="H62" t="s" s="48">
        <v>69</v>
      </c>
      <c r="I62" t="s" s="48">
        <v>69</v>
      </c>
      <c r="J62" t="s" s="48">
        <v>69</v>
      </c>
      <c r="K62" s="72"/>
      <c r="L62" s="72"/>
      <c r="M62" s="50"/>
      <c r="N62" s="49"/>
      <c r="O62" s="50"/>
      <c r="P62" s="50"/>
      <c r="Q62" s="30">
        <v>58</v>
      </c>
      <c r="R62" s="61"/>
      <c r="S62" s="46">
        <f>INDEX('Locations'!$D$6:$D$455,MATCH(B62,'Locations'!$A$6:$A$455,0))</f>
        <v>42.728766079636</v>
      </c>
      <c r="T62" s="46">
        <f>INDEX('Locations'!$E$6:$E$455,MATCH(B62,'Locations'!$A$6:$A$455,0))</f>
        <v>-73.6754861182381</v>
      </c>
      <c r="U62" s="46">
        <f>INDEX('Locations'!$D$6:$D$455,MATCH(C62,'Locations'!$A$6:$A$455,0))</f>
        <v>42.7290005803136</v>
      </c>
      <c r="V62" s="73">
        <f>INDEX('Locations'!$E$6:$E$455,MATCH(C62,'Locations'!$A$6:$A$455,0))</f>
        <v>-73.6753221796544</v>
      </c>
      <c r="W62" s="44"/>
    </row>
    <row r="63" ht="23.1" customHeight="1">
      <c r="A63" t="s" s="24">
        <v>672</v>
      </c>
      <c r="B63" t="s" s="53">
        <v>254</v>
      </c>
      <c r="C63" t="s" s="53">
        <v>262</v>
      </c>
      <c r="D63" t="s" s="53">
        <v>614</v>
      </c>
      <c r="E63" s="74">
        <f>2*6371000*ASIN(SQRT(MIN(1,SIN(RADIANS(U63-S63)/2)^2+COS(RADIANS(S63))*COS(RADIANS(U63))*SIN(RADIANS(V63-T63)/2)^2)))</f>
        <v>67.9991530770276</v>
      </c>
      <c r="F63" t="s" s="48">
        <v>70</v>
      </c>
      <c r="G63" t="s" s="48">
        <v>69</v>
      </c>
      <c r="H63" t="s" s="48">
        <v>69</v>
      </c>
      <c r="I63" t="s" s="48">
        <v>69</v>
      </c>
      <c r="J63" t="s" s="48">
        <v>69</v>
      </c>
      <c r="K63" s="72"/>
      <c r="L63" s="72"/>
      <c r="M63" s="50"/>
      <c r="N63" s="49"/>
      <c r="O63" s="50"/>
      <c r="P63" s="50"/>
      <c r="Q63" s="32">
        <v>59</v>
      </c>
      <c r="R63" s="64"/>
      <c r="S63" s="54">
        <f>INDEX('Locations'!$D$6:$D$455,MATCH(B63,'Locations'!$A$6:$A$455,0))</f>
        <v>42.7283143209778</v>
      </c>
      <c r="T63" s="54">
        <f>INDEX('Locations'!$E$6:$E$455,MATCH(B63,'Locations'!$A$6:$A$455,0))</f>
        <v>-73.6747157660583</v>
      </c>
      <c r="U63" s="54">
        <f>INDEX('Locations'!$D$6:$D$455,MATCH(C63,'Locations'!$A$6:$A$455,0))</f>
        <v>42.7284143286197</v>
      </c>
      <c r="V63" s="75">
        <f>INDEX('Locations'!$E$6:$E$455,MATCH(C63,'Locations'!$A$6:$A$455,0))</f>
        <v>-73.6755370506137</v>
      </c>
      <c r="W63" s="44"/>
    </row>
    <row r="64" ht="23.1" customHeight="1">
      <c r="A64" t="s" s="21">
        <v>673</v>
      </c>
      <c r="B64" t="s" s="45">
        <v>261</v>
      </c>
      <c r="C64" t="s" s="45">
        <v>262</v>
      </c>
      <c r="D64" t="s" s="45">
        <v>614</v>
      </c>
      <c r="E64" s="71">
        <f>2*6371000*ASIN(SQRT(MIN(1,SIN(RADIANS(U64-S64)/2)^2+COS(RADIANS(S64))*COS(RADIANS(U64))*SIN(RADIANS(V64-T64)/2)^2)))</f>
        <v>39.3335550824737</v>
      </c>
      <c r="F64" t="s" s="48">
        <v>70</v>
      </c>
      <c r="G64" t="s" s="48">
        <v>69</v>
      </c>
      <c r="H64" t="s" s="48">
        <v>69</v>
      </c>
      <c r="I64" t="s" s="48">
        <v>69</v>
      </c>
      <c r="J64" t="s" s="48">
        <v>69</v>
      </c>
      <c r="K64" s="72"/>
      <c r="L64" s="72"/>
      <c r="M64" s="50"/>
      <c r="N64" s="49"/>
      <c r="O64" s="50"/>
      <c r="P64" s="50"/>
      <c r="Q64" s="30">
        <v>60</v>
      </c>
      <c r="R64" s="61"/>
      <c r="S64" s="46">
        <f>INDEX('Locations'!$D$6:$D$455,MATCH(B64,'Locations'!$A$6:$A$455,0))</f>
        <v>42.728766079636</v>
      </c>
      <c r="T64" s="46">
        <f>INDEX('Locations'!$E$6:$E$455,MATCH(B64,'Locations'!$A$6:$A$455,0))</f>
        <v>-73.6754861182381</v>
      </c>
      <c r="U64" s="46">
        <f>INDEX('Locations'!$D$6:$D$455,MATCH(C64,'Locations'!$A$6:$A$455,0))</f>
        <v>42.7284143286197</v>
      </c>
      <c r="V64" s="73">
        <f>INDEX('Locations'!$E$6:$E$455,MATCH(C64,'Locations'!$A$6:$A$455,0))</f>
        <v>-73.6755370506137</v>
      </c>
      <c r="W64" s="44"/>
    </row>
    <row r="65" ht="23.1" customHeight="1">
      <c r="A65" t="s" s="24">
        <v>674</v>
      </c>
      <c r="B65" t="s" s="53">
        <v>254</v>
      </c>
      <c r="C65" t="s" s="53">
        <v>263</v>
      </c>
      <c r="D65" t="s" s="53">
        <v>614</v>
      </c>
      <c r="E65" s="74">
        <f>2*6371000*ASIN(SQRT(MIN(1,SIN(RADIANS(U65-S65)/2)^2+COS(RADIANS(S65))*COS(RADIANS(U65))*SIN(RADIANS(V65-T65)/2)^2)))</f>
        <v>44.2379575028078</v>
      </c>
      <c r="F65" t="s" s="48">
        <v>70</v>
      </c>
      <c r="G65" t="s" s="48">
        <v>69</v>
      </c>
      <c r="H65" t="s" s="48">
        <v>69</v>
      </c>
      <c r="I65" t="s" s="48">
        <v>69</v>
      </c>
      <c r="J65" t="s" s="48">
        <v>69</v>
      </c>
      <c r="K65" s="72"/>
      <c r="L65" s="72"/>
      <c r="M65" s="50"/>
      <c r="N65" s="49"/>
      <c r="O65" s="50"/>
      <c r="P65" s="50"/>
      <c r="Q65" s="32">
        <v>61</v>
      </c>
      <c r="R65" s="64"/>
      <c r="S65" s="54">
        <f>INDEX('Locations'!$D$6:$D$455,MATCH(B65,'Locations'!$A$6:$A$455,0))</f>
        <v>42.7283143209778</v>
      </c>
      <c r="T65" s="54">
        <f>INDEX('Locations'!$E$6:$E$455,MATCH(B65,'Locations'!$A$6:$A$455,0))</f>
        <v>-73.6747157660583</v>
      </c>
      <c r="U65" s="54">
        <f>INDEX('Locations'!$D$6:$D$455,MATCH(C65,'Locations'!$A$6:$A$455,0))</f>
        <v>42.7279165894364</v>
      </c>
      <c r="V65" s="75">
        <f>INDEX('Locations'!$E$6:$E$455,MATCH(C65,'Locations'!$A$6:$A$455,0))</f>
        <v>-73.6747030329644</v>
      </c>
      <c r="W65" s="44"/>
    </row>
    <row r="66" ht="23.1" customHeight="1">
      <c r="A66" t="s" s="21">
        <v>675</v>
      </c>
      <c r="B66" t="s" s="45">
        <v>266</v>
      </c>
      <c r="C66" t="s" s="45">
        <v>159</v>
      </c>
      <c r="D66" t="s" s="45">
        <v>614</v>
      </c>
      <c r="E66" s="71">
        <f>2*6371000*ASIN(SQRT(MIN(1,SIN(RADIANS(U66-S66)/2)^2+COS(RADIANS(S66))*COS(RADIANS(U66))*SIN(RADIANS(V66-T66)/2)^2)))</f>
        <v>27.9149984438476</v>
      </c>
      <c r="F66" t="s" s="48">
        <v>70</v>
      </c>
      <c r="G66" t="s" s="48">
        <v>69</v>
      </c>
      <c r="H66" t="s" s="48">
        <v>69</v>
      </c>
      <c r="I66" t="s" s="48">
        <v>69</v>
      </c>
      <c r="J66" t="s" s="48">
        <v>69</v>
      </c>
      <c r="K66" s="72"/>
      <c r="L66" s="72"/>
      <c r="M66" s="50"/>
      <c r="N66" s="49"/>
      <c r="O66" s="50"/>
      <c r="P66" s="50"/>
      <c r="Q66" s="30">
        <v>62</v>
      </c>
      <c r="R66" s="61"/>
      <c r="S66" s="46">
        <f>INDEX('Locations'!$D$6:$D$455,MATCH(B66,'Locations'!$A$6:$A$455,0))</f>
        <v>42.7274441395419</v>
      </c>
      <c r="T66" s="46">
        <f>INDEX('Locations'!$E$6:$E$455,MATCH(B66,'Locations'!$A$6:$A$455,0))</f>
        <v>-73.6747014413277</v>
      </c>
      <c r="U66" s="46">
        <f>INDEX('Locations'!$D$6:$D$455,MATCH(C66,'Locations'!$A$6:$A$455,0))</f>
        <v>42.7274275472005</v>
      </c>
      <c r="V66" s="73">
        <f>INDEX('Locations'!$E$6:$E$455,MATCH(C66,'Locations'!$A$6:$A$455,0))</f>
        <v>-73.6750424434785</v>
      </c>
      <c r="W66" s="44"/>
    </row>
    <row r="67" ht="23.1" customHeight="1">
      <c r="A67" t="s" s="24">
        <v>676</v>
      </c>
      <c r="B67" t="s" s="53">
        <v>117</v>
      </c>
      <c r="C67" t="s" s="53">
        <v>265</v>
      </c>
      <c r="D67" t="s" s="53">
        <v>614</v>
      </c>
      <c r="E67" s="74">
        <f>2*6371000*ASIN(SQRT(MIN(1,SIN(RADIANS(U67-S67)/2)^2+COS(RADIANS(S67))*COS(RADIANS(U67))*SIN(RADIANS(V67-T67)/2)^2)))</f>
        <v>22.0431824721862</v>
      </c>
      <c r="F67" t="s" s="48">
        <v>70</v>
      </c>
      <c r="G67" t="s" s="48">
        <v>69</v>
      </c>
      <c r="H67" t="s" s="48">
        <v>69</v>
      </c>
      <c r="I67" t="s" s="48">
        <v>69</v>
      </c>
      <c r="J67" t="s" s="48">
        <v>69</v>
      </c>
      <c r="K67" s="72"/>
      <c r="L67" s="72"/>
      <c r="M67" s="50"/>
      <c r="N67" s="49"/>
      <c r="O67" s="50"/>
      <c r="P67" s="50"/>
      <c r="Q67" s="32">
        <v>63</v>
      </c>
      <c r="R67" s="64"/>
      <c r="S67" s="54">
        <f>INDEX('Locations'!$D$6:$D$455,MATCH(B67,'Locations'!$A$6:$A$455,0))</f>
        <v>42.7272453915547</v>
      </c>
      <c r="T67" s="54">
        <f>INDEX('Locations'!$E$6:$E$455,MATCH(B67,'Locations'!$A$6:$A$455,0))</f>
        <v>-73.67408488012831</v>
      </c>
      <c r="U67" s="54">
        <f>INDEX('Locations'!$D$6:$D$455,MATCH(C67,'Locations'!$A$6:$A$455,0))</f>
        <v>42.7274257473319</v>
      </c>
      <c r="V67" s="75">
        <f>INDEX('Locations'!$E$6:$E$455,MATCH(C67,'Locations'!$A$6:$A$455,0))</f>
        <v>-73.6741968924826</v>
      </c>
      <c r="W67" s="44"/>
    </row>
    <row r="68" ht="23.1" customHeight="1">
      <c r="A68" t="s" s="21">
        <v>677</v>
      </c>
      <c r="B68" t="s" s="45">
        <v>268</v>
      </c>
      <c r="C68" t="s" s="45">
        <v>265</v>
      </c>
      <c r="D68" t="s" s="45">
        <v>614</v>
      </c>
      <c r="E68" s="71">
        <f>2*6371000*ASIN(SQRT(MIN(1,SIN(RADIANS(U68-S68)/2)^2+COS(RADIANS(S68))*COS(RADIANS(U68))*SIN(RADIANS(V68-T68)/2)^2)))</f>
        <v>32.2755952286015</v>
      </c>
      <c r="F68" t="s" s="48">
        <v>70</v>
      </c>
      <c r="G68" t="s" s="48">
        <v>69</v>
      </c>
      <c r="H68" t="s" s="48">
        <v>69</v>
      </c>
      <c r="I68" t="s" s="48">
        <v>69</v>
      </c>
      <c r="J68" t="s" s="48">
        <v>69</v>
      </c>
      <c r="K68" s="72"/>
      <c r="L68" s="72"/>
      <c r="M68" s="50"/>
      <c r="N68" s="49"/>
      <c r="O68" s="50"/>
      <c r="P68" s="50"/>
      <c r="Q68" s="30">
        <v>64</v>
      </c>
      <c r="R68" s="61"/>
      <c r="S68" s="46">
        <f>INDEX('Locations'!$D$6:$D$455,MATCH(B68,'Locations'!$A$6:$A$455,0))</f>
        <v>42.7271429671031</v>
      </c>
      <c r="T68" s="46">
        <f>INDEX('Locations'!$E$6:$E$455,MATCH(B68,'Locations'!$A$6:$A$455,0))</f>
        <v>-73.6742860241398</v>
      </c>
      <c r="U68" s="46">
        <f>INDEX('Locations'!$D$6:$D$455,MATCH(C68,'Locations'!$A$6:$A$455,0))</f>
        <v>42.7274257473319</v>
      </c>
      <c r="V68" s="73">
        <f>INDEX('Locations'!$E$6:$E$455,MATCH(C68,'Locations'!$A$6:$A$455,0))</f>
        <v>-73.6741968924826</v>
      </c>
      <c r="W68" s="44"/>
    </row>
    <row r="69" ht="23.1" customHeight="1">
      <c r="A69" t="s" s="24">
        <v>678</v>
      </c>
      <c r="B69" t="s" s="53">
        <v>267</v>
      </c>
      <c r="C69" t="s" s="53">
        <v>265</v>
      </c>
      <c r="D69" t="s" s="53">
        <v>614</v>
      </c>
      <c r="E69" s="74">
        <f>2*6371000*ASIN(SQRT(MIN(1,SIN(RADIANS(U69-S69)/2)^2+COS(RADIANS(S69))*COS(RADIANS(U69))*SIN(RADIANS(V69-T69)/2)^2)))</f>
        <v>51.6748941599819</v>
      </c>
      <c r="F69" t="s" s="48">
        <v>70</v>
      </c>
      <c r="G69" t="s" s="48">
        <v>69</v>
      </c>
      <c r="H69" t="s" s="48">
        <v>69</v>
      </c>
      <c r="I69" t="s" s="48">
        <v>69</v>
      </c>
      <c r="J69" t="s" s="48">
        <v>69</v>
      </c>
      <c r="K69" s="72"/>
      <c r="L69" s="72"/>
      <c r="M69" s="50"/>
      <c r="N69" s="49"/>
      <c r="O69" s="50"/>
      <c r="P69" s="50"/>
      <c r="Q69" s="32">
        <v>65</v>
      </c>
      <c r="R69" s="64"/>
      <c r="S69" s="54">
        <f>INDEX('Locations'!$D$6:$D$455,MATCH(B69,'Locations'!$A$6:$A$455,0))</f>
        <v>42.7271889476281</v>
      </c>
      <c r="T69" s="54">
        <f>INDEX('Locations'!$E$6:$E$455,MATCH(B69,'Locations'!$A$6:$A$455,0))</f>
        <v>-73.67474123224601</v>
      </c>
      <c r="U69" s="54">
        <f>INDEX('Locations'!$D$6:$D$455,MATCH(C69,'Locations'!$A$6:$A$455,0))</f>
        <v>42.7274257473319</v>
      </c>
      <c r="V69" s="75">
        <f>INDEX('Locations'!$E$6:$E$455,MATCH(C69,'Locations'!$A$6:$A$455,0))</f>
        <v>-73.6741968924826</v>
      </c>
      <c r="W69" s="44"/>
    </row>
    <row r="70" ht="23.1" customHeight="1">
      <c r="A70" t="s" s="21">
        <v>679</v>
      </c>
      <c r="B70" t="s" s="45">
        <v>266</v>
      </c>
      <c r="C70" t="s" s="45">
        <v>268</v>
      </c>
      <c r="D70" t="s" s="45">
        <v>614</v>
      </c>
      <c r="E70" s="71">
        <f>2*6371000*ASIN(SQRT(MIN(1,SIN(RADIANS(U70-S70)/2)^2+COS(RADIANS(S70))*COS(RADIANS(U70))*SIN(RADIANS(V70-T70)/2)^2)))</f>
        <v>47.6750935398448</v>
      </c>
      <c r="F70" t="s" s="48">
        <v>70</v>
      </c>
      <c r="G70" t="s" s="48">
        <v>69</v>
      </c>
      <c r="H70" t="s" s="48">
        <v>69</v>
      </c>
      <c r="I70" t="s" s="48">
        <v>69</v>
      </c>
      <c r="J70" t="s" s="48">
        <v>69</v>
      </c>
      <c r="K70" s="72"/>
      <c r="L70" s="72"/>
      <c r="M70" s="50"/>
      <c r="N70" s="49"/>
      <c r="O70" s="50"/>
      <c r="P70" s="50"/>
      <c r="Q70" s="30">
        <v>66</v>
      </c>
      <c r="R70" s="61"/>
      <c r="S70" s="46">
        <f>INDEX('Locations'!$D$6:$D$455,MATCH(B70,'Locations'!$A$6:$A$455,0))</f>
        <v>42.7274441395419</v>
      </c>
      <c r="T70" s="46">
        <f>INDEX('Locations'!$E$6:$E$455,MATCH(B70,'Locations'!$A$6:$A$455,0))</f>
        <v>-73.6747014413277</v>
      </c>
      <c r="U70" s="46">
        <f>INDEX('Locations'!$D$6:$D$455,MATCH(C70,'Locations'!$A$6:$A$455,0))</f>
        <v>42.7271429671031</v>
      </c>
      <c r="V70" s="73">
        <f>INDEX('Locations'!$E$6:$E$455,MATCH(C70,'Locations'!$A$6:$A$455,0))</f>
        <v>-73.6742860241398</v>
      </c>
      <c r="W70" s="44"/>
    </row>
    <row r="71" ht="23.1" customHeight="1">
      <c r="A71" t="s" s="24">
        <v>680</v>
      </c>
      <c r="B71" t="s" s="53">
        <v>267</v>
      </c>
      <c r="C71" t="s" s="53">
        <v>266</v>
      </c>
      <c r="D71" t="s" s="53">
        <v>614</v>
      </c>
      <c r="E71" s="74">
        <f>2*6371000*ASIN(SQRT(MIN(1,SIN(RADIANS(U71-S71)/2)^2+COS(RADIANS(S71))*COS(RADIANS(U71))*SIN(RADIANS(V71-T71)/2)^2)))</f>
        <v>28.5615828753608</v>
      </c>
      <c r="F71" t="s" s="48">
        <v>70</v>
      </c>
      <c r="G71" t="s" s="48">
        <v>69</v>
      </c>
      <c r="H71" t="s" s="48">
        <v>69</v>
      </c>
      <c r="I71" t="s" s="48">
        <v>69</v>
      </c>
      <c r="J71" t="s" s="48">
        <v>69</v>
      </c>
      <c r="K71" s="72"/>
      <c r="L71" s="72"/>
      <c r="M71" s="50"/>
      <c r="N71" s="49"/>
      <c r="O71" s="50"/>
      <c r="P71" s="50"/>
      <c r="Q71" s="32">
        <v>67</v>
      </c>
      <c r="R71" s="64"/>
      <c r="S71" s="54">
        <f>INDEX('Locations'!$D$6:$D$455,MATCH(B71,'Locations'!$A$6:$A$455,0))</f>
        <v>42.7271889476281</v>
      </c>
      <c r="T71" s="54">
        <f>INDEX('Locations'!$E$6:$E$455,MATCH(B71,'Locations'!$A$6:$A$455,0))</f>
        <v>-73.67474123224601</v>
      </c>
      <c r="U71" s="54">
        <f>INDEX('Locations'!$D$6:$D$455,MATCH(C71,'Locations'!$A$6:$A$455,0))</f>
        <v>42.7274441395419</v>
      </c>
      <c r="V71" s="75">
        <f>INDEX('Locations'!$E$6:$E$455,MATCH(C71,'Locations'!$A$6:$A$455,0))</f>
        <v>-73.6747014413277</v>
      </c>
      <c r="W71" s="44"/>
    </row>
    <row r="72" ht="23.1" customHeight="1">
      <c r="A72" t="s" s="21">
        <v>681</v>
      </c>
      <c r="B72" t="s" s="45">
        <v>265</v>
      </c>
      <c r="C72" t="s" s="45">
        <v>266</v>
      </c>
      <c r="D72" t="s" s="45">
        <v>614</v>
      </c>
      <c r="E72" s="71">
        <f>2*6371000*ASIN(SQRT(MIN(1,SIN(RADIANS(U72-S72)/2)^2+COS(RADIANS(S72))*COS(RADIANS(U72))*SIN(RADIANS(V72-T72)/2)^2)))</f>
        <v>41.2636021654541</v>
      </c>
      <c r="F72" t="s" s="48">
        <v>70</v>
      </c>
      <c r="G72" t="s" s="48">
        <v>69</v>
      </c>
      <c r="H72" t="s" s="48">
        <v>69</v>
      </c>
      <c r="I72" t="s" s="48">
        <v>69</v>
      </c>
      <c r="J72" t="s" s="48">
        <v>69</v>
      </c>
      <c r="K72" s="72"/>
      <c r="L72" s="72"/>
      <c r="M72" s="50"/>
      <c r="N72" s="49"/>
      <c r="O72" s="50"/>
      <c r="P72" s="50"/>
      <c r="Q72" s="30">
        <v>68</v>
      </c>
      <c r="R72" s="61"/>
      <c r="S72" s="46">
        <f>INDEX('Locations'!$D$6:$D$455,MATCH(B72,'Locations'!$A$6:$A$455,0))</f>
        <v>42.7274257473319</v>
      </c>
      <c r="T72" s="46">
        <f>INDEX('Locations'!$E$6:$E$455,MATCH(B72,'Locations'!$A$6:$A$455,0))</f>
        <v>-73.6741968924826</v>
      </c>
      <c r="U72" s="46">
        <f>INDEX('Locations'!$D$6:$D$455,MATCH(C72,'Locations'!$A$6:$A$455,0))</f>
        <v>42.7274441395419</v>
      </c>
      <c r="V72" s="73">
        <f>INDEX('Locations'!$E$6:$E$455,MATCH(C72,'Locations'!$A$6:$A$455,0))</f>
        <v>-73.6747014413277</v>
      </c>
      <c r="W72" s="44"/>
    </row>
    <row r="73" ht="23.1" customHeight="1">
      <c r="A73" t="s" s="24">
        <v>682</v>
      </c>
      <c r="B73" t="s" s="53">
        <v>267</v>
      </c>
      <c r="C73" t="s" s="53">
        <v>268</v>
      </c>
      <c r="D73" t="s" s="53">
        <v>614</v>
      </c>
      <c r="E73" s="74">
        <f>2*6371000*ASIN(SQRT(MIN(1,SIN(RADIANS(U73-S73)/2)^2+COS(RADIANS(S73))*COS(RADIANS(U73))*SIN(RADIANS(V73-T73)/2)^2)))</f>
        <v>37.5326398245731</v>
      </c>
      <c r="F73" t="s" s="48">
        <v>70</v>
      </c>
      <c r="G73" t="s" s="48">
        <v>69</v>
      </c>
      <c r="H73" t="s" s="48">
        <v>69</v>
      </c>
      <c r="I73" t="s" s="48">
        <v>69</v>
      </c>
      <c r="J73" t="s" s="48">
        <v>69</v>
      </c>
      <c r="K73" s="72"/>
      <c r="L73" s="72"/>
      <c r="M73" s="50"/>
      <c r="N73" s="49"/>
      <c r="O73" s="50"/>
      <c r="P73" s="50"/>
      <c r="Q73" s="32">
        <v>69</v>
      </c>
      <c r="R73" s="64"/>
      <c r="S73" s="54">
        <f>INDEX('Locations'!$D$6:$D$455,MATCH(B73,'Locations'!$A$6:$A$455,0))</f>
        <v>42.7271889476281</v>
      </c>
      <c r="T73" s="54">
        <f>INDEX('Locations'!$E$6:$E$455,MATCH(B73,'Locations'!$A$6:$A$455,0))</f>
        <v>-73.67474123224601</v>
      </c>
      <c r="U73" s="54">
        <f>INDEX('Locations'!$D$6:$D$455,MATCH(C73,'Locations'!$A$6:$A$455,0))</f>
        <v>42.7271429671031</v>
      </c>
      <c r="V73" s="75">
        <f>INDEX('Locations'!$E$6:$E$455,MATCH(C73,'Locations'!$A$6:$A$455,0))</f>
        <v>-73.6742860241398</v>
      </c>
      <c r="W73" s="44"/>
    </row>
    <row r="74" ht="23.1" customHeight="1">
      <c r="A74" t="s" s="21">
        <v>683</v>
      </c>
      <c r="B74" t="s" s="45">
        <v>194</v>
      </c>
      <c r="C74" t="s" s="45">
        <v>267</v>
      </c>
      <c r="D74" t="s" s="45">
        <v>614</v>
      </c>
      <c r="E74" s="71">
        <f>2*6371000*ASIN(SQRT(MIN(1,SIN(RADIANS(U74-S74)/2)^2+COS(RADIANS(S74))*COS(RADIANS(U74))*SIN(RADIANS(V74-T74)/2)^2)))</f>
        <v>19.7513256038375</v>
      </c>
      <c r="F74" t="s" s="48">
        <v>70</v>
      </c>
      <c r="G74" t="s" s="48">
        <v>69</v>
      </c>
      <c r="H74" t="s" s="48">
        <v>69</v>
      </c>
      <c r="I74" t="s" s="48">
        <v>69</v>
      </c>
      <c r="J74" t="s" s="48">
        <v>69</v>
      </c>
      <c r="K74" s="72"/>
      <c r="L74" s="72"/>
      <c r="M74" s="50"/>
      <c r="N74" s="49"/>
      <c r="O74" s="50"/>
      <c r="P74" s="50"/>
      <c r="Q74" s="30">
        <v>70</v>
      </c>
      <c r="R74" s="61"/>
      <c r="S74" s="46">
        <f>INDEX('Locations'!$D$6:$D$455,MATCH(B74,'Locations'!$A$6:$A$455,0))</f>
        <v>42.7270250661145</v>
      </c>
      <c r="T74" s="46">
        <f>INDEX('Locations'!$E$6:$E$455,MATCH(B74,'Locations'!$A$6:$A$455,0))</f>
        <v>-73.6746479607236</v>
      </c>
      <c r="U74" s="46">
        <f>INDEX('Locations'!$D$6:$D$455,MATCH(C74,'Locations'!$A$6:$A$455,0))</f>
        <v>42.7271889476281</v>
      </c>
      <c r="V74" s="73">
        <f>INDEX('Locations'!$E$6:$E$455,MATCH(C74,'Locations'!$A$6:$A$455,0))</f>
        <v>-73.67474123224601</v>
      </c>
      <c r="W74" s="44"/>
    </row>
    <row r="75" ht="23.1" customHeight="1">
      <c r="A75" t="s" s="24">
        <v>684</v>
      </c>
      <c r="B75" t="s" s="53">
        <v>268</v>
      </c>
      <c r="C75" t="s" s="53">
        <v>194</v>
      </c>
      <c r="D75" t="s" s="53">
        <v>614</v>
      </c>
      <c r="E75" s="74">
        <f>2*6371000*ASIN(SQRT(MIN(1,SIN(RADIANS(U75-S75)/2)^2+COS(RADIANS(S75))*COS(RADIANS(U75))*SIN(RADIANS(V75-T75)/2)^2)))</f>
        <v>32.3405077570667</v>
      </c>
      <c r="F75" t="s" s="48">
        <v>70</v>
      </c>
      <c r="G75" t="s" s="48">
        <v>69</v>
      </c>
      <c r="H75" t="s" s="48">
        <v>69</v>
      </c>
      <c r="I75" t="s" s="48">
        <v>69</v>
      </c>
      <c r="J75" t="s" s="48">
        <v>69</v>
      </c>
      <c r="K75" s="72"/>
      <c r="L75" s="72"/>
      <c r="M75" s="50"/>
      <c r="N75" s="49"/>
      <c r="O75" s="50"/>
      <c r="P75" s="50"/>
      <c r="Q75" s="32">
        <v>71</v>
      </c>
      <c r="R75" s="64"/>
      <c r="S75" s="54">
        <f>INDEX('Locations'!$D$6:$D$455,MATCH(B75,'Locations'!$A$6:$A$455,0))</f>
        <v>42.7271429671031</v>
      </c>
      <c r="T75" s="54">
        <f>INDEX('Locations'!$E$6:$E$455,MATCH(B75,'Locations'!$A$6:$A$455,0))</f>
        <v>-73.6742860241398</v>
      </c>
      <c r="U75" s="54">
        <f>INDEX('Locations'!$D$6:$D$455,MATCH(C75,'Locations'!$A$6:$A$455,0))</f>
        <v>42.7270250661145</v>
      </c>
      <c r="V75" s="75">
        <f>INDEX('Locations'!$E$6:$E$455,MATCH(C75,'Locations'!$A$6:$A$455,0))</f>
        <v>-73.6746479607236</v>
      </c>
      <c r="W75" s="44"/>
    </row>
    <row r="76" ht="23.1" customHeight="1">
      <c r="A76" t="s" s="21">
        <v>685</v>
      </c>
      <c r="B76" t="s" s="45">
        <v>265</v>
      </c>
      <c r="C76" t="s" s="45">
        <v>264</v>
      </c>
      <c r="D76" t="s" s="45">
        <v>614</v>
      </c>
      <c r="E76" s="71">
        <f>2*6371000*ASIN(SQRT(MIN(1,SIN(RADIANS(U76-S76)/2)^2+COS(RADIANS(S76))*COS(RADIANS(U76))*SIN(RADIANS(V76-T76)/2)^2)))</f>
        <v>48.5714246246147</v>
      </c>
      <c r="F76" t="s" s="48">
        <v>70</v>
      </c>
      <c r="G76" t="s" s="48">
        <v>69</v>
      </c>
      <c r="H76" t="s" s="48">
        <v>69</v>
      </c>
      <c r="I76" t="s" s="48">
        <v>69</v>
      </c>
      <c r="J76" t="s" s="48">
        <v>69</v>
      </c>
      <c r="K76" s="72"/>
      <c r="L76" s="72"/>
      <c r="M76" s="50"/>
      <c r="N76" s="49"/>
      <c r="O76" s="50"/>
      <c r="P76" s="50"/>
      <c r="Q76" s="30">
        <v>72</v>
      </c>
      <c r="R76" s="61"/>
      <c r="S76" s="46">
        <f>INDEX('Locations'!$D$6:$D$455,MATCH(B76,'Locations'!$A$6:$A$455,0))</f>
        <v>42.7274257473319</v>
      </c>
      <c r="T76" s="46">
        <f>INDEX('Locations'!$E$6:$E$455,MATCH(B76,'Locations'!$A$6:$A$455,0))</f>
        <v>-73.6741968924826</v>
      </c>
      <c r="U76" s="46">
        <f>INDEX('Locations'!$D$6:$D$455,MATCH(C76,'Locations'!$A$6:$A$455,0))</f>
        <v>42.7278361235176</v>
      </c>
      <c r="V76" s="73">
        <f>INDEX('Locations'!$E$6:$E$455,MATCH(C76,'Locations'!$A$6:$A$455,0))</f>
        <v>-73.67399316298049</v>
      </c>
      <c r="W76" s="44"/>
    </row>
    <row r="77" ht="23.1" customHeight="1">
      <c r="A77" t="s" s="24">
        <v>686</v>
      </c>
      <c r="B77" t="s" s="53">
        <v>255</v>
      </c>
      <c r="C77" t="s" s="53">
        <v>269</v>
      </c>
      <c r="D77" t="s" s="53">
        <v>614</v>
      </c>
      <c r="E77" s="74">
        <f>2*6371000*ASIN(SQRT(MIN(1,SIN(RADIANS(U77-S77)/2)^2+COS(RADIANS(S77))*COS(RADIANS(U77))*SIN(RADIANS(V77-T77)/2)^2)))</f>
        <v>18.1610028285058</v>
      </c>
      <c r="F77" t="s" s="48">
        <v>70</v>
      </c>
      <c r="G77" t="s" s="48">
        <v>69</v>
      </c>
      <c r="H77" t="s" s="48">
        <v>69</v>
      </c>
      <c r="I77" t="s" s="48">
        <v>69</v>
      </c>
      <c r="J77" t="s" s="48">
        <v>69</v>
      </c>
      <c r="K77" s="72"/>
      <c r="L77" s="72"/>
      <c r="M77" s="50"/>
      <c r="N77" s="49"/>
      <c r="O77" s="50"/>
      <c r="P77" s="50"/>
      <c r="Q77" s="32">
        <v>73</v>
      </c>
      <c r="R77" s="64"/>
      <c r="S77" s="54">
        <f>INDEX('Locations'!$D$6:$D$455,MATCH(B77,'Locations'!$A$6:$A$455,0))</f>
        <v>42.7281039600758</v>
      </c>
      <c r="T77" s="54">
        <f>INDEX('Locations'!$E$6:$E$455,MATCH(B77,'Locations'!$A$6:$A$455,0))</f>
        <v>-73.6737225847355</v>
      </c>
      <c r="U77" s="54">
        <f>INDEX('Locations'!$D$6:$D$455,MATCH(C77,'Locations'!$A$6:$A$455,0))</f>
        <v>42.7280441853933</v>
      </c>
      <c r="V77" s="75">
        <f>INDEX('Locations'!$E$6:$E$455,MATCH(C77,'Locations'!$A$6:$A$455,0))</f>
        <v>-73.6739294975111</v>
      </c>
      <c r="W77" s="44"/>
    </row>
    <row r="78" ht="23.1" customHeight="1">
      <c r="A78" t="s" s="21">
        <v>687</v>
      </c>
      <c r="B78" t="s" s="45">
        <v>264</v>
      </c>
      <c r="C78" t="s" s="45">
        <v>269</v>
      </c>
      <c r="D78" t="s" s="45">
        <v>614</v>
      </c>
      <c r="E78" s="71">
        <f>2*6371000*ASIN(SQRT(MIN(1,SIN(RADIANS(U78-S78)/2)^2+COS(RADIANS(S78))*COS(RADIANS(U78))*SIN(RADIANS(V78-T78)/2)^2)))</f>
        <v>23.712681060330</v>
      </c>
      <c r="F78" t="s" s="48">
        <v>70</v>
      </c>
      <c r="G78" t="s" s="48">
        <v>69</v>
      </c>
      <c r="H78" t="s" s="48">
        <v>69</v>
      </c>
      <c r="I78" t="s" s="48">
        <v>69</v>
      </c>
      <c r="J78" t="s" s="48">
        <v>69</v>
      </c>
      <c r="K78" s="72"/>
      <c r="L78" s="72"/>
      <c r="M78" s="50"/>
      <c r="N78" s="49"/>
      <c r="O78" s="50"/>
      <c r="P78" s="50"/>
      <c r="Q78" s="30">
        <v>74</v>
      </c>
      <c r="R78" s="61"/>
      <c r="S78" s="46">
        <f>INDEX('Locations'!$D$6:$D$455,MATCH(B78,'Locations'!$A$6:$A$455,0))</f>
        <v>42.7278361235176</v>
      </c>
      <c r="T78" s="46">
        <f>INDEX('Locations'!$E$6:$E$455,MATCH(B78,'Locations'!$A$6:$A$455,0))</f>
        <v>-73.67399316298049</v>
      </c>
      <c r="U78" s="46">
        <f>INDEX('Locations'!$D$6:$D$455,MATCH(C78,'Locations'!$A$6:$A$455,0))</f>
        <v>42.7280441853933</v>
      </c>
      <c r="V78" s="73">
        <f>INDEX('Locations'!$E$6:$E$455,MATCH(C78,'Locations'!$A$6:$A$455,0))</f>
        <v>-73.6739294975111</v>
      </c>
      <c r="W78" s="44"/>
    </row>
    <row r="79" ht="23.1" customHeight="1">
      <c r="A79" t="s" s="24">
        <v>688</v>
      </c>
      <c r="B79" t="s" s="53">
        <v>264</v>
      </c>
      <c r="C79" t="s" s="53">
        <v>263</v>
      </c>
      <c r="D79" t="s" s="53">
        <v>614</v>
      </c>
      <c r="E79" s="74">
        <f>2*6371000*ASIN(SQRT(MIN(1,SIN(RADIANS(U79-S79)/2)^2+COS(RADIANS(S79))*COS(RADIANS(U79))*SIN(RADIANS(V79-T79)/2)^2)))</f>
        <v>58.6699254661108</v>
      </c>
      <c r="F79" t="s" s="48">
        <v>70</v>
      </c>
      <c r="G79" t="s" s="48">
        <v>69</v>
      </c>
      <c r="H79" t="s" s="48">
        <v>69</v>
      </c>
      <c r="I79" t="s" s="48">
        <v>69</v>
      </c>
      <c r="J79" t="s" s="48">
        <v>69</v>
      </c>
      <c r="K79" s="72"/>
      <c r="L79" s="72"/>
      <c r="M79" s="50"/>
      <c r="N79" s="49"/>
      <c r="O79" s="50"/>
      <c r="P79" s="50"/>
      <c r="Q79" s="32">
        <v>75</v>
      </c>
      <c r="R79" s="64"/>
      <c r="S79" s="54">
        <f>INDEX('Locations'!$D$6:$D$455,MATCH(B79,'Locations'!$A$6:$A$455,0))</f>
        <v>42.7278361235176</v>
      </c>
      <c r="T79" s="54">
        <f>INDEX('Locations'!$E$6:$E$455,MATCH(B79,'Locations'!$A$6:$A$455,0))</f>
        <v>-73.67399316298049</v>
      </c>
      <c r="U79" s="54">
        <f>INDEX('Locations'!$D$6:$D$455,MATCH(C79,'Locations'!$A$6:$A$455,0))</f>
        <v>42.7279165894364</v>
      </c>
      <c r="V79" s="75">
        <f>INDEX('Locations'!$E$6:$E$455,MATCH(C79,'Locations'!$A$6:$A$455,0))</f>
        <v>-73.6747030329644</v>
      </c>
      <c r="W79" s="44"/>
    </row>
    <row r="80" ht="23.1" customHeight="1">
      <c r="A80" t="s" s="21">
        <v>689</v>
      </c>
      <c r="B80" t="s" s="45">
        <v>155</v>
      </c>
      <c r="C80" t="s" s="45">
        <v>264</v>
      </c>
      <c r="D80" t="s" s="45">
        <v>614</v>
      </c>
      <c r="E80" s="71">
        <f>2*6371000*ASIN(SQRT(MIN(1,SIN(RADIANS(U80-S80)/2)^2+COS(RADIANS(S80))*COS(RADIANS(U80))*SIN(RADIANS(V80-T80)/2)^2)))</f>
        <v>35.6171421907417</v>
      </c>
      <c r="F80" t="s" s="48">
        <v>70</v>
      </c>
      <c r="G80" t="s" s="48">
        <v>69</v>
      </c>
      <c r="H80" t="s" s="48">
        <v>69</v>
      </c>
      <c r="I80" t="s" s="48">
        <v>69</v>
      </c>
      <c r="J80" t="s" s="48">
        <v>69</v>
      </c>
      <c r="K80" s="72"/>
      <c r="L80" s="72"/>
      <c r="M80" s="50"/>
      <c r="N80" s="49"/>
      <c r="O80" s="50"/>
      <c r="P80" s="50"/>
      <c r="Q80" s="30">
        <v>76</v>
      </c>
      <c r="R80" s="61"/>
      <c r="S80" s="46">
        <f>INDEX('Locations'!$D$6:$D$455,MATCH(B80,'Locations'!$A$6:$A$455,0))</f>
        <v>42.727659785464</v>
      </c>
      <c r="T80" s="46">
        <f>INDEX('Locations'!$E$6:$E$455,MATCH(B80,'Locations'!$A$6:$A$455,0))</f>
        <v>-73.67362914253449</v>
      </c>
      <c r="U80" s="46">
        <f>INDEX('Locations'!$D$6:$D$455,MATCH(C80,'Locations'!$A$6:$A$455,0))</f>
        <v>42.7278361235176</v>
      </c>
      <c r="V80" s="73">
        <f>INDEX('Locations'!$E$6:$E$455,MATCH(C80,'Locations'!$A$6:$A$455,0))</f>
        <v>-73.67399316298049</v>
      </c>
      <c r="W80" s="44"/>
    </row>
    <row r="81" ht="23.1" customHeight="1">
      <c r="A81" t="s" s="24">
        <v>690</v>
      </c>
      <c r="B81" t="s" s="53">
        <v>207</v>
      </c>
      <c r="C81" t="s" s="53">
        <v>263</v>
      </c>
      <c r="D81" t="s" s="53">
        <v>614</v>
      </c>
      <c r="E81" s="74">
        <f>2*6371000*ASIN(SQRT(MIN(1,SIN(RADIANS(U81-S81)/2)^2+COS(RADIANS(S81))*COS(RADIANS(U81))*SIN(RADIANS(V81-T81)/2)^2)))</f>
        <v>46.0049484021282</v>
      </c>
      <c r="F81" t="s" s="48">
        <v>70</v>
      </c>
      <c r="G81" t="s" s="48">
        <v>69</v>
      </c>
      <c r="H81" t="s" s="48">
        <v>69</v>
      </c>
      <c r="I81" t="s" s="48">
        <v>69</v>
      </c>
      <c r="J81" t="s" s="48">
        <v>69</v>
      </c>
      <c r="K81" s="72"/>
      <c r="L81" s="72"/>
      <c r="M81" s="50"/>
      <c r="N81" s="49"/>
      <c r="O81" s="50"/>
      <c r="P81" s="50"/>
      <c r="Q81" s="32">
        <v>77</v>
      </c>
      <c r="R81" s="64"/>
      <c r="S81" s="54">
        <f>INDEX('Locations'!$D$6:$D$455,MATCH(B81,'Locations'!$A$6:$A$455,0))</f>
        <v>42.7279134886281</v>
      </c>
      <c r="T81" s="54">
        <f>INDEX('Locations'!$E$6:$E$455,MATCH(B81,'Locations'!$A$6:$A$455,0))</f>
        <v>-73.6752662371224</v>
      </c>
      <c r="U81" s="54">
        <f>INDEX('Locations'!$D$6:$D$455,MATCH(C81,'Locations'!$A$6:$A$455,0))</f>
        <v>42.7279165894364</v>
      </c>
      <c r="V81" s="75">
        <f>INDEX('Locations'!$E$6:$E$455,MATCH(C81,'Locations'!$A$6:$A$455,0))</f>
        <v>-73.6747030329644</v>
      </c>
      <c r="W81" s="44"/>
    </row>
    <row r="82" ht="23.1" customHeight="1">
      <c r="A82" t="s" s="21">
        <v>691</v>
      </c>
      <c r="B82" t="s" s="45">
        <v>235</v>
      </c>
      <c r="C82" t="s" s="45">
        <v>270</v>
      </c>
      <c r="D82" t="s" s="45">
        <v>614</v>
      </c>
      <c r="E82" s="71">
        <f>2*6371000*ASIN(SQRT(MIN(1,SIN(RADIANS(U82-S82)/2)^2+COS(RADIANS(S82))*COS(RADIANS(U82))*SIN(RADIANS(V82-T82)/2)^2)))</f>
        <v>57.6655421174415</v>
      </c>
      <c r="F82" t="s" s="48">
        <v>70</v>
      </c>
      <c r="G82" t="s" s="48">
        <v>69</v>
      </c>
      <c r="H82" t="s" s="48">
        <v>69</v>
      </c>
      <c r="I82" t="s" s="48">
        <v>69</v>
      </c>
      <c r="J82" t="s" s="48">
        <v>69</v>
      </c>
      <c r="K82" s="72"/>
      <c r="L82" s="72"/>
      <c r="M82" s="50"/>
      <c r="N82" s="49"/>
      <c r="O82" s="50"/>
      <c r="P82" s="50"/>
      <c r="Q82" s="30">
        <v>78</v>
      </c>
      <c r="R82" s="61"/>
      <c r="S82" s="46">
        <f>INDEX('Locations'!$D$6:$D$455,MATCH(B82,'Locations'!$A$6:$A$455,0))</f>
        <v>42.7303075767371</v>
      </c>
      <c r="T82" s="46">
        <f>INDEX('Locations'!$E$6:$E$455,MATCH(B82,'Locations'!$A$6:$A$455,0))</f>
        <v>-73.6758617445077</v>
      </c>
      <c r="U82" s="46">
        <f>INDEX('Locations'!$D$6:$D$455,MATCH(C82,'Locations'!$A$6:$A$455,0))</f>
        <v>42.729793744370</v>
      </c>
      <c r="V82" s="73">
        <f>INDEX('Locations'!$E$6:$E$455,MATCH(C82,'Locations'!$A$6:$A$455,0))</f>
        <v>-73.6757662463036</v>
      </c>
      <c r="W82" s="44"/>
    </row>
    <row r="83" ht="23.1" customHeight="1">
      <c r="A83" t="s" s="24">
        <v>692</v>
      </c>
      <c r="B83" t="s" s="53">
        <v>260</v>
      </c>
      <c r="C83" t="s" s="53">
        <v>270</v>
      </c>
      <c r="D83" t="s" s="53">
        <v>614</v>
      </c>
      <c r="E83" s="74">
        <f>2*6371000*ASIN(SQRT(MIN(1,SIN(RADIANS(U83-S83)/2)^2+COS(RADIANS(S83))*COS(RADIANS(U83))*SIN(RADIANS(V83-T83)/2)^2)))</f>
        <v>60.6424593409649</v>
      </c>
      <c r="F83" t="s" s="48">
        <v>70</v>
      </c>
      <c r="G83" t="s" s="48">
        <v>69</v>
      </c>
      <c r="H83" t="s" s="48">
        <v>69</v>
      </c>
      <c r="I83" t="s" s="48">
        <v>69</v>
      </c>
      <c r="J83" t="s" s="48">
        <v>69</v>
      </c>
      <c r="K83" s="72"/>
      <c r="L83" s="72"/>
      <c r="M83" s="50"/>
      <c r="N83" s="49"/>
      <c r="O83" s="50"/>
      <c r="P83" s="50"/>
      <c r="Q83" s="32">
        <v>79</v>
      </c>
      <c r="R83" s="64"/>
      <c r="S83" s="54">
        <f>INDEX('Locations'!$D$6:$D$455,MATCH(B83,'Locations'!$A$6:$A$455,0))</f>
        <v>42.7292488751486</v>
      </c>
      <c r="T83" s="54">
        <f>INDEX('Locations'!$E$6:$E$455,MATCH(B83,'Locations'!$A$6:$A$455,0))</f>
        <v>-73.6757344135688</v>
      </c>
      <c r="U83" s="54">
        <f>INDEX('Locations'!$D$6:$D$455,MATCH(C83,'Locations'!$A$6:$A$455,0))</f>
        <v>42.729793744370</v>
      </c>
      <c r="V83" s="75">
        <f>INDEX('Locations'!$E$6:$E$455,MATCH(C83,'Locations'!$A$6:$A$455,0))</f>
        <v>-73.6757662463036</v>
      </c>
      <c r="W83" s="44"/>
    </row>
    <row r="84" ht="23.1" customHeight="1">
      <c r="A84" t="s" s="21">
        <v>693</v>
      </c>
      <c r="B84" t="s" s="45">
        <v>167</v>
      </c>
      <c r="C84" t="s" s="45">
        <v>271</v>
      </c>
      <c r="D84" t="s" s="45">
        <v>614</v>
      </c>
      <c r="E84" s="71">
        <f>2*6371000*ASIN(SQRT(MIN(1,SIN(RADIANS(U84-S84)/2)^2+COS(RADIANS(S84))*COS(RADIANS(U84))*SIN(RADIANS(V84-T84)/2)^2)))</f>
        <v>25.5544469227844</v>
      </c>
      <c r="F84" t="s" s="48">
        <v>70</v>
      </c>
      <c r="G84" t="s" s="48">
        <v>69</v>
      </c>
      <c r="H84" t="s" s="48">
        <v>69</v>
      </c>
      <c r="I84" t="s" s="48">
        <v>69</v>
      </c>
      <c r="J84" t="s" s="48">
        <v>69</v>
      </c>
      <c r="K84" s="72"/>
      <c r="L84" s="72"/>
      <c r="M84" s="50"/>
      <c r="N84" s="49"/>
      <c r="O84" s="50"/>
      <c r="P84" s="50"/>
      <c r="Q84" s="30">
        <v>80</v>
      </c>
      <c r="R84" s="61"/>
      <c r="S84" s="46">
        <f>INDEX('Locations'!$D$6:$D$455,MATCH(B84,'Locations'!$A$6:$A$455,0))</f>
        <v>42.7301321088195</v>
      </c>
      <c r="T84" s="46">
        <f>INDEX('Locations'!$E$6:$E$455,MATCH(B84,'Locations'!$A$6:$A$455,0))</f>
        <v>-73.6777225353032</v>
      </c>
      <c r="U84" s="46">
        <f>INDEX('Locations'!$D$6:$D$455,MATCH(C84,'Locations'!$A$6:$A$455,0))</f>
        <v>42.7300581323889</v>
      </c>
      <c r="V84" s="73">
        <f>INDEX('Locations'!$E$6:$E$455,MATCH(C84,'Locations'!$A$6:$A$455,0))</f>
        <v>-73.6774263234184</v>
      </c>
      <c r="W84" s="44"/>
    </row>
    <row r="85" ht="23.1" customHeight="1">
      <c r="A85" t="s" s="24">
        <v>694</v>
      </c>
      <c r="B85" t="s" s="53">
        <v>220</v>
      </c>
      <c r="C85" t="s" s="53">
        <v>271</v>
      </c>
      <c r="D85" t="s" s="53">
        <v>614</v>
      </c>
      <c r="E85" s="74">
        <f>2*6371000*ASIN(SQRT(MIN(1,SIN(RADIANS(U85-S85)/2)^2+COS(RADIANS(S85))*COS(RADIANS(U85))*SIN(RADIANS(V85-T85)/2)^2)))</f>
        <v>80.950007830166</v>
      </c>
      <c r="F85" t="s" s="48">
        <v>70</v>
      </c>
      <c r="G85" t="s" s="48">
        <v>69</v>
      </c>
      <c r="H85" t="s" s="48">
        <v>69</v>
      </c>
      <c r="I85" t="s" s="48">
        <v>69</v>
      </c>
      <c r="J85" t="s" s="48">
        <v>69</v>
      </c>
      <c r="K85" s="72"/>
      <c r="L85" s="72"/>
      <c r="M85" s="50"/>
      <c r="N85" s="49"/>
      <c r="O85" s="50"/>
      <c r="P85" s="50"/>
      <c r="Q85" s="32">
        <v>81</v>
      </c>
      <c r="R85" s="64"/>
      <c r="S85" s="54">
        <f>INDEX('Locations'!$D$6:$D$455,MATCH(B85,'Locations'!$A$6:$A$455,0))</f>
        <v>42.7307708305265</v>
      </c>
      <c r="T85" s="54">
        <f>INDEX('Locations'!$E$6:$E$455,MATCH(B85,'Locations'!$A$6:$A$455,0))</f>
        <v>-73.6772241855531</v>
      </c>
      <c r="U85" s="54">
        <f>INDEX('Locations'!$D$6:$D$455,MATCH(C85,'Locations'!$A$6:$A$455,0))</f>
        <v>42.7300581323889</v>
      </c>
      <c r="V85" s="75">
        <f>INDEX('Locations'!$E$6:$E$455,MATCH(C85,'Locations'!$A$6:$A$455,0))</f>
        <v>-73.6774263234184</v>
      </c>
      <c r="W85" s="44"/>
    </row>
    <row r="86" ht="23.1" customHeight="1">
      <c r="A86" t="s" s="21">
        <v>695</v>
      </c>
      <c r="B86" t="s" s="45">
        <v>270</v>
      </c>
      <c r="C86" t="s" s="45">
        <v>175</v>
      </c>
      <c r="D86" t="s" s="45">
        <v>614</v>
      </c>
      <c r="E86" s="71">
        <f>2*6371000*ASIN(SQRT(MIN(1,SIN(RADIANS(U86-S86)/2)^2+COS(RADIANS(S86))*COS(RADIANS(U86))*SIN(RADIANS(V86-T86)/2)^2)))</f>
        <v>74.72663154973181</v>
      </c>
      <c r="F86" t="s" s="48">
        <v>70</v>
      </c>
      <c r="G86" t="s" s="48">
        <v>69</v>
      </c>
      <c r="H86" t="s" s="48">
        <v>69</v>
      </c>
      <c r="I86" t="s" s="48">
        <v>69</v>
      </c>
      <c r="J86" t="s" s="48">
        <v>69</v>
      </c>
      <c r="K86" s="72"/>
      <c r="L86" s="72"/>
      <c r="M86" s="50"/>
      <c r="N86" s="49"/>
      <c r="O86" s="50"/>
      <c r="P86" s="50"/>
      <c r="Q86" s="30">
        <v>82</v>
      </c>
      <c r="R86" s="61"/>
      <c r="S86" s="46">
        <f>INDEX('Locations'!$D$6:$D$455,MATCH(B86,'Locations'!$A$6:$A$455,0))</f>
        <v>42.729793744370</v>
      </c>
      <c r="T86" s="46">
        <f>INDEX('Locations'!$E$6:$E$455,MATCH(B86,'Locations'!$A$6:$A$455,0))</f>
        <v>-73.6757662463036</v>
      </c>
      <c r="U86" s="46">
        <f>INDEX('Locations'!$D$6:$D$455,MATCH(C86,'Locations'!$A$6:$A$455,0))</f>
        <v>42.7298997202713</v>
      </c>
      <c r="V86" s="73">
        <f>INDEX('Locations'!$E$6:$E$455,MATCH(C86,'Locations'!$A$6:$A$455,0))</f>
        <v>-73.6766696757312</v>
      </c>
      <c r="W86" s="44"/>
    </row>
    <row r="87" ht="23.1" customHeight="1">
      <c r="A87" t="s" s="24">
        <v>696</v>
      </c>
      <c r="B87" t="s" s="53">
        <v>221</v>
      </c>
      <c r="C87" t="s" s="53">
        <v>175</v>
      </c>
      <c r="D87" t="s" s="53">
        <v>614</v>
      </c>
      <c r="E87" s="74">
        <f>2*6371000*ASIN(SQRT(MIN(1,SIN(RADIANS(U87-S87)/2)^2+COS(RADIANS(S87))*COS(RADIANS(U87))*SIN(RADIANS(V87-T87)/2)^2)))</f>
        <v>90.5351821540079</v>
      </c>
      <c r="F87" t="s" s="48">
        <v>70</v>
      </c>
      <c r="G87" t="s" s="48">
        <v>69</v>
      </c>
      <c r="H87" t="s" s="48">
        <v>69</v>
      </c>
      <c r="I87" t="s" s="48">
        <v>69</v>
      </c>
      <c r="J87" t="s" s="48">
        <v>69</v>
      </c>
      <c r="K87" s="72"/>
      <c r="L87" s="72"/>
      <c r="M87" s="50"/>
      <c r="N87" s="49"/>
      <c r="O87" s="50"/>
      <c r="P87" s="50"/>
      <c r="Q87" s="32">
        <v>83</v>
      </c>
      <c r="R87" s="64"/>
      <c r="S87" s="54">
        <f>INDEX('Locations'!$D$6:$D$455,MATCH(B87,'Locations'!$A$6:$A$455,0))</f>
        <v>42.7306443840828</v>
      </c>
      <c r="T87" s="54">
        <f>INDEX('Locations'!$E$6:$E$455,MATCH(B87,'Locations'!$A$6:$A$455,0))</f>
        <v>-73.6762214544098</v>
      </c>
      <c r="U87" s="54">
        <f>INDEX('Locations'!$D$6:$D$455,MATCH(C87,'Locations'!$A$6:$A$455,0))</f>
        <v>42.7298997202713</v>
      </c>
      <c r="V87" s="75">
        <f>INDEX('Locations'!$E$6:$E$455,MATCH(C87,'Locations'!$A$6:$A$455,0))</f>
        <v>-73.6766696757312</v>
      </c>
      <c r="W87" s="44"/>
    </row>
    <row r="88" ht="23.1" customHeight="1">
      <c r="A88" t="s" s="21">
        <v>697</v>
      </c>
      <c r="B88" t="s" s="45">
        <v>272</v>
      </c>
      <c r="C88" t="s" s="45">
        <v>175</v>
      </c>
      <c r="D88" t="s" s="45">
        <v>614</v>
      </c>
      <c r="E88" s="71">
        <f>2*6371000*ASIN(SQRT(MIN(1,SIN(RADIANS(U88-S88)/2)^2+COS(RADIANS(S88))*COS(RADIANS(U88))*SIN(RADIANS(V88-T88)/2)^2)))</f>
        <v>45.4351146352954</v>
      </c>
      <c r="F88" t="s" s="48">
        <v>70</v>
      </c>
      <c r="G88" t="s" s="48">
        <v>69</v>
      </c>
      <c r="H88" t="s" s="48">
        <v>69</v>
      </c>
      <c r="I88" t="s" s="48">
        <v>69</v>
      </c>
      <c r="J88" t="s" s="48">
        <v>69</v>
      </c>
      <c r="K88" s="72"/>
      <c r="L88" s="72"/>
      <c r="M88" s="50"/>
      <c r="N88" s="49"/>
      <c r="O88" s="50"/>
      <c r="P88" s="50"/>
      <c r="Q88" s="30">
        <v>84</v>
      </c>
      <c r="R88" s="61"/>
      <c r="S88" s="46">
        <f>INDEX('Locations'!$D$6:$D$455,MATCH(B88,'Locations'!$A$6:$A$455,0))</f>
        <v>42.7295109641412</v>
      </c>
      <c r="T88" s="46">
        <f>INDEX('Locations'!$E$6:$E$455,MATCH(B88,'Locations'!$A$6:$A$455,0))</f>
        <v>-73.6764983992018</v>
      </c>
      <c r="U88" s="46">
        <f>INDEX('Locations'!$D$6:$D$455,MATCH(C88,'Locations'!$A$6:$A$455,0))</f>
        <v>42.7298997202713</v>
      </c>
      <c r="V88" s="73">
        <f>INDEX('Locations'!$E$6:$E$455,MATCH(C88,'Locations'!$A$6:$A$455,0))</f>
        <v>-73.6766696757312</v>
      </c>
      <c r="W88" s="44"/>
    </row>
    <row r="89" ht="23.1" customHeight="1">
      <c r="A89" t="s" s="24">
        <v>698</v>
      </c>
      <c r="B89" t="s" s="53">
        <v>272</v>
      </c>
      <c r="C89" t="s" s="53">
        <v>260</v>
      </c>
      <c r="D89" t="s" s="53">
        <v>614</v>
      </c>
      <c r="E89" s="74">
        <f>2*6371000*ASIN(SQRT(MIN(1,SIN(RADIANS(U89-S89)/2)^2+COS(RADIANS(S89))*COS(RADIANS(U89))*SIN(RADIANS(V89-T89)/2)^2)))</f>
        <v>68.872160720040</v>
      </c>
      <c r="F89" t="s" s="48">
        <v>70</v>
      </c>
      <c r="G89" t="s" s="48">
        <v>69</v>
      </c>
      <c r="H89" t="s" s="48">
        <v>69</v>
      </c>
      <c r="I89" t="s" s="48">
        <v>69</v>
      </c>
      <c r="J89" t="s" s="48">
        <v>69</v>
      </c>
      <c r="K89" s="72"/>
      <c r="L89" s="72"/>
      <c r="M89" s="50"/>
      <c r="N89" s="49"/>
      <c r="O89" s="50"/>
      <c r="P89" s="50"/>
      <c r="Q89" s="32">
        <v>85</v>
      </c>
      <c r="R89" s="64"/>
      <c r="S89" s="54">
        <f>INDEX('Locations'!$D$6:$D$455,MATCH(B89,'Locations'!$A$6:$A$455,0))</f>
        <v>42.7295109641412</v>
      </c>
      <c r="T89" s="54">
        <f>INDEX('Locations'!$E$6:$E$455,MATCH(B89,'Locations'!$A$6:$A$455,0))</f>
        <v>-73.6764983992018</v>
      </c>
      <c r="U89" s="54">
        <f>INDEX('Locations'!$D$6:$D$455,MATCH(C89,'Locations'!$A$6:$A$455,0))</f>
        <v>42.7292488751486</v>
      </c>
      <c r="V89" s="75">
        <f>INDEX('Locations'!$E$6:$E$455,MATCH(C89,'Locations'!$A$6:$A$455,0))</f>
        <v>-73.6757344135688</v>
      </c>
      <c r="W89" s="44"/>
    </row>
    <row r="90" ht="23.1" customHeight="1">
      <c r="A90" t="s" s="21">
        <v>699</v>
      </c>
      <c r="B90" t="s" s="45">
        <v>167</v>
      </c>
      <c r="C90" t="s" s="45">
        <v>273</v>
      </c>
      <c r="D90" t="s" s="45">
        <v>669</v>
      </c>
      <c r="E90" s="71">
        <f>2*6371000*ASIN(SQRT(MIN(1,SIN(RADIANS(U90-S90)/2)^2+COS(RADIANS(S90))*COS(RADIANS(U90))*SIN(RADIANS(V90-T90)/2)^2)))</f>
        <v>34.235913247996</v>
      </c>
      <c r="F90" t="s" s="48">
        <v>70</v>
      </c>
      <c r="G90" t="s" s="48">
        <v>69</v>
      </c>
      <c r="H90" t="s" s="48">
        <v>69</v>
      </c>
      <c r="I90" t="s" s="48">
        <v>69</v>
      </c>
      <c r="J90" t="s" s="48">
        <v>69</v>
      </c>
      <c r="K90" s="72"/>
      <c r="L90" s="72"/>
      <c r="M90" s="50"/>
      <c r="N90" s="49"/>
      <c r="O90" s="50"/>
      <c r="P90" s="50"/>
      <c r="Q90" s="30">
        <v>86</v>
      </c>
      <c r="R90" s="61"/>
      <c r="S90" s="46">
        <f>INDEX('Locations'!$D$6:$D$455,MATCH(B90,'Locations'!$A$6:$A$455,0))</f>
        <v>42.7301321088195</v>
      </c>
      <c r="T90" s="46">
        <f>INDEX('Locations'!$E$6:$E$455,MATCH(B90,'Locations'!$A$6:$A$455,0))</f>
        <v>-73.6777225353032</v>
      </c>
      <c r="U90" s="46">
        <f>INDEX('Locations'!$D$6:$D$455,MATCH(C90,'Locations'!$A$6:$A$455,0))</f>
        <v>42.7302822874483</v>
      </c>
      <c r="V90" s="73">
        <f>INDEX('Locations'!$E$6:$E$455,MATCH(C90,'Locations'!$A$6:$A$455,0))</f>
        <v>-73.6780884443003</v>
      </c>
      <c r="W90" s="44"/>
    </row>
    <row r="91" ht="23.1" customHeight="1">
      <c r="A91" t="s" s="24">
        <v>700</v>
      </c>
      <c r="B91" t="s" s="53">
        <v>274</v>
      </c>
      <c r="C91" t="s" s="53">
        <v>273</v>
      </c>
      <c r="D91" t="s" s="53">
        <v>614</v>
      </c>
      <c r="E91" s="74">
        <f>2*6371000*ASIN(SQRT(MIN(1,SIN(RADIANS(U91-S91)/2)^2+COS(RADIANS(S91))*COS(RADIANS(U91))*SIN(RADIANS(V91-T91)/2)^2)))</f>
        <v>26.5519805070996</v>
      </c>
      <c r="F91" t="s" s="48">
        <v>70</v>
      </c>
      <c r="G91" t="s" s="48">
        <v>69</v>
      </c>
      <c r="H91" t="s" s="48">
        <v>69</v>
      </c>
      <c r="I91" t="s" s="48">
        <v>69</v>
      </c>
      <c r="J91" t="s" s="48">
        <v>69</v>
      </c>
      <c r="K91" s="72"/>
      <c r="L91" s="72"/>
      <c r="M91" s="50"/>
      <c r="N91" s="49"/>
      <c r="O91" s="50"/>
      <c r="P91" s="50"/>
      <c r="Q91" s="32">
        <v>87</v>
      </c>
      <c r="R91" s="64"/>
      <c r="S91" s="54">
        <f>INDEX('Locations'!$D$6:$D$455,MATCH(B91,'Locations'!$A$6:$A$455,0))</f>
        <v>42.730517937639</v>
      </c>
      <c r="T91" s="54">
        <f>INDEX('Locations'!$E$6:$E$455,MATCH(B91,'Locations'!$A$6:$A$455,0))</f>
        <v>-73.678035920288</v>
      </c>
      <c r="U91" s="54">
        <f>INDEX('Locations'!$D$6:$D$455,MATCH(C91,'Locations'!$A$6:$A$455,0))</f>
        <v>42.7302822874483</v>
      </c>
      <c r="V91" s="75">
        <f>INDEX('Locations'!$E$6:$E$455,MATCH(C91,'Locations'!$A$6:$A$455,0))</f>
        <v>-73.6780884443003</v>
      </c>
      <c r="W91" s="44"/>
    </row>
    <row r="92" ht="23.1" customHeight="1">
      <c r="A92" t="s" s="21">
        <v>701</v>
      </c>
      <c r="B92" t="s" s="45">
        <v>275</v>
      </c>
      <c r="C92" t="s" s="45">
        <v>273</v>
      </c>
      <c r="D92" t="s" s="45">
        <v>614</v>
      </c>
      <c r="E92" s="71">
        <f>2*6371000*ASIN(SQRT(MIN(1,SIN(RADIANS(U92-S92)/2)^2+COS(RADIANS(S92))*COS(RADIANS(U92))*SIN(RADIANS(V92-T92)/2)^2)))</f>
        <v>45.9032848109123</v>
      </c>
      <c r="F92" t="s" s="48">
        <v>70</v>
      </c>
      <c r="G92" t="s" s="48">
        <v>69</v>
      </c>
      <c r="H92" t="s" s="48">
        <v>69</v>
      </c>
      <c r="I92" t="s" s="48">
        <v>69</v>
      </c>
      <c r="J92" t="s" s="48">
        <v>69</v>
      </c>
      <c r="K92" s="72"/>
      <c r="L92" s="72"/>
      <c r="M92" s="50"/>
      <c r="N92" s="49"/>
      <c r="O92" s="50"/>
      <c r="P92" s="50"/>
      <c r="Q92" s="30">
        <v>88</v>
      </c>
      <c r="R92" s="61"/>
      <c r="S92" s="46">
        <f>INDEX('Locations'!$D$6:$D$455,MATCH(B92,'Locations'!$A$6:$A$455,0))</f>
        <v>42.7300121518638</v>
      </c>
      <c r="T92" s="46">
        <f>INDEX('Locations'!$E$6:$E$455,MATCH(B92,'Locations'!$A$6:$A$455,0))</f>
        <v>-73.6785134113086</v>
      </c>
      <c r="U92" s="46">
        <f>INDEX('Locations'!$D$6:$D$455,MATCH(C92,'Locations'!$A$6:$A$455,0))</f>
        <v>42.7302822874483</v>
      </c>
      <c r="V92" s="73">
        <f>INDEX('Locations'!$E$6:$E$455,MATCH(C92,'Locations'!$A$6:$A$455,0))</f>
        <v>-73.6780884443003</v>
      </c>
      <c r="W92" s="44"/>
    </row>
    <row r="93" ht="23.1" customHeight="1">
      <c r="A93" t="s" s="24">
        <v>702</v>
      </c>
      <c r="B93" t="s" s="53">
        <v>275</v>
      </c>
      <c r="C93" t="s" s="53">
        <v>276</v>
      </c>
      <c r="D93" t="s" s="53">
        <v>669</v>
      </c>
      <c r="E93" s="74">
        <f>2*6371000*ASIN(SQRT(MIN(1,SIN(RADIANS(U93-S93)/2)^2+COS(RADIANS(S93))*COS(RADIANS(U93))*SIN(RADIANS(V93-T93)/2)^2)))</f>
        <v>49.0046330507431</v>
      </c>
      <c r="F93" t="s" s="48">
        <v>70</v>
      </c>
      <c r="G93" t="s" s="48">
        <v>69</v>
      </c>
      <c r="H93" t="s" s="48">
        <v>69</v>
      </c>
      <c r="I93" t="s" s="48">
        <v>69</v>
      </c>
      <c r="J93" t="s" s="48">
        <v>69</v>
      </c>
      <c r="K93" s="72"/>
      <c r="L93" s="72"/>
      <c r="M93" s="50"/>
      <c r="N93" s="49"/>
      <c r="O93" s="50"/>
      <c r="P93" s="50"/>
      <c r="Q93" s="32">
        <v>89</v>
      </c>
      <c r="R93" s="64"/>
      <c r="S93" s="54">
        <f>INDEX('Locations'!$D$6:$D$455,MATCH(B93,'Locations'!$A$6:$A$455,0))</f>
        <v>42.7300121518638</v>
      </c>
      <c r="T93" s="54">
        <f>INDEX('Locations'!$E$6:$E$455,MATCH(B93,'Locations'!$A$6:$A$455,0))</f>
        <v>-73.6785134113086</v>
      </c>
      <c r="U93" s="54">
        <f>INDEX('Locations'!$D$6:$D$455,MATCH(C93,'Locations'!$A$6:$A$455,0))</f>
        <v>42.7295753368762</v>
      </c>
      <c r="V93" s="75">
        <f>INDEX('Locations'!$E$6:$E$455,MATCH(C93,'Locations'!$A$6:$A$455,0))</f>
        <v>-73.6785929931454</v>
      </c>
      <c r="W93" s="44"/>
    </row>
    <row r="94" ht="23.1" customHeight="1">
      <c r="A94" t="s" s="21">
        <v>703</v>
      </c>
      <c r="B94" t="s" s="45">
        <v>185</v>
      </c>
      <c r="C94" t="s" s="45">
        <v>276</v>
      </c>
      <c r="D94" t="s" s="45">
        <v>614</v>
      </c>
      <c r="E94" s="71">
        <f>2*6371000*ASIN(SQRT(MIN(1,SIN(RADIANS(U94-S94)/2)^2+COS(RADIANS(S94))*COS(RADIANS(U94))*SIN(RADIANS(V94-T94)/2)^2)))</f>
        <v>39.0960046754927</v>
      </c>
      <c r="F94" t="s" s="48">
        <v>70</v>
      </c>
      <c r="G94" t="s" s="48">
        <v>69</v>
      </c>
      <c r="H94" t="s" s="48">
        <v>69</v>
      </c>
      <c r="I94" t="s" s="48">
        <v>69</v>
      </c>
      <c r="J94" t="s" s="48">
        <v>69</v>
      </c>
      <c r="K94" s="72"/>
      <c r="L94" s="72"/>
      <c r="M94" s="50"/>
      <c r="N94" s="49"/>
      <c r="O94" s="50"/>
      <c r="P94" s="50"/>
      <c r="Q94" s="30">
        <v>90</v>
      </c>
      <c r="R94" t="s" s="45">
        <v>704</v>
      </c>
      <c r="S94" s="46">
        <f>INDEX('Locations'!$D$6:$D$455,MATCH(B94,'Locations'!$A$6:$A$455,0))</f>
        <v>42.7297841661032</v>
      </c>
      <c r="T94" s="46">
        <f>INDEX('Locations'!$E$6:$E$455,MATCH(B94,'Locations'!$A$6:$A$455,0))</f>
        <v>-73.678207915226</v>
      </c>
      <c r="U94" s="46">
        <f>INDEX('Locations'!$D$6:$D$455,MATCH(C94,'Locations'!$A$6:$A$455,0))</f>
        <v>42.7295753368762</v>
      </c>
      <c r="V94" s="73">
        <f>INDEX('Locations'!$E$6:$E$455,MATCH(C94,'Locations'!$A$6:$A$455,0))</f>
        <v>-73.6785929931454</v>
      </c>
      <c r="W94" s="44"/>
    </row>
    <row r="95" ht="23.1" customHeight="1">
      <c r="A95" t="s" s="24">
        <v>705</v>
      </c>
      <c r="B95" t="s" s="53">
        <v>277</v>
      </c>
      <c r="C95" t="s" s="53">
        <v>278</v>
      </c>
      <c r="D95" t="s" s="53">
        <v>614</v>
      </c>
      <c r="E95" s="74">
        <f>2*6371000*ASIN(SQRT(MIN(1,SIN(RADIANS(U95-S95)/2)^2+COS(RADIANS(S95))*COS(RADIANS(U95))*SIN(RADIANS(V95-T95)/2)^2)))</f>
        <v>49.405792954988</v>
      </c>
      <c r="F95" t="s" s="48">
        <v>70</v>
      </c>
      <c r="G95" t="s" s="48">
        <v>69</v>
      </c>
      <c r="H95" t="s" s="48">
        <v>69</v>
      </c>
      <c r="I95" t="s" s="48">
        <v>69</v>
      </c>
      <c r="J95" t="s" s="48">
        <v>69</v>
      </c>
      <c r="K95" s="72"/>
      <c r="L95" s="72"/>
      <c r="M95" s="50"/>
      <c r="N95" s="49"/>
      <c r="O95" s="50"/>
      <c r="P95" s="50"/>
      <c r="Q95" s="32">
        <v>91</v>
      </c>
      <c r="R95" s="64"/>
      <c r="S95" s="54">
        <f>INDEX('Locations'!$D$6:$D$455,MATCH(B95,'Locations'!$A$6:$A$455,0))</f>
        <v>42.7293799196449</v>
      </c>
      <c r="T95" s="54">
        <f>INDEX('Locations'!$E$6:$E$455,MATCH(B95,'Locations'!$A$6:$A$455,0))</f>
        <v>-73.6779722548186</v>
      </c>
      <c r="U95" s="54">
        <f>INDEX('Locations'!$D$6:$D$455,MATCH(C95,'Locations'!$A$6:$A$455,0))</f>
        <v>42.7292948556737</v>
      </c>
      <c r="V95" s="75">
        <f>INDEX('Locations'!$E$6:$E$455,MATCH(C95,'Locations'!$A$6:$A$455,0))</f>
        <v>-73.67737857431641</v>
      </c>
      <c r="W95" s="44"/>
    </row>
    <row r="96" ht="23.1" customHeight="1">
      <c r="A96" t="s" s="21">
        <v>706</v>
      </c>
      <c r="B96" t="s" s="45">
        <v>277</v>
      </c>
      <c r="C96" t="s" s="45">
        <v>279</v>
      </c>
      <c r="D96" t="s" s="45">
        <v>669</v>
      </c>
      <c r="E96" s="71">
        <f>2*6371000*ASIN(SQRT(MIN(1,SIN(RADIANS(U96-S96)/2)^2+COS(RADIANS(S96))*COS(RADIANS(U96))*SIN(RADIANS(V96-T96)/2)^2)))</f>
        <v>47.3235982718826</v>
      </c>
      <c r="F96" t="s" s="48">
        <v>70</v>
      </c>
      <c r="G96" t="s" s="48">
        <v>69</v>
      </c>
      <c r="H96" t="s" s="48">
        <v>69</v>
      </c>
      <c r="I96" t="s" s="48">
        <v>69</v>
      </c>
      <c r="J96" t="s" s="48">
        <v>69</v>
      </c>
      <c r="K96" s="72"/>
      <c r="L96" s="72"/>
      <c r="M96" s="50"/>
      <c r="N96" s="49"/>
      <c r="O96" s="50"/>
      <c r="P96" s="50"/>
      <c r="Q96" s="30">
        <v>92</v>
      </c>
      <c r="R96" s="61"/>
      <c r="S96" s="46">
        <f>INDEX('Locations'!$D$6:$D$455,MATCH(B96,'Locations'!$A$6:$A$455,0))</f>
        <v>42.7293799196449</v>
      </c>
      <c r="T96" s="46">
        <f>INDEX('Locations'!$E$6:$E$455,MATCH(B96,'Locations'!$A$6:$A$455,0))</f>
        <v>-73.6779722548186</v>
      </c>
      <c r="U96" s="46">
        <f>INDEX('Locations'!$D$6:$D$455,MATCH(C96,'Locations'!$A$6:$A$455,0))</f>
        <v>42.7298052395013</v>
      </c>
      <c r="V96" s="73">
        <f>INDEX('Locations'!$E$6:$E$455,MATCH(C96,'Locations'!$A$6:$A$455,0))</f>
        <v>-73.6779515635411</v>
      </c>
      <c r="W96" s="44"/>
    </row>
    <row r="97" ht="23.1" customHeight="1">
      <c r="A97" t="s" s="24">
        <v>707</v>
      </c>
      <c r="B97" t="s" s="53">
        <v>273</v>
      </c>
      <c r="C97" t="s" s="53">
        <v>279</v>
      </c>
      <c r="D97" t="s" s="53">
        <v>614</v>
      </c>
      <c r="E97" s="74">
        <f>2*6371000*ASIN(SQRT(MIN(1,SIN(RADIANS(U97-S97)/2)^2+COS(RADIANS(S97))*COS(RADIANS(U97))*SIN(RADIANS(V97-T97)/2)^2)))</f>
        <v>54.2107414547109</v>
      </c>
      <c r="F97" t="s" s="48">
        <v>70</v>
      </c>
      <c r="G97" t="s" s="48">
        <v>69</v>
      </c>
      <c r="H97" t="s" s="48">
        <v>69</v>
      </c>
      <c r="I97" t="s" s="48">
        <v>69</v>
      </c>
      <c r="J97" t="s" s="48">
        <v>69</v>
      </c>
      <c r="K97" s="72"/>
      <c r="L97" s="72"/>
      <c r="M97" s="50"/>
      <c r="N97" s="49"/>
      <c r="O97" s="50"/>
      <c r="P97" s="50"/>
      <c r="Q97" s="32">
        <v>93</v>
      </c>
      <c r="R97" s="64"/>
      <c r="S97" s="54">
        <f>INDEX('Locations'!$D$6:$D$455,MATCH(B97,'Locations'!$A$6:$A$455,0))</f>
        <v>42.7302822874483</v>
      </c>
      <c r="T97" s="54">
        <f>INDEX('Locations'!$E$6:$E$455,MATCH(B97,'Locations'!$A$6:$A$455,0))</f>
        <v>-73.6780884443003</v>
      </c>
      <c r="U97" s="54">
        <f>INDEX('Locations'!$D$6:$D$455,MATCH(C97,'Locations'!$A$6:$A$455,0))</f>
        <v>42.7298052395013</v>
      </c>
      <c r="V97" s="75">
        <f>INDEX('Locations'!$E$6:$E$455,MATCH(C97,'Locations'!$A$6:$A$455,0))</f>
        <v>-73.6779515635411</v>
      </c>
      <c r="W97" s="44"/>
    </row>
    <row r="98" ht="23.1" customHeight="1">
      <c r="A98" t="s" s="21">
        <v>708</v>
      </c>
      <c r="B98" t="s" s="45">
        <v>276</v>
      </c>
      <c r="C98" t="s" s="45">
        <v>149</v>
      </c>
      <c r="D98" t="s" s="45">
        <v>614</v>
      </c>
      <c r="E98" s="71">
        <f>2*6371000*ASIN(SQRT(MIN(1,SIN(RADIANS(U98-S98)/2)^2+COS(RADIANS(S98))*COS(RADIANS(U98))*SIN(RADIANS(V98-T98)/2)^2)))</f>
        <v>20.6916999708705</v>
      </c>
      <c r="F98" t="s" s="48">
        <v>70</v>
      </c>
      <c r="G98" t="s" s="48">
        <v>69</v>
      </c>
      <c r="H98" t="s" s="48">
        <v>69</v>
      </c>
      <c r="I98" t="s" s="48">
        <v>69</v>
      </c>
      <c r="J98" t="s" s="48">
        <v>69</v>
      </c>
      <c r="K98" s="72"/>
      <c r="L98" s="72"/>
      <c r="M98" s="50"/>
      <c r="N98" s="49"/>
      <c r="O98" s="50"/>
      <c r="P98" s="50"/>
      <c r="Q98" s="30">
        <v>94</v>
      </c>
      <c r="R98" s="61"/>
      <c r="S98" s="46">
        <f>INDEX('Locations'!$D$6:$D$455,MATCH(B98,'Locations'!$A$6:$A$455,0))</f>
        <v>42.7295753368762</v>
      </c>
      <c r="T98" s="46">
        <f>INDEX('Locations'!$E$6:$E$455,MATCH(B98,'Locations'!$A$6:$A$455,0))</f>
        <v>-73.6785929931454</v>
      </c>
      <c r="U98" s="46">
        <f>INDEX('Locations'!$D$6:$D$455,MATCH(C98,'Locations'!$A$6:$A$455,0))</f>
        <v>42.7294025452251</v>
      </c>
      <c r="V98" s="73">
        <f>INDEX('Locations'!$E$6:$E$455,MATCH(C98,'Locations'!$A$6:$A$455,0))</f>
        <v>-73.67868702133759</v>
      </c>
      <c r="W98" s="44"/>
    </row>
    <row r="99" ht="23.1" customHeight="1">
      <c r="A99" t="s" s="24">
        <v>709</v>
      </c>
      <c r="B99" t="s" s="53">
        <v>115</v>
      </c>
      <c r="C99" t="s" s="53">
        <v>280</v>
      </c>
      <c r="D99" t="s" s="53">
        <v>614</v>
      </c>
      <c r="E99" s="74">
        <f>2*6371000*ASIN(SQRT(MIN(1,SIN(RADIANS(U99-S99)/2)^2+COS(RADIANS(S99))*COS(RADIANS(U99))*SIN(RADIANS(V99-T99)/2)^2)))</f>
        <v>15.4562424159812</v>
      </c>
      <c r="F99" t="s" s="48">
        <v>70</v>
      </c>
      <c r="G99" t="s" s="48">
        <v>69</v>
      </c>
      <c r="H99" t="s" s="48">
        <v>69</v>
      </c>
      <c r="I99" t="s" s="48">
        <v>69</v>
      </c>
      <c r="J99" t="s" s="48">
        <v>69</v>
      </c>
      <c r="K99" s="72"/>
      <c r="L99" s="72"/>
      <c r="M99" s="50"/>
      <c r="N99" s="49"/>
      <c r="O99" s="50"/>
      <c r="P99" s="50"/>
      <c r="Q99" s="32">
        <v>95</v>
      </c>
      <c r="R99" s="64"/>
      <c r="S99" s="54">
        <f>INDEX('Locations'!$D$6:$D$455,MATCH(B99,'Locations'!$A$6:$A$455,0))</f>
        <v>42.7294710085669</v>
      </c>
      <c r="T99" s="54">
        <f>INDEX('Locations'!$E$6:$E$455,MATCH(B99,'Locations'!$A$6:$A$455,0))</f>
        <v>-73.67925539282341</v>
      </c>
      <c r="U99" s="54">
        <f>INDEX('Locations'!$D$6:$D$455,MATCH(C99,'Locations'!$A$6:$A$455,0))</f>
        <v>42.729609822270</v>
      </c>
      <c r="V99" s="75">
        <f>INDEX('Locations'!$E$6:$E$455,MATCH(C99,'Locations'!$A$6:$A$455,0))</f>
        <v>-73.67924556420679</v>
      </c>
      <c r="W99" s="44"/>
    </row>
    <row r="100" ht="23.1" customHeight="1">
      <c r="A100" t="s" s="21">
        <v>710</v>
      </c>
      <c r="B100" t="s" s="45">
        <v>276</v>
      </c>
      <c r="C100" t="s" s="45">
        <v>280</v>
      </c>
      <c r="D100" t="s" s="45">
        <v>614</v>
      </c>
      <c r="E100" s="71">
        <f>2*6371000*ASIN(SQRT(MIN(1,SIN(RADIANS(U100-S100)/2)^2+COS(RADIANS(S100))*COS(RADIANS(U100))*SIN(RADIANS(V100-T100)/2)^2)))</f>
        <v>53.4396392902593</v>
      </c>
      <c r="F100" t="s" s="48">
        <v>70</v>
      </c>
      <c r="G100" t="s" s="48">
        <v>69</v>
      </c>
      <c r="H100" t="s" s="48">
        <v>69</v>
      </c>
      <c r="I100" t="s" s="48">
        <v>69</v>
      </c>
      <c r="J100" t="s" s="48">
        <v>69</v>
      </c>
      <c r="K100" s="72"/>
      <c r="L100" s="72"/>
      <c r="M100" s="50"/>
      <c r="N100" s="49"/>
      <c r="O100" s="50"/>
      <c r="P100" s="50"/>
      <c r="Q100" s="30">
        <v>96</v>
      </c>
      <c r="R100" s="61"/>
      <c r="S100" s="46">
        <f>INDEX('Locations'!$D$6:$D$455,MATCH(B100,'Locations'!$A$6:$A$455,0))</f>
        <v>42.7295753368762</v>
      </c>
      <c r="T100" s="46">
        <f>INDEX('Locations'!$E$6:$E$455,MATCH(B100,'Locations'!$A$6:$A$455,0))</f>
        <v>-73.6785929931454</v>
      </c>
      <c r="U100" s="46">
        <f>INDEX('Locations'!$D$6:$D$455,MATCH(C100,'Locations'!$A$6:$A$455,0))</f>
        <v>42.729609822270</v>
      </c>
      <c r="V100" s="73">
        <f>INDEX('Locations'!$E$6:$E$455,MATCH(C100,'Locations'!$A$6:$A$455,0))</f>
        <v>-73.67924556420679</v>
      </c>
      <c r="W100" s="44"/>
    </row>
    <row r="101" ht="23.1" customHeight="1">
      <c r="A101" t="s" s="24">
        <v>711</v>
      </c>
      <c r="B101" t="s" s="53">
        <v>282</v>
      </c>
      <c r="C101" t="s" s="53">
        <v>281</v>
      </c>
      <c r="D101" t="s" s="53">
        <v>614</v>
      </c>
      <c r="E101" s="74">
        <f>2*6371000*ASIN(SQRT(MIN(1,SIN(RADIANS(U101-S101)/2)^2+COS(RADIANS(S101))*COS(RADIANS(U101))*SIN(RADIANS(V101-T101)/2)^2)))</f>
        <v>44.2727087350347</v>
      </c>
      <c r="F101" t="s" s="48">
        <v>70</v>
      </c>
      <c r="G101" t="s" s="48">
        <v>69</v>
      </c>
      <c r="H101" t="s" s="48">
        <v>69</v>
      </c>
      <c r="I101" t="s" s="48">
        <v>69</v>
      </c>
      <c r="J101" t="s" s="48">
        <v>69</v>
      </c>
      <c r="K101" s="72"/>
      <c r="L101" s="72"/>
      <c r="M101" s="50"/>
      <c r="N101" s="49"/>
      <c r="O101" s="50"/>
      <c r="P101" s="50"/>
      <c r="Q101" s="32">
        <v>97</v>
      </c>
      <c r="R101" s="64"/>
      <c r="S101" s="54">
        <f>INDEX('Locations'!$D$6:$D$455,MATCH(B101,'Locations'!$A$6:$A$455,0))</f>
        <v>42.7306673743453</v>
      </c>
      <c r="T101" s="54">
        <f>INDEX('Locations'!$E$6:$E$455,MATCH(B101,'Locations'!$A$6:$A$455,0))</f>
        <v>-73.67938085332931</v>
      </c>
      <c r="U101" s="54">
        <f>INDEX('Locations'!$D$6:$D$455,MATCH(C101,'Locations'!$A$6:$A$455,0))</f>
        <v>42.7310582088079</v>
      </c>
      <c r="V101" s="75">
        <f>INDEX('Locations'!$E$6:$E$455,MATCH(C101,'Locations'!$A$6:$A$455,0))</f>
        <v>-73.6792773969415</v>
      </c>
      <c r="W101" s="44"/>
    </row>
    <row r="102" ht="23.1" customHeight="1">
      <c r="A102" t="s" s="21">
        <v>712</v>
      </c>
      <c r="B102" t="s" s="45">
        <v>282</v>
      </c>
      <c r="C102" t="s" s="45">
        <v>283</v>
      </c>
      <c r="D102" t="s" s="45">
        <v>614</v>
      </c>
      <c r="E102" s="71">
        <f>2*6371000*ASIN(SQRT(MIN(1,SIN(RADIANS(U102-S102)/2)^2+COS(RADIANS(S102))*COS(RADIANS(U102))*SIN(RADIANS(V102-T102)/2)^2)))</f>
        <v>54.4843767771745</v>
      </c>
      <c r="F102" t="s" s="48">
        <v>70</v>
      </c>
      <c r="G102" t="s" s="48">
        <v>69</v>
      </c>
      <c r="H102" t="s" s="48">
        <v>69</v>
      </c>
      <c r="I102" t="s" s="48">
        <v>69</v>
      </c>
      <c r="J102" t="s" s="48">
        <v>69</v>
      </c>
      <c r="K102" s="72"/>
      <c r="L102" s="72"/>
      <c r="M102" s="50"/>
      <c r="N102" s="49"/>
      <c r="O102" s="50"/>
      <c r="P102" s="50"/>
      <c r="Q102" s="30">
        <v>98</v>
      </c>
      <c r="R102" s="61"/>
      <c r="S102" s="46">
        <f>INDEX('Locations'!$D$6:$D$455,MATCH(B102,'Locations'!$A$6:$A$455,0))</f>
        <v>42.7306673743453</v>
      </c>
      <c r="T102" s="46">
        <f>INDEX('Locations'!$E$6:$E$455,MATCH(B102,'Locations'!$A$6:$A$455,0))</f>
        <v>-73.67938085332931</v>
      </c>
      <c r="U102" s="46">
        <f>INDEX('Locations'!$D$6:$D$455,MATCH(C102,'Locations'!$A$6:$A$455,0))</f>
        <v>42.7302569981595</v>
      </c>
      <c r="V102" s="73">
        <f>INDEX('Locations'!$E$6:$E$455,MATCH(C102,'Locations'!$A$6:$A$455,0))</f>
        <v>-73.679016368517</v>
      </c>
      <c r="W102" s="44"/>
    </row>
    <row r="103" ht="23.1" customHeight="1">
      <c r="A103" t="s" s="24">
        <v>713</v>
      </c>
      <c r="B103" t="s" s="53">
        <v>284</v>
      </c>
      <c r="C103" t="s" s="53">
        <v>283</v>
      </c>
      <c r="D103" t="s" s="53">
        <v>614</v>
      </c>
      <c r="E103" s="74">
        <f>2*6371000*ASIN(SQRT(MIN(1,SIN(RADIANS(U103-S103)/2)^2+COS(RADIANS(S103))*COS(RADIANS(U103))*SIN(RADIANS(V103-T103)/2)^2)))</f>
        <v>48.3617939780035</v>
      </c>
      <c r="F103" t="s" s="48">
        <v>70</v>
      </c>
      <c r="G103" t="s" s="48">
        <v>69</v>
      </c>
      <c r="H103" t="s" s="48">
        <v>69</v>
      </c>
      <c r="I103" t="s" s="48">
        <v>69</v>
      </c>
      <c r="J103" t="s" s="48">
        <v>69</v>
      </c>
      <c r="K103" s="72"/>
      <c r="L103" s="72"/>
      <c r="M103" s="50"/>
      <c r="N103" s="49"/>
      <c r="O103" s="50"/>
      <c r="P103" s="50"/>
      <c r="Q103" s="32">
        <v>99</v>
      </c>
      <c r="R103" s="64"/>
      <c r="S103" s="54">
        <f>INDEX('Locations'!$D$6:$D$455,MATCH(B103,'Locations'!$A$6:$A$455,0))</f>
        <v>42.7298972005513</v>
      </c>
      <c r="T103" s="54">
        <f>INDEX('Locations'!$E$6:$E$455,MATCH(B103,'Locations'!$A$6:$A$455,0))</f>
        <v>-73.6793490205946</v>
      </c>
      <c r="U103" s="54">
        <f>INDEX('Locations'!$D$6:$D$455,MATCH(C103,'Locations'!$A$6:$A$455,0))</f>
        <v>42.7302569981595</v>
      </c>
      <c r="V103" s="75">
        <f>INDEX('Locations'!$E$6:$E$455,MATCH(C103,'Locations'!$A$6:$A$455,0))</f>
        <v>-73.679016368517</v>
      </c>
      <c r="W103" s="44"/>
    </row>
    <row r="104" ht="23.1" customHeight="1">
      <c r="A104" t="s" s="21">
        <v>714</v>
      </c>
      <c r="B104" t="s" s="45">
        <v>286</v>
      </c>
      <c r="C104" t="s" s="45">
        <v>285</v>
      </c>
      <c r="D104" t="s" s="45">
        <v>614</v>
      </c>
      <c r="E104" s="71">
        <f>2*6371000*ASIN(SQRT(MIN(1,SIN(RADIANS(U104-S104)/2)^2+COS(RADIANS(S104))*COS(RADIANS(U104))*SIN(RADIANS(V104-T104)/2)^2)))</f>
        <v>46.9208657421877</v>
      </c>
      <c r="F104" t="s" s="48">
        <v>70</v>
      </c>
      <c r="G104" t="s" s="48">
        <v>69</v>
      </c>
      <c r="H104" t="s" s="48">
        <v>69</v>
      </c>
      <c r="I104" t="s" s="48">
        <v>69</v>
      </c>
      <c r="J104" t="s" s="48">
        <v>69</v>
      </c>
      <c r="K104" s="72"/>
      <c r="L104" s="72"/>
      <c r="M104" s="50"/>
      <c r="N104" s="49"/>
      <c r="O104" s="50"/>
      <c r="P104" s="50"/>
      <c r="Q104" s="30">
        <v>100</v>
      </c>
      <c r="R104" s="61"/>
      <c r="S104" s="46">
        <f>INDEX('Locations'!$D$6:$D$455,MATCH(B104,'Locations'!$A$6:$A$455,0))</f>
        <v>42.7303650523933</v>
      </c>
      <c r="T104" s="46">
        <f>INDEX('Locations'!$E$6:$E$455,MATCH(B104,'Locations'!$A$6:$A$455,0))</f>
        <v>-73.6808690336768</v>
      </c>
      <c r="U104" s="46">
        <f>INDEX('Locations'!$D$6:$D$455,MATCH(C104,'Locations'!$A$6:$A$455,0))</f>
        <v>42.7299891616013</v>
      </c>
      <c r="V104" s="73">
        <f>INDEX('Locations'!$E$6:$E$455,MATCH(C104,'Locations'!$A$6:$A$455,0))</f>
        <v>-73.6806080052522</v>
      </c>
      <c r="W104" s="44"/>
    </row>
    <row r="105" ht="23.1" customHeight="1">
      <c r="A105" t="s" s="24">
        <v>715</v>
      </c>
      <c r="B105" t="s" s="53">
        <v>282</v>
      </c>
      <c r="C105" t="s" s="53">
        <v>289</v>
      </c>
      <c r="D105" t="s" s="53">
        <v>614</v>
      </c>
      <c r="E105" s="74">
        <f>2*6371000*ASIN(SQRT(MIN(1,SIN(RADIANS(U105-S105)/2)^2+COS(RADIANS(S105))*COS(RADIANS(U105))*SIN(RADIANS(V105-T105)/2)^2)))</f>
        <v>36.3435467304157</v>
      </c>
      <c r="F105" t="s" s="48">
        <v>70</v>
      </c>
      <c r="G105" t="s" s="48">
        <v>69</v>
      </c>
      <c r="H105" t="s" s="48">
        <v>69</v>
      </c>
      <c r="I105" t="s" s="48">
        <v>69</v>
      </c>
      <c r="J105" t="s" s="48">
        <v>69</v>
      </c>
      <c r="K105" s="72"/>
      <c r="L105" s="72"/>
      <c r="M105" s="50"/>
      <c r="N105" s="49"/>
      <c r="O105" s="50"/>
      <c r="P105" s="50"/>
      <c r="Q105" s="32">
        <v>101</v>
      </c>
      <c r="R105" s="64"/>
      <c r="S105" s="54">
        <f>INDEX('Locations'!$D$6:$D$455,MATCH(B105,'Locations'!$A$6:$A$455,0))</f>
        <v>42.7306673743453</v>
      </c>
      <c r="T105" s="54">
        <f>INDEX('Locations'!$E$6:$E$455,MATCH(B105,'Locations'!$A$6:$A$455,0))</f>
        <v>-73.67938085332931</v>
      </c>
      <c r="U105" s="54">
        <f>INDEX('Locations'!$D$6:$D$455,MATCH(C105,'Locations'!$A$6:$A$455,0))</f>
        <v>42.7306880655815</v>
      </c>
      <c r="V105" s="75">
        <f>INDEX('Locations'!$E$6:$E$455,MATCH(C105,'Locations'!$A$6:$A$455,0))</f>
        <v>-73.6798249199785</v>
      </c>
      <c r="W105" s="44"/>
    </row>
    <row r="106" ht="23.1" customHeight="1">
      <c r="A106" t="s" s="21">
        <v>716</v>
      </c>
      <c r="B106" t="s" s="45">
        <v>66</v>
      </c>
      <c r="C106" t="s" s="45">
        <v>289</v>
      </c>
      <c r="D106" t="s" s="45">
        <v>614</v>
      </c>
      <c r="E106" s="71">
        <f>2*6371000*ASIN(SQRT(MIN(1,SIN(RADIANS(U106-S106)/2)^2+COS(RADIANS(S106))*COS(RADIANS(U106))*SIN(RADIANS(V106-T106)/2)^2)))</f>
        <v>38.6538077673836</v>
      </c>
      <c r="F106" t="s" s="48">
        <v>70</v>
      </c>
      <c r="G106" t="s" s="48">
        <v>69</v>
      </c>
      <c r="H106" t="s" s="48">
        <v>69</v>
      </c>
      <c r="I106" t="s" s="48">
        <v>69</v>
      </c>
      <c r="J106" t="s" s="48">
        <v>69</v>
      </c>
      <c r="K106" s="72"/>
      <c r="L106" s="72"/>
      <c r="M106" s="50"/>
      <c r="N106" s="49"/>
      <c r="O106" s="50"/>
      <c r="P106" s="50"/>
      <c r="Q106" s="30">
        <v>102</v>
      </c>
      <c r="R106" s="61"/>
      <c r="S106" s="46">
        <f>INDEX('Locations'!$D$6:$D$455,MATCH(B106,'Locations'!$A$6:$A$455,0))</f>
        <v>42.7303527304942</v>
      </c>
      <c r="T106" s="46">
        <f>INDEX('Locations'!$E$6:$E$455,MATCH(B106,'Locations'!$A$6:$A$455,0))</f>
        <v>-73.6799496283524</v>
      </c>
      <c r="U106" s="46">
        <f>INDEX('Locations'!$D$6:$D$455,MATCH(C106,'Locations'!$A$6:$A$455,0))</f>
        <v>42.7306880655815</v>
      </c>
      <c r="V106" s="73">
        <f>INDEX('Locations'!$E$6:$E$455,MATCH(C106,'Locations'!$A$6:$A$455,0))</f>
        <v>-73.6798249199785</v>
      </c>
      <c r="W106" s="44"/>
    </row>
    <row r="107" ht="23.1" customHeight="1">
      <c r="A107" t="s" s="24">
        <v>717</v>
      </c>
      <c r="B107" t="s" s="53">
        <v>177</v>
      </c>
      <c r="C107" t="s" s="53">
        <v>289</v>
      </c>
      <c r="D107" t="s" s="53">
        <v>614</v>
      </c>
      <c r="E107" s="74">
        <f>2*6371000*ASIN(SQRT(MIN(1,SIN(RADIANS(U107-S107)/2)^2+COS(RADIANS(S107))*COS(RADIANS(U107))*SIN(RADIANS(V107-T107)/2)^2)))</f>
        <v>24.5140560549771</v>
      </c>
      <c r="F107" t="s" s="48">
        <v>70</v>
      </c>
      <c r="G107" t="s" s="48">
        <v>69</v>
      </c>
      <c r="H107" t="s" s="48">
        <v>69</v>
      </c>
      <c r="I107" t="s" s="48">
        <v>69</v>
      </c>
      <c r="J107" t="s" s="48">
        <v>69</v>
      </c>
      <c r="K107" s="72"/>
      <c r="L107" s="72"/>
      <c r="M107" s="50"/>
      <c r="N107" s="49"/>
      <c r="O107" s="50"/>
      <c r="P107" s="50"/>
      <c r="Q107" s="32">
        <v>103</v>
      </c>
      <c r="R107" s="64"/>
      <c r="S107" s="54">
        <f>INDEX('Locations'!$D$6:$D$455,MATCH(B107,'Locations'!$A$6:$A$455,0))</f>
        <v>42.7309017267168</v>
      </c>
      <c r="T107" s="54">
        <f>INDEX('Locations'!$E$6:$E$455,MATCH(B107,'Locations'!$A$6:$A$455,0))</f>
        <v>-73.6797509579396</v>
      </c>
      <c r="U107" s="54">
        <f>INDEX('Locations'!$D$6:$D$455,MATCH(C107,'Locations'!$A$6:$A$455,0))</f>
        <v>42.7306880655815</v>
      </c>
      <c r="V107" s="75">
        <f>INDEX('Locations'!$E$6:$E$455,MATCH(C107,'Locations'!$A$6:$A$455,0))</f>
        <v>-73.6798249199785</v>
      </c>
      <c r="W107" s="44"/>
    </row>
    <row r="108" ht="23.1" customHeight="1">
      <c r="A108" t="s" s="21">
        <v>718</v>
      </c>
      <c r="B108" t="s" s="45">
        <v>287</v>
      </c>
      <c r="C108" t="s" s="45">
        <v>289</v>
      </c>
      <c r="D108" t="s" s="45">
        <v>614</v>
      </c>
      <c r="E108" s="71">
        <f>2*6371000*ASIN(SQRT(MIN(1,SIN(RADIANS(U108-S108)/2)^2+COS(RADIANS(S108))*COS(RADIANS(U108))*SIN(RADIANS(V108-T108)/2)^2)))</f>
        <v>41.6996427495015</v>
      </c>
      <c r="F108" t="s" s="48">
        <v>70</v>
      </c>
      <c r="G108" t="s" s="48">
        <v>69</v>
      </c>
      <c r="H108" t="s" s="48">
        <v>69</v>
      </c>
      <c r="I108" t="s" s="48">
        <v>69</v>
      </c>
      <c r="J108" t="s" s="48">
        <v>69</v>
      </c>
      <c r="K108" s="72"/>
      <c r="L108" s="72"/>
      <c r="M108" s="50"/>
      <c r="N108" s="49"/>
      <c r="O108" s="50"/>
      <c r="P108" s="50"/>
      <c r="Q108" s="30">
        <v>104</v>
      </c>
      <c r="R108" s="61"/>
      <c r="S108" s="46">
        <f>INDEX('Locations'!$D$6:$D$455,MATCH(B108,'Locations'!$A$6:$A$455,0))</f>
        <v>42.7307524383165</v>
      </c>
      <c r="T108" s="46">
        <f>INDEX('Locations'!$E$6:$E$455,MATCH(B108,'Locations'!$A$6:$A$455,0))</f>
        <v>-73.6803278771868</v>
      </c>
      <c r="U108" s="46">
        <f>INDEX('Locations'!$D$6:$D$455,MATCH(C108,'Locations'!$A$6:$A$455,0))</f>
        <v>42.7306880655815</v>
      </c>
      <c r="V108" s="73">
        <f>INDEX('Locations'!$E$6:$E$455,MATCH(C108,'Locations'!$A$6:$A$455,0))</f>
        <v>-73.6798249199785</v>
      </c>
      <c r="W108" s="44"/>
    </row>
    <row r="109" ht="23.1" customHeight="1">
      <c r="A109" t="s" s="24">
        <v>719</v>
      </c>
      <c r="B109" t="s" s="53">
        <v>284</v>
      </c>
      <c r="C109" t="s" s="53">
        <v>291</v>
      </c>
      <c r="D109" t="s" s="53">
        <v>614</v>
      </c>
      <c r="E109" s="74">
        <f>2*6371000*ASIN(SQRT(MIN(1,SIN(RADIANS(U109-S109)/2)^2+COS(RADIANS(S109))*COS(RADIANS(U109))*SIN(RADIANS(V109-T109)/2)^2)))</f>
        <v>28.4240377228209</v>
      </c>
      <c r="F109" t="s" s="48">
        <v>70</v>
      </c>
      <c r="G109" t="s" s="48">
        <v>69</v>
      </c>
      <c r="H109" t="s" s="48">
        <v>69</v>
      </c>
      <c r="I109" t="s" s="48">
        <v>69</v>
      </c>
      <c r="J109" t="s" s="48">
        <v>69</v>
      </c>
      <c r="K109" s="72"/>
      <c r="L109" s="72"/>
      <c r="M109" s="50"/>
      <c r="N109" s="49"/>
      <c r="O109" s="50"/>
      <c r="P109" s="50"/>
      <c r="Q109" s="32">
        <v>105</v>
      </c>
      <c r="R109" s="64"/>
      <c r="S109" s="54">
        <f>INDEX('Locations'!$D$6:$D$455,MATCH(B109,'Locations'!$A$6:$A$455,0))</f>
        <v>42.7298972005513</v>
      </c>
      <c r="T109" s="54">
        <f>INDEX('Locations'!$E$6:$E$455,MATCH(B109,'Locations'!$A$6:$A$455,0))</f>
        <v>-73.6793490205946</v>
      </c>
      <c r="U109" s="54">
        <f>INDEX('Locations'!$D$6:$D$455,MATCH(C109,'Locations'!$A$6:$A$455,0))</f>
        <v>42.7299167422744</v>
      </c>
      <c r="V109" s="75">
        <f>INDEX('Locations'!$E$6:$E$455,MATCH(C109,'Locations'!$A$6:$A$455,0))</f>
        <v>-73.6796959974029</v>
      </c>
      <c r="W109" s="44"/>
    </row>
    <row r="110" ht="23.1" customHeight="1">
      <c r="A110" t="s" s="21">
        <v>720</v>
      </c>
      <c r="B110" t="s" s="45">
        <v>285</v>
      </c>
      <c r="C110" t="s" s="45">
        <v>291</v>
      </c>
      <c r="D110" t="s" s="45">
        <v>614</v>
      </c>
      <c r="E110" s="71">
        <f>2*6371000*ASIN(SQRT(MIN(1,SIN(RADIANS(U110-S110)/2)^2+COS(RADIANS(S110))*COS(RADIANS(U110))*SIN(RADIANS(V110-T110)/2)^2)))</f>
        <v>74.9261859628582</v>
      </c>
      <c r="F110" t="s" s="48">
        <v>70</v>
      </c>
      <c r="G110" t="s" s="48">
        <v>69</v>
      </c>
      <c r="H110" t="s" s="48">
        <v>69</v>
      </c>
      <c r="I110" t="s" s="48">
        <v>69</v>
      </c>
      <c r="J110" t="s" s="48">
        <v>69</v>
      </c>
      <c r="K110" s="72"/>
      <c r="L110" s="72"/>
      <c r="M110" s="50"/>
      <c r="N110" s="49"/>
      <c r="O110" s="50"/>
      <c r="P110" s="50"/>
      <c r="Q110" s="30">
        <v>106</v>
      </c>
      <c r="R110" s="61"/>
      <c r="S110" s="46">
        <f>INDEX('Locations'!$D$6:$D$455,MATCH(B110,'Locations'!$A$6:$A$455,0))</f>
        <v>42.7299891616013</v>
      </c>
      <c r="T110" s="46">
        <f>INDEX('Locations'!$E$6:$E$455,MATCH(B110,'Locations'!$A$6:$A$455,0))</f>
        <v>-73.6806080052522</v>
      </c>
      <c r="U110" s="46">
        <f>INDEX('Locations'!$D$6:$D$455,MATCH(C110,'Locations'!$A$6:$A$455,0))</f>
        <v>42.7299167422744</v>
      </c>
      <c r="V110" s="73">
        <f>INDEX('Locations'!$E$6:$E$455,MATCH(C110,'Locations'!$A$6:$A$455,0))</f>
        <v>-73.6796959974029</v>
      </c>
      <c r="W110" s="44"/>
    </row>
    <row r="111" ht="23.1" customHeight="1">
      <c r="A111" t="s" s="24">
        <v>721</v>
      </c>
      <c r="B111" t="s" s="53">
        <v>280</v>
      </c>
      <c r="C111" t="s" s="53">
        <v>290</v>
      </c>
      <c r="D111" t="s" s="53">
        <v>614</v>
      </c>
      <c r="E111" s="74">
        <f>2*6371000*ASIN(SQRT(MIN(1,SIN(RADIANS(U111-S111)/2)^2+COS(RADIANS(S111))*COS(RADIANS(U111))*SIN(RADIANS(V111-T111)/2)^2)))</f>
        <v>34.0179904944314</v>
      </c>
      <c r="F111" t="s" s="48">
        <v>70</v>
      </c>
      <c r="G111" t="s" s="48">
        <v>69</v>
      </c>
      <c r="H111" t="s" s="48">
        <v>69</v>
      </c>
      <c r="I111" t="s" s="48">
        <v>69</v>
      </c>
      <c r="J111" t="s" s="48">
        <v>69</v>
      </c>
      <c r="K111" s="72"/>
      <c r="L111" s="72"/>
      <c r="M111" s="50"/>
      <c r="N111" s="49"/>
      <c r="O111" s="50"/>
      <c r="P111" s="50"/>
      <c r="Q111" s="32">
        <v>107</v>
      </c>
      <c r="R111" s="64"/>
      <c r="S111" s="54">
        <f>INDEX('Locations'!$D$6:$D$455,MATCH(B111,'Locations'!$A$6:$A$455,0))</f>
        <v>42.729609822270</v>
      </c>
      <c r="T111" s="54">
        <f>INDEX('Locations'!$E$6:$E$455,MATCH(B111,'Locations'!$A$6:$A$455,0))</f>
        <v>-73.67924556420679</v>
      </c>
      <c r="U111" s="54">
        <f>INDEX('Locations'!$D$6:$D$455,MATCH(C111,'Locations'!$A$6:$A$455,0))</f>
        <v>42.7296443076638</v>
      </c>
      <c r="V111" s="75">
        <f>INDEX('Locations'!$E$6:$E$455,MATCH(C111,'Locations'!$A$6:$A$455,0))</f>
        <v>-73.679659389758</v>
      </c>
      <c r="W111" s="44"/>
    </row>
    <row r="112" ht="23.1" customHeight="1">
      <c r="A112" t="s" s="21">
        <v>722</v>
      </c>
      <c r="B112" t="s" s="45">
        <v>292</v>
      </c>
      <c r="C112" t="s" s="45">
        <v>290</v>
      </c>
      <c r="D112" t="s" s="45">
        <v>614</v>
      </c>
      <c r="E112" s="71">
        <f>2*6371000*ASIN(SQRT(MIN(1,SIN(RADIANS(U112-S112)/2)^2+COS(RADIANS(S112))*COS(RADIANS(U112))*SIN(RADIANS(V112-T112)/2)^2)))</f>
        <v>40.9365770438899</v>
      </c>
      <c r="F112" t="s" s="48">
        <v>70</v>
      </c>
      <c r="G112" t="s" s="48">
        <v>69</v>
      </c>
      <c r="H112" t="s" s="48">
        <v>69</v>
      </c>
      <c r="I112" t="s" s="48">
        <v>69</v>
      </c>
      <c r="J112" t="s" s="48">
        <v>69</v>
      </c>
      <c r="K112" s="72"/>
      <c r="L112" s="72"/>
      <c r="M112" s="50"/>
      <c r="N112" s="49"/>
      <c r="O112" s="50"/>
      <c r="P112" s="50"/>
      <c r="Q112" s="30">
        <v>108</v>
      </c>
      <c r="R112" s="61"/>
      <c r="S112" s="46">
        <f>INDEX('Locations'!$D$6:$D$455,MATCH(B112,'Locations'!$A$6:$A$455,0))</f>
        <v>42.7296845406231</v>
      </c>
      <c r="T112" s="46">
        <f>INDEX('Locations'!$E$6:$E$455,MATCH(B112,'Locations'!$A$6:$A$455,0))</f>
        <v>-73.6801575720561</v>
      </c>
      <c r="U112" s="46">
        <f>INDEX('Locations'!$D$6:$D$455,MATCH(C112,'Locations'!$A$6:$A$455,0))</f>
        <v>42.7296443076638</v>
      </c>
      <c r="V112" s="73">
        <f>INDEX('Locations'!$E$6:$E$455,MATCH(C112,'Locations'!$A$6:$A$455,0))</f>
        <v>-73.679659389758</v>
      </c>
      <c r="W112" s="44"/>
    </row>
    <row r="113" ht="23.1" customHeight="1">
      <c r="A113" t="s" s="24">
        <v>723</v>
      </c>
      <c r="B113" t="s" s="53">
        <v>292</v>
      </c>
      <c r="C113" t="s" s="53">
        <v>143</v>
      </c>
      <c r="D113" t="s" s="53">
        <v>614</v>
      </c>
      <c r="E113" s="74">
        <f>2*6371000*ASIN(SQRT(MIN(1,SIN(RADIANS(U113-S113)/2)^2+COS(RADIANS(S113))*COS(RADIANS(U113))*SIN(RADIANS(V113-T113)/2)^2)))</f>
        <v>9.459675723707219</v>
      </c>
      <c r="F113" t="s" s="48">
        <v>70</v>
      </c>
      <c r="G113" t="s" s="48">
        <v>69</v>
      </c>
      <c r="H113" t="s" s="48">
        <v>69</v>
      </c>
      <c r="I113" t="s" s="48">
        <v>69</v>
      </c>
      <c r="J113" t="s" s="48">
        <v>69</v>
      </c>
      <c r="K113" s="72"/>
      <c r="L113" s="72"/>
      <c r="M113" s="50"/>
      <c r="N113" s="49"/>
      <c r="O113" s="50"/>
      <c r="P113" s="50"/>
      <c r="Q113" s="32">
        <v>109</v>
      </c>
      <c r="R113" s="64"/>
      <c r="S113" s="54">
        <f>INDEX('Locations'!$D$6:$D$455,MATCH(B113,'Locations'!$A$6:$A$455,0))</f>
        <v>42.7296845406231</v>
      </c>
      <c r="T113" s="54">
        <f>INDEX('Locations'!$E$6:$E$455,MATCH(B113,'Locations'!$A$6:$A$455,0))</f>
        <v>-73.6801575720561</v>
      </c>
      <c r="U113" s="54">
        <f>INDEX('Locations'!$D$6:$D$455,MATCH(C113,'Locations'!$A$6:$A$455,0))</f>
        <v>42.7296023792144</v>
      </c>
      <c r="V113" s="75">
        <f>INDEX('Locations'!$E$6:$E$455,MATCH(C113,'Locations'!$A$6:$A$455,0))</f>
        <v>-73.6801876114796</v>
      </c>
      <c r="W113" s="44"/>
    </row>
    <row r="114" ht="23.1" customHeight="1">
      <c r="A114" t="s" s="21">
        <v>724</v>
      </c>
      <c r="B114" t="s" s="45">
        <v>293</v>
      </c>
      <c r="C114" t="s" s="45">
        <v>292</v>
      </c>
      <c r="D114" t="s" s="45">
        <v>614</v>
      </c>
      <c r="E114" s="71">
        <f>2*6371000*ASIN(SQRT(MIN(1,SIN(RADIANS(U114-S114)/2)^2+COS(RADIANS(S114))*COS(RADIANS(U114))*SIN(RADIANS(V114-T114)/2)^2)))</f>
        <v>66.5690498347401</v>
      </c>
      <c r="F114" t="s" s="48">
        <v>70</v>
      </c>
      <c r="G114" t="s" s="48">
        <v>69</v>
      </c>
      <c r="H114" t="s" s="48">
        <v>69</v>
      </c>
      <c r="I114" t="s" s="48">
        <v>69</v>
      </c>
      <c r="J114" t="s" s="48">
        <v>69</v>
      </c>
      <c r="K114" s="72"/>
      <c r="L114" s="72"/>
      <c r="M114" s="50"/>
      <c r="N114" s="49"/>
      <c r="O114" s="50"/>
      <c r="P114" s="50"/>
      <c r="Q114" s="30">
        <v>110</v>
      </c>
      <c r="R114" s="61"/>
      <c r="S114" s="46">
        <f>INDEX('Locations'!$D$6:$D$455,MATCH(B114,'Locations'!$A$6:$A$455,0))</f>
        <v>42.7297902958307</v>
      </c>
      <c r="T114" s="46">
        <f>INDEX('Locations'!$E$6:$E$455,MATCH(B114,'Locations'!$A$6:$A$455,0))</f>
        <v>-73.68095975697069</v>
      </c>
      <c r="U114" s="46">
        <f>INDEX('Locations'!$D$6:$D$455,MATCH(C114,'Locations'!$A$6:$A$455,0))</f>
        <v>42.7296845406231</v>
      </c>
      <c r="V114" s="73">
        <f>INDEX('Locations'!$E$6:$E$455,MATCH(C114,'Locations'!$A$6:$A$455,0))</f>
        <v>-73.6801575720561</v>
      </c>
      <c r="W114" s="44"/>
    </row>
    <row r="115" ht="23.1" customHeight="1">
      <c r="A115" t="s" s="24">
        <v>725</v>
      </c>
      <c r="B115" t="s" s="53">
        <v>282</v>
      </c>
      <c r="C115" t="s" s="53">
        <v>294</v>
      </c>
      <c r="D115" t="s" s="53">
        <v>614</v>
      </c>
      <c r="E115" s="74">
        <f>2*6371000*ASIN(SQRT(MIN(1,SIN(RADIANS(U115-S115)/2)^2+COS(RADIANS(S115))*COS(RADIANS(U115))*SIN(RADIANS(V115-T115)/2)^2)))</f>
        <v>41.7519256871431</v>
      </c>
      <c r="F115" t="s" s="48">
        <v>70</v>
      </c>
      <c r="G115" t="s" s="48">
        <v>69</v>
      </c>
      <c r="H115" t="s" s="48">
        <v>69</v>
      </c>
      <c r="I115" t="s" s="48">
        <v>69</v>
      </c>
      <c r="J115" t="s" s="48">
        <v>69</v>
      </c>
      <c r="K115" s="72"/>
      <c r="L115" s="72"/>
      <c r="M115" s="50"/>
      <c r="N115" s="49"/>
      <c r="O115" s="50"/>
      <c r="P115" s="50"/>
      <c r="Q115" s="32">
        <v>111</v>
      </c>
      <c r="R115" s="64"/>
      <c r="S115" s="54">
        <f>INDEX('Locations'!$D$6:$D$455,MATCH(B115,'Locations'!$A$6:$A$455,0))</f>
        <v>42.7306673743453</v>
      </c>
      <c r="T115" s="54">
        <f>INDEX('Locations'!$E$6:$E$455,MATCH(B115,'Locations'!$A$6:$A$455,0))</f>
        <v>-73.67938085332931</v>
      </c>
      <c r="U115" s="54">
        <f>INDEX('Locations'!$D$6:$D$455,MATCH(C115,'Locations'!$A$6:$A$455,0))</f>
        <v>42.7304604619827</v>
      </c>
      <c r="V115" s="75">
        <f>INDEX('Locations'!$E$6:$E$455,MATCH(C115,'Locations'!$A$6:$A$455,0))</f>
        <v>-73.6789542946843</v>
      </c>
      <c r="W115" s="44"/>
    </row>
    <row r="116" ht="23.1" customHeight="1">
      <c r="A116" t="s" s="21">
        <v>726</v>
      </c>
      <c r="B116" t="s" s="45">
        <v>71</v>
      </c>
      <c r="C116" t="s" s="45">
        <v>294</v>
      </c>
      <c r="D116" t="s" s="45">
        <v>614</v>
      </c>
      <c r="E116" s="71">
        <f>2*6371000*ASIN(SQRT(MIN(1,SIN(RADIANS(U116-S116)/2)^2+COS(RADIANS(S116))*COS(RADIANS(U116))*SIN(RADIANS(V116-T116)/2)^2)))</f>
        <v>36.8035214161096</v>
      </c>
      <c r="F116" t="s" s="48">
        <v>70</v>
      </c>
      <c r="G116" t="s" s="48">
        <v>69</v>
      </c>
      <c r="H116" t="s" s="48">
        <v>69</v>
      </c>
      <c r="I116" t="s" s="48">
        <v>69</v>
      </c>
      <c r="J116" t="s" s="48">
        <v>69</v>
      </c>
      <c r="K116" s="72"/>
      <c r="L116" s="72"/>
      <c r="M116" s="50"/>
      <c r="N116" s="49"/>
      <c r="O116" s="50"/>
      <c r="P116" s="50"/>
      <c r="Q116" s="30">
        <v>112</v>
      </c>
      <c r="R116" s="61"/>
      <c r="S116" s="46">
        <f>INDEX('Locations'!$D$6:$D$455,MATCH(B116,'Locations'!$A$6:$A$455,0))</f>
        <v>42.7307847736595</v>
      </c>
      <c r="T116" s="46">
        <f>INDEX('Locations'!$E$6:$E$455,MATCH(B116,'Locations'!$A$6:$A$455,0))</f>
        <v>-73.6788642890883</v>
      </c>
      <c r="U116" s="46">
        <f>INDEX('Locations'!$D$6:$D$455,MATCH(C116,'Locations'!$A$6:$A$455,0))</f>
        <v>42.7304604619827</v>
      </c>
      <c r="V116" s="73">
        <f>INDEX('Locations'!$E$6:$E$455,MATCH(C116,'Locations'!$A$6:$A$455,0))</f>
        <v>-73.6789542946843</v>
      </c>
      <c r="W116" s="44"/>
    </row>
    <row r="117" ht="23.1" customHeight="1">
      <c r="A117" t="s" s="24">
        <v>727</v>
      </c>
      <c r="B117" t="s" s="53">
        <v>295</v>
      </c>
      <c r="C117" t="s" s="53">
        <v>294</v>
      </c>
      <c r="D117" t="s" s="53">
        <v>669</v>
      </c>
      <c r="E117" s="74">
        <f>2*6371000*ASIN(SQRT(MIN(1,SIN(RADIANS(U117-S117)/2)^2+COS(RADIANS(S117))*COS(RADIANS(U117))*SIN(RADIANS(V117-T117)/2)^2)))</f>
        <v>33.0712750303036</v>
      </c>
      <c r="F117" t="s" s="48">
        <v>70</v>
      </c>
      <c r="G117" t="s" s="48">
        <v>69</v>
      </c>
      <c r="H117" t="s" s="48">
        <v>69</v>
      </c>
      <c r="I117" t="s" s="48">
        <v>69</v>
      </c>
      <c r="J117" t="s" s="48">
        <v>69</v>
      </c>
      <c r="K117" s="72"/>
      <c r="L117" s="72"/>
      <c r="M117" s="50"/>
      <c r="N117" s="49"/>
      <c r="O117" s="50"/>
      <c r="P117" s="50"/>
      <c r="Q117" s="32">
        <v>113</v>
      </c>
      <c r="R117" s="64"/>
      <c r="S117" s="54">
        <f>INDEX('Locations'!$D$6:$D$455,MATCH(B117,'Locations'!$A$6:$A$455,0))</f>
        <v>42.7304294251283</v>
      </c>
      <c r="T117" s="54">
        <f>INDEX('Locations'!$E$6:$E$455,MATCH(B117,'Locations'!$A$6:$A$455,0))</f>
        <v>-73.6785516105903</v>
      </c>
      <c r="U117" s="54">
        <f>INDEX('Locations'!$D$6:$D$455,MATCH(C117,'Locations'!$A$6:$A$455,0))</f>
        <v>42.7304604619827</v>
      </c>
      <c r="V117" s="75">
        <f>INDEX('Locations'!$E$6:$E$455,MATCH(C117,'Locations'!$A$6:$A$455,0))</f>
        <v>-73.6789542946843</v>
      </c>
      <c r="W117" s="44"/>
    </row>
    <row r="118" ht="23.1" customHeight="1">
      <c r="A118" t="s" s="21">
        <v>728</v>
      </c>
      <c r="B118" t="s" s="45">
        <v>295</v>
      </c>
      <c r="C118" t="s" s="45">
        <v>273</v>
      </c>
      <c r="D118" t="s" s="45">
        <v>614</v>
      </c>
      <c r="E118" s="71">
        <f>2*6371000*ASIN(SQRT(MIN(1,SIN(RADIANS(U118-S118)/2)^2+COS(RADIANS(S118))*COS(RADIANS(U118))*SIN(RADIANS(V118-T118)/2)^2)))</f>
        <v>41.217180887429</v>
      </c>
      <c r="F118" t="s" s="48">
        <v>70</v>
      </c>
      <c r="G118" t="s" s="48">
        <v>69</v>
      </c>
      <c r="H118" t="s" s="48">
        <v>69</v>
      </c>
      <c r="I118" t="s" s="48">
        <v>69</v>
      </c>
      <c r="J118" t="s" s="48">
        <v>69</v>
      </c>
      <c r="K118" s="72"/>
      <c r="L118" s="72"/>
      <c r="M118" s="50"/>
      <c r="N118" s="49"/>
      <c r="O118" s="50"/>
      <c r="P118" s="50"/>
      <c r="Q118" s="30">
        <v>114</v>
      </c>
      <c r="R118" s="61"/>
      <c r="S118" s="46">
        <f>INDEX('Locations'!$D$6:$D$455,MATCH(B118,'Locations'!$A$6:$A$455,0))</f>
        <v>42.7304294251283</v>
      </c>
      <c r="T118" s="46">
        <f>INDEX('Locations'!$E$6:$E$455,MATCH(B118,'Locations'!$A$6:$A$455,0))</f>
        <v>-73.6785516105903</v>
      </c>
      <c r="U118" s="46">
        <f>INDEX('Locations'!$D$6:$D$455,MATCH(C118,'Locations'!$A$6:$A$455,0))</f>
        <v>42.7302822874483</v>
      </c>
      <c r="V118" s="73">
        <f>INDEX('Locations'!$E$6:$E$455,MATCH(C118,'Locations'!$A$6:$A$455,0))</f>
        <v>-73.6780884443003</v>
      </c>
      <c r="W118" s="44"/>
    </row>
    <row r="119" ht="23.1" customHeight="1">
      <c r="A119" t="s" s="24">
        <v>729</v>
      </c>
      <c r="B119" t="s" s="53">
        <v>281</v>
      </c>
      <c r="C119" t="s" s="53">
        <v>296</v>
      </c>
      <c r="D119" t="s" s="53">
        <v>614</v>
      </c>
      <c r="E119" s="74">
        <f>2*6371000*ASIN(SQRT(MIN(1,SIN(RADIANS(U119-S119)/2)^2+COS(RADIANS(S119))*COS(RADIANS(U119))*SIN(RADIANS(V119-T119)/2)^2)))</f>
        <v>71.92605802623299</v>
      </c>
      <c r="F119" t="s" s="48">
        <v>70</v>
      </c>
      <c r="G119" t="s" s="48">
        <v>69</v>
      </c>
      <c r="H119" t="s" s="48">
        <v>69</v>
      </c>
      <c r="I119" t="s" s="48">
        <v>69</v>
      </c>
      <c r="J119" t="s" s="48">
        <v>69</v>
      </c>
      <c r="K119" s="72"/>
      <c r="L119" s="72"/>
      <c r="M119" s="50"/>
      <c r="N119" s="49"/>
      <c r="O119" s="50"/>
      <c r="P119" s="50"/>
      <c r="Q119" s="32">
        <v>115</v>
      </c>
      <c r="R119" s="64"/>
      <c r="S119" s="54">
        <f>INDEX('Locations'!$D$6:$D$455,MATCH(B119,'Locations'!$A$6:$A$455,0))</f>
        <v>42.7310582088079</v>
      </c>
      <c r="T119" s="54">
        <f>INDEX('Locations'!$E$6:$E$455,MATCH(B119,'Locations'!$A$6:$A$455,0))</f>
        <v>-73.6792773969415</v>
      </c>
      <c r="U119" s="54">
        <f>INDEX('Locations'!$D$6:$D$455,MATCH(C119,'Locations'!$A$6:$A$455,0))</f>
        <v>42.7309283138247</v>
      </c>
      <c r="V119" s="75">
        <f>INDEX('Locations'!$E$6:$E$455,MATCH(C119,'Locations'!$A$6:$A$455,0))</f>
        <v>-73.678414729831</v>
      </c>
      <c r="W119" s="44"/>
    </row>
    <row r="120" ht="23.1" customHeight="1">
      <c r="A120" t="s" s="21">
        <v>730</v>
      </c>
      <c r="B120" t="s" s="45">
        <v>220</v>
      </c>
      <c r="C120" t="s" s="45">
        <v>296</v>
      </c>
      <c r="D120" t="s" s="45">
        <v>614</v>
      </c>
      <c r="E120" s="71">
        <f>2*6371000*ASIN(SQRT(MIN(1,SIN(RADIANS(U120-S120)/2)^2+COS(RADIANS(S120))*COS(RADIANS(U120))*SIN(RADIANS(V120-T120)/2)^2)))</f>
        <v>98.8056178166527</v>
      </c>
      <c r="F120" t="s" s="48">
        <v>70</v>
      </c>
      <c r="G120" t="s" s="48">
        <v>69</v>
      </c>
      <c r="H120" t="s" s="48">
        <v>69</v>
      </c>
      <c r="I120" t="s" s="48">
        <v>69</v>
      </c>
      <c r="J120" t="s" s="48">
        <v>69</v>
      </c>
      <c r="K120" s="72"/>
      <c r="L120" s="72"/>
      <c r="M120" s="50"/>
      <c r="N120" s="49"/>
      <c r="O120" s="50"/>
      <c r="P120" s="50"/>
      <c r="Q120" s="30">
        <v>116</v>
      </c>
      <c r="R120" s="61"/>
      <c r="S120" s="46">
        <f>INDEX('Locations'!$D$6:$D$455,MATCH(B120,'Locations'!$A$6:$A$455,0))</f>
        <v>42.7307708305265</v>
      </c>
      <c r="T120" s="46">
        <f>INDEX('Locations'!$E$6:$E$455,MATCH(B120,'Locations'!$A$6:$A$455,0))</f>
        <v>-73.6772241855531</v>
      </c>
      <c r="U120" s="46">
        <f>INDEX('Locations'!$D$6:$D$455,MATCH(C120,'Locations'!$A$6:$A$455,0))</f>
        <v>42.7309283138247</v>
      </c>
      <c r="V120" s="73">
        <f>INDEX('Locations'!$E$6:$E$455,MATCH(C120,'Locations'!$A$6:$A$455,0))</f>
        <v>-73.678414729831</v>
      </c>
      <c r="W120" s="44"/>
    </row>
    <row r="121" ht="23.1" customHeight="1">
      <c r="A121" t="s" s="24">
        <v>731</v>
      </c>
      <c r="B121" t="s" s="53">
        <v>295</v>
      </c>
      <c r="C121" t="s" s="53">
        <v>296</v>
      </c>
      <c r="D121" t="s" s="53">
        <v>669</v>
      </c>
      <c r="E121" s="74">
        <f>2*6371000*ASIN(SQRT(MIN(1,SIN(RADIANS(U121-S121)/2)^2+COS(RADIANS(S121))*COS(RADIANS(U121))*SIN(RADIANS(V121-T121)/2)^2)))</f>
        <v>56.5893060021698</v>
      </c>
      <c r="F121" t="s" s="48">
        <v>70</v>
      </c>
      <c r="G121" t="s" s="48">
        <v>69</v>
      </c>
      <c r="H121" t="s" s="48">
        <v>69</v>
      </c>
      <c r="I121" t="s" s="48">
        <v>69</v>
      </c>
      <c r="J121" t="s" s="48">
        <v>69</v>
      </c>
      <c r="K121" s="72"/>
      <c r="L121" s="72"/>
      <c r="M121" s="50"/>
      <c r="N121" s="49"/>
      <c r="O121" s="50"/>
      <c r="P121" s="50"/>
      <c r="Q121" s="32">
        <v>117</v>
      </c>
      <c r="R121" s="64"/>
      <c r="S121" s="54">
        <f>INDEX('Locations'!$D$6:$D$455,MATCH(B121,'Locations'!$A$6:$A$455,0))</f>
        <v>42.7304294251283</v>
      </c>
      <c r="T121" s="54">
        <f>INDEX('Locations'!$E$6:$E$455,MATCH(B121,'Locations'!$A$6:$A$455,0))</f>
        <v>-73.6785516105903</v>
      </c>
      <c r="U121" s="54">
        <f>INDEX('Locations'!$D$6:$D$455,MATCH(C121,'Locations'!$A$6:$A$455,0))</f>
        <v>42.7309283138247</v>
      </c>
      <c r="V121" s="75">
        <f>INDEX('Locations'!$E$6:$E$455,MATCH(C121,'Locations'!$A$6:$A$455,0))</f>
        <v>-73.678414729831</v>
      </c>
      <c r="W121" s="44"/>
    </row>
    <row r="122" ht="23.1" customHeight="1">
      <c r="A122" t="s" s="21">
        <v>732</v>
      </c>
      <c r="B122" t="s" s="45">
        <v>288</v>
      </c>
      <c r="C122" t="s" s="45">
        <v>297</v>
      </c>
      <c r="D122" t="s" s="45">
        <v>614</v>
      </c>
      <c r="E122" s="71">
        <f>2*6371000*ASIN(SQRT(MIN(1,SIN(RADIANS(U122-S122)/2)^2+COS(RADIANS(S122))*COS(RADIANS(U122))*SIN(RADIANS(V122-T122)/2)^2)))</f>
        <v>30.7560138486552</v>
      </c>
      <c r="F122" t="s" s="48">
        <v>70</v>
      </c>
      <c r="G122" t="s" s="48">
        <v>69</v>
      </c>
      <c r="H122" t="s" s="48">
        <v>69</v>
      </c>
      <c r="I122" t="s" s="48">
        <v>69</v>
      </c>
      <c r="J122" t="s" s="48">
        <v>69</v>
      </c>
      <c r="K122" s="72"/>
      <c r="L122" s="72"/>
      <c r="M122" s="50"/>
      <c r="N122" s="49"/>
      <c r="O122" s="50"/>
      <c r="P122" s="50"/>
      <c r="Q122" s="30">
        <v>118</v>
      </c>
      <c r="R122" s="61"/>
      <c r="S122" s="46">
        <f>INDEX('Locations'!$D$6:$D$455,MATCH(B122,'Locations'!$A$6:$A$455,0))</f>
        <v>42.7308168110516</v>
      </c>
      <c r="T122" s="46">
        <f>INDEX('Locations'!$E$6:$E$455,MATCH(B122,'Locations'!$A$6:$A$455,0))</f>
        <v>-73.68091678277889</v>
      </c>
      <c r="U122" s="46">
        <f>INDEX('Locations'!$D$6:$D$455,MATCH(C122,'Locations'!$A$6:$A$455,0))</f>
        <v>42.730609898689</v>
      </c>
      <c r="V122" s="73">
        <f>INDEX('Locations'!$E$6:$E$455,MATCH(C122,'Locations'!$A$6:$A$455,0))</f>
        <v>-73.6811666697463</v>
      </c>
      <c r="W122" s="44"/>
    </row>
    <row r="123" ht="23.1" customHeight="1">
      <c r="A123" t="s" s="24">
        <v>733</v>
      </c>
      <c r="B123" t="s" s="53">
        <v>293</v>
      </c>
      <c r="C123" t="s" s="53">
        <v>298</v>
      </c>
      <c r="D123" t="s" s="53">
        <v>614</v>
      </c>
      <c r="E123" s="74">
        <f>2*6371000*ASIN(SQRT(MIN(1,SIN(RADIANS(U123-S123)/2)^2+COS(RADIANS(S123))*COS(RADIANS(U123))*SIN(RADIANS(V123-T123)/2)^2)))</f>
        <v>24.5068632625999</v>
      </c>
      <c r="F123" t="s" s="48">
        <v>70</v>
      </c>
      <c r="G123" t="s" s="48">
        <v>69</v>
      </c>
      <c r="H123" t="s" s="48">
        <v>69</v>
      </c>
      <c r="I123" t="s" s="48">
        <v>69</v>
      </c>
      <c r="J123" t="s" s="48">
        <v>69</v>
      </c>
      <c r="K123" s="72"/>
      <c r="L123" s="72"/>
      <c r="M123" s="50"/>
      <c r="N123" s="49"/>
      <c r="O123" s="50"/>
      <c r="P123" s="50"/>
      <c r="Q123" s="32">
        <v>119</v>
      </c>
      <c r="R123" s="64"/>
      <c r="S123" s="54">
        <f>INDEX('Locations'!$D$6:$D$455,MATCH(B123,'Locations'!$A$6:$A$455,0))</f>
        <v>42.7297902958307</v>
      </c>
      <c r="T123" s="54">
        <f>INDEX('Locations'!$E$6:$E$455,MATCH(B123,'Locations'!$A$6:$A$455,0))</f>
        <v>-73.68095975697069</v>
      </c>
      <c r="U123" s="54">
        <f>INDEX('Locations'!$D$6:$D$455,MATCH(C123,'Locations'!$A$6:$A$455,0))</f>
        <v>42.7300064042982</v>
      </c>
      <c r="V123" s="75">
        <f>INDEX('Locations'!$E$6:$E$455,MATCH(C123,'Locations'!$A$6:$A$455,0))</f>
        <v>-73.68090086641151</v>
      </c>
      <c r="W123" s="44"/>
    </row>
    <row r="124" ht="23.1" customHeight="1">
      <c r="A124" t="s" s="21">
        <v>734</v>
      </c>
      <c r="B124" t="s" s="45">
        <v>285</v>
      </c>
      <c r="C124" t="s" s="45">
        <v>298</v>
      </c>
      <c r="D124" t="s" s="45">
        <v>669</v>
      </c>
      <c r="E124" s="71">
        <f>2*6371000*ASIN(SQRT(MIN(1,SIN(RADIANS(U124-S124)/2)^2+COS(RADIANS(S124))*COS(RADIANS(U124))*SIN(RADIANS(V124-T124)/2)^2)))</f>
        <v>23.9974045197195</v>
      </c>
      <c r="F124" t="s" s="48">
        <v>70</v>
      </c>
      <c r="G124" t="s" s="48">
        <v>69</v>
      </c>
      <c r="H124" t="s" s="48">
        <v>69</v>
      </c>
      <c r="I124" t="s" s="48">
        <v>69</v>
      </c>
      <c r="J124" t="s" s="48">
        <v>69</v>
      </c>
      <c r="K124" s="72"/>
      <c r="L124" s="72"/>
      <c r="M124" s="50"/>
      <c r="N124" s="49"/>
      <c r="O124" s="50"/>
      <c r="P124" s="50"/>
      <c r="Q124" s="30">
        <v>120</v>
      </c>
      <c r="R124" s="61"/>
      <c r="S124" s="46">
        <f>INDEX('Locations'!$D$6:$D$455,MATCH(B124,'Locations'!$A$6:$A$455,0))</f>
        <v>42.7299891616013</v>
      </c>
      <c r="T124" s="46">
        <f>INDEX('Locations'!$E$6:$E$455,MATCH(B124,'Locations'!$A$6:$A$455,0))</f>
        <v>-73.6806080052522</v>
      </c>
      <c r="U124" s="46">
        <f>INDEX('Locations'!$D$6:$D$455,MATCH(C124,'Locations'!$A$6:$A$455,0))</f>
        <v>42.7300064042982</v>
      </c>
      <c r="V124" s="73">
        <f>INDEX('Locations'!$E$6:$E$455,MATCH(C124,'Locations'!$A$6:$A$455,0))</f>
        <v>-73.68090086641151</v>
      </c>
      <c r="W124" s="44"/>
    </row>
    <row r="125" ht="23.1" customHeight="1">
      <c r="A125" t="s" s="24">
        <v>735</v>
      </c>
      <c r="B125" t="s" s="53">
        <v>127</v>
      </c>
      <c r="C125" t="s" s="53">
        <v>298</v>
      </c>
      <c r="D125" t="s" s="53">
        <v>614</v>
      </c>
      <c r="E125" s="74">
        <f>2*6371000*ASIN(SQRT(MIN(1,SIN(RADIANS(U125-S125)/2)^2+COS(RADIANS(S125))*COS(RADIANS(U125))*SIN(RADIANS(V125-T125)/2)^2)))</f>
        <v>21.9663984426988</v>
      </c>
      <c r="F125" t="s" s="48">
        <v>70</v>
      </c>
      <c r="G125" t="s" s="48">
        <v>69</v>
      </c>
      <c r="H125" t="s" s="48">
        <v>69</v>
      </c>
      <c r="I125" t="s" s="48">
        <v>69</v>
      </c>
      <c r="J125" t="s" s="48">
        <v>69</v>
      </c>
      <c r="K125" s="72"/>
      <c r="L125" s="72"/>
      <c r="M125" s="50"/>
      <c r="N125" s="49"/>
      <c r="O125" s="50"/>
      <c r="P125" s="50"/>
      <c r="Q125" s="32">
        <v>121</v>
      </c>
      <c r="R125" s="64"/>
      <c r="S125" s="54">
        <f>INDEX('Locations'!$D$6:$D$455,MATCH(B125,'Locations'!$A$6:$A$455,0))</f>
        <v>42.7300180143745</v>
      </c>
      <c r="T125" s="54">
        <f>INDEX('Locations'!$E$6:$E$455,MATCH(B125,'Locations'!$A$6:$A$455,0))</f>
        <v>-73.6811693363836</v>
      </c>
      <c r="U125" s="54">
        <f>INDEX('Locations'!$D$6:$D$455,MATCH(C125,'Locations'!$A$6:$A$455,0))</f>
        <v>42.7300064042982</v>
      </c>
      <c r="V125" s="75">
        <f>INDEX('Locations'!$E$6:$E$455,MATCH(C125,'Locations'!$A$6:$A$455,0))</f>
        <v>-73.68090086641151</v>
      </c>
      <c r="W125" s="44"/>
    </row>
    <row r="126" ht="23.1" customHeight="1">
      <c r="A126" t="s" s="21">
        <v>736</v>
      </c>
      <c r="B126" t="s" s="45">
        <v>301</v>
      </c>
      <c r="C126" t="s" s="45">
        <v>300</v>
      </c>
      <c r="D126" t="s" s="45">
        <v>614</v>
      </c>
      <c r="E126" s="71">
        <f>2*6371000*ASIN(SQRT(MIN(1,SIN(RADIANS(U126-S126)/2)^2+COS(RADIANS(S126))*COS(RADIANS(U126))*SIN(RADIANS(V126-T126)/2)^2)))</f>
        <v>15.6005182991421</v>
      </c>
      <c r="F126" t="s" s="48">
        <v>70</v>
      </c>
      <c r="G126" t="s" s="48">
        <v>69</v>
      </c>
      <c r="H126" t="s" s="48">
        <v>69</v>
      </c>
      <c r="I126" t="s" s="48">
        <v>69</v>
      </c>
      <c r="J126" t="s" s="48">
        <v>69</v>
      </c>
      <c r="K126" s="72"/>
      <c r="L126" s="72"/>
      <c r="M126" s="50"/>
      <c r="N126" s="49"/>
      <c r="O126" s="50"/>
      <c r="P126" s="50"/>
      <c r="Q126" s="30">
        <v>122</v>
      </c>
      <c r="R126" s="61"/>
      <c r="S126" s="46">
        <f>INDEX('Locations'!$D$6:$D$455,MATCH(B126,'Locations'!$A$6:$A$455,0))</f>
        <v>42.7297247735825</v>
      </c>
      <c r="T126" s="46">
        <f>INDEX('Locations'!$E$6:$E$455,MATCH(B126,'Locations'!$A$6:$A$455,0))</f>
        <v>-73.6817921829833</v>
      </c>
      <c r="U126" s="46">
        <f>INDEX('Locations'!$D$6:$D$455,MATCH(C126,'Locations'!$A$6:$A$455,0))</f>
        <v>42.7297247735825</v>
      </c>
      <c r="V126" s="73">
        <f>INDEX('Locations'!$E$6:$E$455,MATCH(C126,'Locations'!$A$6:$A$455,0))</f>
        <v>-73.68160118657499</v>
      </c>
      <c r="W126" s="44"/>
    </row>
    <row r="127" ht="23.1" customHeight="1">
      <c r="A127" t="s" s="24">
        <v>737</v>
      </c>
      <c r="B127" t="s" s="53">
        <v>299</v>
      </c>
      <c r="C127" t="s" s="53">
        <v>300</v>
      </c>
      <c r="D127" t="s" s="53">
        <v>614</v>
      </c>
      <c r="E127" s="74">
        <f>2*6371000*ASIN(SQRT(MIN(1,SIN(RADIANS(U127-S127)/2)^2+COS(RADIANS(S127))*COS(RADIANS(U127))*SIN(RADIANS(V127-T127)/2)^2)))</f>
        <v>13.0437736583266</v>
      </c>
      <c r="F127" t="s" s="48">
        <v>70</v>
      </c>
      <c r="G127" t="s" s="48">
        <v>69</v>
      </c>
      <c r="H127" t="s" s="48">
        <v>69</v>
      </c>
      <c r="I127" t="s" s="48">
        <v>69</v>
      </c>
      <c r="J127" t="s" s="48">
        <v>69</v>
      </c>
      <c r="K127" s="72"/>
      <c r="L127" s="72"/>
      <c r="M127" s="50"/>
      <c r="N127" s="49"/>
      <c r="O127" s="50"/>
      <c r="P127" s="50"/>
      <c r="Q127" s="32">
        <v>123</v>
      </c>
      <c r="R127" s="64"/>
      <c r="S127" s="54">
        <f>INDEX('Locations'!$D$6:$D$455,MATCH(B127,'Locations'!$A$6:$A$455,0))</f>
        <v>42.729839724895</v>
      </c>
      <c r="T127" s="54">
        <f>INDEX('Locations'!$E$6:$E$455,MATCH(B127,'Locations'!$A$6:$A$455,0))</f>
        <v>-73.6816330193097</v>
      </c>
      <c r="U127" s="54">
        <f>INDEX('Locations'!$D$6:$D$455,MATCH(C127,'Locations'!$A$6:$A$455,0))</f>
        <v>42.7297247735825</v>
      </c>
      <c r="V127" s="75">
        <f>INDEX('Locations'!$E$6:$E$455,MATCH(C127,'Locations'!$A$6:$A$455,0))</f>
        <v>-73.68160118657499</v>
      </c>
      <c r="W127" s="44"/>
    </row>
    <row r="128" ht="23.1" customHeight="1">
      <c r="A128" t="s" s="21">
        <v>738</v>
      </c>
      <c r="B128" t="s" s="45">
        <v>302</v>
      </c>
      <c r="C128" t="s" s="45">
        <v>301</v>
      </c>
      <c r="D128" t="s" s="45">
        <v>614</v>
      </c>
      <c r="E128" s="71">
        <f>2*6371000*ASIN(SQRT(MIN(1,SIN(RADIANS(U128-S128)/2)^2+COS(RADIANS(S128))*COS(RADIANS(U128))*SIN(RADIANS(V128-T128)/2)^2)))</f>
        <v>12.7820027611332</v>
      </c>
      <c r="F128" t="s" s="48">
        <v>70</v>
      </c>
      <c r="G128" t="s" s="48">
        <v>69</v>
      </c>
      <c r="H128" t="s" s="48">
        <v>69</v>
      </c>
      <c r="I128" t="s" s="48">
        <v>69</v>
      </c>
      <c r="J128" t="s" s="48">
        <v>69</v>
      </c>
      <c r="K128" s="72"/>
      <c r="L128" s="72"/>
      <c r="M128" s="50"/>
      <c r="N128" s="49"/>
      <c r="O128" s="50"/>
      <c r="P128" s="50"/>
      <c r="Q128" s="30">
        <v>124</v>
      </c>
      <c r="R128" s="61"/>
      <c r="S128" s="46">
        <f>INDEX('Locations'!$D$6:$D$455,MATCH(B128,'Locations'!$A$6:$A$455,0))</f>
        <v>42.729839724895</v>
      </c>
      <c r="T128" s="46">
        <f>INDEX('Locations'!$E$6:$E$455,MATCH(B128,'Locations'!$A$6:$A$455,0))</f>
        <v>-73.6817921829833</v>
      </c>
      <c r="U128" s="46">
        <f>INDEX('Locations'!$D$6:$D$455,MATCH(C128,'Locations'!$A$6:$A$455,0))</f>
        <v>42.7297247735825</v>
      </c>
      <c r="V128" s="73">
        <f>INDEX('Locations'!$E$6:$E$455,MATCH(C128,'Locations'!$A$6:$A$455,0))</f>
        <v>-73.6817921829833</v>
      </c>
      <c r="W128" s="44"/>
    </row>
    <row r="129" ht="23.1" customHeight="1">
      <c r="A129" t="s" s="24">
        <v>739</v>
      </c>
      <c r="B129" t="s" s="53">
        <v>293</v>
      </c>
      <c r="C129" t="s" s="53">
        <v>299</v>
      </c>
      <c r="D129" t="s" s="53">
        <v>614</v>
      </c>
      <c r="E129" s="74">
        <f>2*6371000*ASIN(SQRT(MIN(1,SIN(RADIANS(U129-S129)/2)^2+COS(RADIANS(S129))*COS(RADIANS(U129))*SIN(RADIANS(V129-T129)/2)^2)))</f>
        <v>55.2657319040096</v>
      </c>
      <c r="F129" t="s" s="48">
        <v>70</v>
      </c>
      <c r="G129" t="s" s="48">
        <v>69</v>
      </c>
      <c r="H129" t="s" s="48">
        <v>69</v>
      </c>
      <c r="I129" t="s" s="48">
        <v>69</v>
      </c>
      <c r="J129" t="s" s="48">
        <v>69</v>
      </c>
      <c r="K129" s="72"/>
      <c r="L129" s="72"/>
      <c r="M129" s="50"/>
      <c r="N129" s="49"/>
      <c r="O129" s="50"/>
      <c r="P129" s="50"/>
      <c r="Q129" s="32">
        <v>125</v>
      </c>
      <c r="R129" s="64"/>
      <c r="S129" s="54">
        <f>INDEX('Locations'!$D$6:$D$455,MATCH(B129,'Locations'!$A$6:$A$455,0))</f>
        <v>42.7297902958307</v>
      </c>
      <c r="T129" s="54">
        <f>INDEX('Locations'!$E$6:$E$455,MATCH(B129,'Locations'!$A$6:$A$455,0))</f>
        <v>-73.68095975697069</v>
      </c>
      <c r="U129" s="54">
        <f>INDEX('Locations'!$D$6:$D$455,MATCH(C129,'Locations'!$A$6:$A$455,0))</f>
        <v>42.729839724895</v>
      </c>
      <c r="V129" s="75">
        <f>INDEX('Locations'!$E$6:$E$455,MATCH(C129,'Locations'!$A$6:$A$455,0))</f>
        <v>-73.6816330193097</v>
      </c>
      <c r="W129" s="44"/>
    </row>
    <row r="130" ht="23.1" customHeight="1">
      <c r="A130" t="s" s="21">
        <v>740</v>
      </c>
      <c r="B130" t="s" s="45">
        <v>302</v>
      </c>
      <c r="C130" t="s" s="45">
        <v>305</v>
      </c>
      <c r="D130" t="s" s="45">
        <v>614</v>
      </c>
      <c r="E130" s="71">
        <f>2*6371000*ASIN(SQRT(MIN(1,SIN(RADIANS(U130-S130)/2)^2+COS(RADIANS(S130))*COS(RADIANS(U130))*SIN(RADIANS(V130-T130)/2)^2)))</f>
        <v>8.90066259633833</v>
      </c>
      <c r="F130" t="s" s="48">
        <v>70</v>
      </c>
      <c r="G130" t="s" s="48">
        <v>69</v>
      </c>
      <c r="H130" t="s" s="48">
        <v>69</v>
      </c>
      <c r="I130" t="s" s="48">
        <v>69</v>
      </c>
      <c r="J130" t="s" s="48">
        <v>69</v>
      </c>
      <c r="K130" s="72"/>
      <c r="L130" s="72"/>
      <c r="M130" s="50"/>
      <c r="N130" s="49"/>
      <c r="O130" s="50"/>
      <c r="P130" s="50"/>
      <c r="Q130" s="30">
        <v>126</v>
      </c>
      <c r="R130" s="61"/>
      <c r="S130" s="46">
        <f>INDEX('Locations'!$D$6:$D$455,MATCH(B130,'Locations'!$A$6:$A$455,0))</f>
        <v>42.729839724895</v>
      </c>
      <c r="T130" s="46">
        <f>INDEX('Locations'!$E$6:$E$455,MATCH(B130,'Locations'!$A$6:$A$455,0))</f>
        <v>-73.6817921829833</v>
      </c>
      <c r="U130" s="46">
        <f>INDEX('Locations'!$D$6:$D$455,MATCH(C130,'Locations'!$A$6:$A$455,0))</f>
        <v>42.7298822568807</v>
      </c>
      <c r="V130" s="73">
        <f>INDEX('Locations'!$E$6:$E$455,MATCH(C130,'Locations'!$A$6:$A$455,0))</f>
        <v>-73.6816998680526</v>
      </c>
      <c r="W130" s="44"/>
    </row>
    <row r="131" ht="23.1" customHeight="1">
      <c r="A131" t="s" s="24">
        <v>741</v>
      </c>
      <c r="B131" t="s" s="53">
        <v>299</v>
      </c>
      <c r="C131" t="s" s="53">
        <v>305</v>
      </c>
      <c r="D131" t="s" s="53">
        <v>614</v>
      </c>
      <c r="E131" s="74">
        <f>2*6371000*ASIN(SQRT(MIN(1,SIN(RADIANS(U131-S131)/2)^2+COS(RADIANS(S131))*COS(RADIANS(U131))*SIN(RADIANS(V131-T131)/2)^2)))</f>
        <v>7.22358059391468</v>
      </c>
      <c r="F131" t="s" s="48">
        <v>70</v>
      </c>
      <c r="G131" t="s" s="48">
        <v>69</v>
      </c>
      <c r="H131" t="s" s="48">
        <v>69</v>
      </c>
      <c r="I131" t="s" s="48">
        <v>69</v>
      </c>
      <c r="J131" t="s" s="48">
        <v>69</v>
      </c>
      <c r="K131" s="72"/>
      <c r="L131" s="72"/>
      <c r="M131" s="50"/>
      <c r="N131" s="49"/>
      <c r="O131" s="50"/>
      <c r="P131" s="50"/>
      <c r="Q131" s="32">
        <v>127</v>
      </c>
      <c r="R131" s="64"/>
      <c r="S131" s="54">
        <f>INDEX('Locations'!$D$6:$D$455,MATCH(B131,'Locations'!$A$6:$A$455,0))</f>
        <v>42.729839724895</v>
      </c>
      <c r="T131" s="54">
        <f>INDEX('Locations'!$E$6:$E$455,MATCH(B131,'Locations'!$A$6:$A$455,0))</f>
        <v>-73.6816330193097</v>
      </c>
      <c r="U131" s="54">
        <f>INDEX('Locations'!$D$6:$D$455,MATCH(C131,'Locations'!$A$6:$A$455,0))</f>
        <v>42.7298822568807</v>
      </c>
      <c r="V131" s="75">
        <f>INDEX('Locations'!$E$6:$E$455,MATCH(C131,'Locations'!$A$6:$A$455,0))</f>
        <v>-73.6816998680526</v>
      </c>
      <c r="W131" s="44"/>
    </row>
    <row r="132" ht="23.1" customHeight="1">
      <c r="A132" t="s" s="21">
        <v>742</v>
      </c>
      <c r="B132" t="s" s="45">
        <v>303</v>
      </c>
      <c r="C132" t="s" s="45">
        <v>305</v>
      </c>
      <c r="D132" t="s" s="45">
        <v>614</v>
      </c>
      <c r="E132" s="71">
        <f>2*6371000*ASIN(SQRT(MIN(1,SIN(RADIANS(U132-S132)/2)^2+COS(RADIANS(S132))*COS(RADIANS(U132))*SIN(RADIANS(V132-T132)/2)^2)))</f>
        <v>14.4460031930775</v>
      </c>
      <c r="F132" t="s" s="48">
        <v>70</v>
      </c>
      <c r="G132" t="s" s="48">
        <v>69</v>
      </c>
      <c r="H132" t="s" s="48">
        <v>69</v>
      </c>
      <c r="I132" t="s" s="48">
        <v>69</v>
      </c>
      <c r="J132" t="s" s="48">
        <v>69</v>
      </c>
      <c r="K132" s="72"/>
      <c r="L132" s="72"/>
      <c r="M132" s="50"/>
      <c r="N132" s="49"/>
      <c r="O132" s="50"/>
      <c r="P132" s="50"/>
      <c r="Q132" s="30">
        <v>128</v>
      </c>
      <c r="R132" s="61"/>
      <c r="S132" s="46">
        <f>INDEX('Locations'!$D$6:$D$455,MATCH(B132,'Locations'!$A$6:$A$455,0))</f>
        <v>42.7300121518638</v>
      </c>
      <c r="T132" s="46">
        <f>INDEX('Locations'!$E$6:$E$455,MATCH(B132,'Locations'!$A$6:$A$455,0))</f>
        <v>-73.6816966847791</v>
      </c>
      <c r="U132" s="46">
        <f>INDEX('Locations'!$D$6:$D$455,MATCH(C132,'Locations'!$A$6:$A$455,0))</f>
        <v>42.7298822568807</v>
      </c>
      <c r="V132" s="73">
        <f>INDEX('Locations'!$E$6:$E$455,MATCH(C132,'Locations'!$A$6:$A$455,0))</f>
        <v>-73.6816998680526</v>
      </c>
      <c r="W132" s="44"/>
    </row>
    <row r="133" ht="23.1" customHeight="1">
      <c r="A133" t="s" s="24">
        <v>743</v>
      </c>
      <c r="B133" t="s" s="53">
        <v>304</v>
      </c>
      <c r="C133" t="s" s="53">
        <v>303</v>
      </c>
      <c r="D133" t="s" s="53">
        <v>614</v>
      </c>
      <c r="E133" s="74">
        <f>2*6371000*ASIN(SQRT(MIN(1,SIN(RADIANS(U133-S133)/2)^2+COS(RADIANS(S133))*COS(RADIANS(U133))*SIN(RADIANS(V133-T133)/2)^2)))</f>
        <v>18.4519381063166</v>
      </c>
      <c r="F133" t="s" s="48">
        <v>70</v>
      </c>
      <c r="G133" t="s" s="48">
        <v>69</v>
      </c>
      <c r="H133" t="s" s="48">
        <v>69</v>
      </c>
      <c r="I133" t="s" s="48">
        <v>69</v>
      </c>
      <c r="J133" t="s" s="48">
        <v>69</v>
      </c>
      <c r="K133" s="72"/>
      <c r="L133" s="72"/>
      <c r="M133" s="50"/>
      <c r="N133" s="49"/>
      <c r="O133" s="50"/>
      <c r="P133" s="50"/>
      <c r="Q133" s="32">
        <v>129</v>
      </c>
      <c r="R133" s="64"/>
      <c r="S133" s="54">
        <f>INDEX('Locations'!$D$6:$D$455,MATCH(B133,'Locations'!$A$6:$A$455,0))</f>
        <v>42.7301776817539</v>
      </c>
      <c r="T133" s="54">
        <f>INDEX('Locations'!$E$6:$E$455,MATCH(B133,'Locations'!$A$6:$A$455,0))</f>
        <v>-73.6817126011465</v>
      </c>
      <c r="U133" s="54">
        <f>INDEX('Locations'!$D$6:$D$455,MATCH(C133,'Locations'!$A$6:$A$455,0))</f>
        <v>42.7300121518638</v>
      </c>
      <c r="V133" s="75">
        <f>INDEX('Locations'!$E$6:$E$455,MATCH(C133,'Locations'!$A$6:$A$455,0))</f>
        <v>-73.6816966847791</v>
      </c>
      <c r="W133" s="44"/>
    </row>
    <row r="134" ht="23.1" customHeight="1">
      <c r="A134" t="s" s="21">
        <v>744</v>
      </c>
      <c r="B134" t="s" s="45">
        <v>147</v>
      </c>
      <c r="C134" t="s" s="45">
        <v>303</v>
      </c>
      <c r="D134" t="s" s="45">
        <v>614</v>
      </c>
      <c r="E134" s="71">
        <f>2*6371000*ASIN(SQRT(MIN(1,SIN(RADIANS(U134-S134)/2)^2+COS(RADIANS(S134))*COS(RADIANS(U134))*SIN(RADIANS(V134-T134)/2)^2)))</f>
        <v>21.2039477139305</v>
      </c>
      <c r="F134" t="s" s="48">
        <v>70</v>
      </c>
      <c r="G134" t="s" s="48">
        <v>69</v>
      </c>
      <c r="H134" t="s" s="48">
        <v>69</v>
      </c>
      <c r="I134" t="s" s="48">
        <v>69</v>
      </c>
      <c r="J134" t="s" s="48">
        <v>69</v>
      </c>
      <c r="K134" s="72"/>
      <c r="L134" s="72"/>
      <c r="M134" s="50"/>
      <c r="N134" s="49"/>
      <c r="O134" s="50"/>
      <c r="P134" s="50"/>
      <c r="Q134" s="30">
        <v>130</v>
      </c>
      <c r="R134" s="61"/>
      <c r="S134" s="46">
        <f>INDEX('Locations'!$D$6:$D$455,MATCH(B134,'Locations'!$A$6:$A$455,0))</f>
        <v>42.7301396094699</v>
      </c>
      <c r="T134" s="46">
        <f>INDEX('Locations'!$E$6:$E$455,MATCH(B134,'Locations'!$A$6:$A$455,0))</f>
        <v>-73.68188977695419</v>
      </c>
      <c r="U134" s="46">
        <f>INDEX('Locations'!$D$6:$D$455,MATCH(C134,'Locations'!$A$6:$A$455,0))</f>
        <v>42.7300121518638</v>
      </c>
      <c r="V134" s="73">
        <f>INDEX('Locations'!$E$6:$E$455,MATCH(C134,'Locations'!$A$6:$A$455,0))</f>
        <v>-73.6816966847791</v>
      </c>
      <c r="W134" s="44"/>
    </row>
    <row r="135" ht="23.1" customHeight="1">
      <c r="A135" t="s" s="24">
        <v>745</v>
      </c>
      <c r="B135" t="s" s="53">
        <v>309</v>
      </c>
      <c r="C135" t="s" s="53">
        <v>304</v>
      </c>
      <c r="D135" t="s" s="53">
        <v>614</v>
      </c>
      <c r="E135" s="74">
        <f>2*6371000*ASIN(SQRT(MIN(1,SIN(RADIANS(U135-S135)/2)^2+COS(RADIANS(S135))*COS(RADIANS(U135))*SIN(RADIANS(V135-T135)/2)^2)))</f>
        <v>39.5419231840492</v>
      </c>
      <c r="F135" t="s" s="48">
        <v>70</v>
      </c>
      <c r="G135" t="s" s="48">
        <v>69</v>
      </c>
      <c r="H135" t="s" s="48">
        <v>69</v>
      </c>
      <c r="I135" t="s" s="48">
        <v>69</v>
      </c>
      <c r="J135" t="s" s="48">
        <v>69</v>
      </c>
      <c r="K135" s="72"/>
      <c r="L135" s="72"/>
      <c r="M135" s="50"/>
      <c r="N135" s="49"/>
      <c r="O135" s="50"/>
      <c r="P135" s="50"/>
      <c r="Q135" s="32">
        <v>131</v>
      </c>
      <c r="R135" s="64"/>
      <c r="S135" s="54">
        <f>INDEX('Locations'!$D$6:$D$455,MATCH(B135,'Locations'!$A$6:$A$455,0))</f>
        <v>42.7301466448995</v>
      </c>
      <c r="T135" s="54">
        <f>INDEX('Locations'!$E$6:$E$455,MATCH(B135,'Locations'!$A$6:$A$455,0))</f>
        <v>-73.6812303352157</v>
      </c>
      <c r="U135" s="54">
        <f>INDEX('Locations'!$D$6:$D$455,MATCH(C135,'Locations'!$A$6:$A$455,0))</f>
        <v>42.7301776817539</v>
      </c>
      <c r="V135" s="75">
        <f>INDEX('Locations'!$E$6:$E$455,MATCH(C135,'Locations'!$A$6:$A$455,0))</f>
        <v>-73.6817126011465</v>
      </c>
      <c r="W135" s="44"/>
    </row>
    <row r="136" ht="23.1" customHeight="1">
      <c r="A136" t="s" s="21">
        <v>746</v>
      </c>
      <c r="B136" t="s" s="45">
        <v>308</v>
      </c>
      <c r="C136" t="s" s="45">
        <v>304</v>
      </c>
      <c r="D136" t="s" s="45">
        <v>614</v>
      </c>
      <c r="E136" s="71">
        <f>2*6371000*ASIN(SQRT(MIN(1,SIN(RADIANS(U136-S136)/2)^2+COS(RADIANS(S136))*COS(RADIANS(U136))*SIN(RADIANS(V136-T136)/2)^2)))</f>
        <v>25.3728943357271</v>
      </c>
      <c r="F136" t="s" s="48">
        <v>70</v>
      </c>
      <c r="G136" t="s" s="48">
        <v>69</v>
      </c>
      <c r="H136" t="s" s="48">
        <v>69</v>
      </c>
      <c r="I136" t="s" s="48">
        <v>69</v>
      </c>
      <c r="J136" t="s" s="48">
        <v>69</v>
      </c>
      <c r="K136" s="72"/>
      <c r="L136" s="72"/>
      <c r="M136" s="50"/>
      <c r="N136" s="49"/>
      <c r="O136" s="50"/>
      <c r="P136" s="50"/>
      <c r="Q136" s="30">
        <v>132</v>
      </c>
      <c r="R136" s="61"/>
      <c r="S136" s="46">
        <f>INDEX('Locations'!$D$6:$D$455,MATCH(B136,'Locations'!$A$6:$A$455,0))</f>
        <v>42.7303236699208</v>
      </c>
      <c r="T136" s="46">
        <f>INDEX('Locations'!$E$6:$E$455,MATCH(B136,'Locations'!$A$6:$A$455,0))</f>
        <v>-73.6814738556362</v>
      </c>
      <c r="U136" s="46">
        <f>INDEX('Locations'!$D$6:$D$455,MATCH(C136,'Locations'!$A$6:$A$455,0))</f>
        <v>42.7301776817539</v>
      </c>
      <c r="V136" s="73">
        <f>INDEX('Locations'!$E$6:$E$455,MATCH(C136,'Locations'!$A$6:$A$455,0))</f>
        <v>-73.6817126011465</v>
      </c>
      <c r="W136" s="44"/>
    </row>
    <row r="137" ht="23.1" customHeight="1">
      <c r="A137" t="s" s="24">
        <v>747</v>
      </c>
      <c r="B137" t="s" s="53">
        <v>309</v>
      </c>
      <c r="C137" t="s" s="53">
        <v>308</v>
      </c>
      <c r="D137" t="s" s="53">
        <v>614</v>
      </c>
      <c r="E137" s="74">
        <f>2*6371000*ASIN(SQRT(MIN(1,SIN(RADIANS(U137-S137)/2)^2+COS(RADIANS(S137))*COS(RADIANS(U137))*SIN(RADIANS(V137-T137)/2)^2)))</f>
        <v>27.9839761960696</v>
      </c>
      <c r="F137" t="s" s="48">
        <v>70</v>
      </c>
      <c r="G137" t="s" s="48">
        <v>69</v>
      </c>
      <c r="H137" t="s" s="48">
        <v>69</v>
      </c>
      <c r="I137" t="s" s="48">
        <v>69</v>
      </c>
      <c r="J137" t="s" s="48">
        <v>69</v>
      </c>
      <c r="K137" s="72"/>
      <c r="L137" s="72"/>
      <c r="M137" s="50"/>
      <c r="N137" s="49"/>
      <c r="O137" s="50"/>
      <c r="P137" s="50"/>
      <c r="Q137" s="32">
        <v>133</v>
      </c>
      <c r="R137" s="64"/>
      <c r="S137" s="54">
        <f>INDEX('Locations'!$D$6:$D$455,MATCH(B137,'Locations'!$A$6:$A$455,0))</f>
        <v>42.7301466448995</v>
      </c>
      <c r="T137" s="54">
        <f>INDEX('Locations'!$E$6:$E$455,MATCH(B137,'Locations'!$A$6:$A$455,0))</f>
        <v>-73.6812303352157</v>
      </c>
      <c r="U137" s="54">
        <f>INDEX('Locations'!$D$6:$D$455,MATCH(C137,'Locations'!$A$6:$A$455,0))</f>
        <v>42.7303236699208</v>
      </c>
      <c r="V137" s="75">
        <f>INDEX('Locations'!$E$6:$E$455,MATCH(C137,'Locations'!$A$6:$A$455,0))</f>
        <v>-73.6814738556362</v>
      </c>
      <c r="W137" s="44"/>
    </row>
    <row r="138" ht="23.1" customHeight="1">
      <c r="A138" t="s" s="21">
        <v>748</v>
      </c>
      <c r="B138" t="s" s="45">
        <v>310</v>
      </c>
      <c r="C138" t="s" s="45">
        <v>286</v>
      </c>
      <c r="D138" t="s" s="45">
        <v>669</v>
      </c>
      <c r="E138" s="71">
        <f>2*6371000*ASIN(SQRT(MIN(1,SIN(RADIANS(U138-S138)/2)^2+COS(RADIANS(S138))*COS(RADIANS(U138))*SIN(RADIANS(V138-T138)/2)^2)))</f>
        <v>25.6262095345506</v>
      </c>
      <c r="F138" t="s" s="48">
        <v>70</v>
      </c>
      <c r="G138" t="s" s="48">
        <v>69</v>
      </c>
      <c r="H138" t="s" s="48">
        <v>69</v>
      </c>
      <c r="I138" t="s" s="48">
        <v>69</v>
      </c>
      <c r="J138" t="s" s="48">
        <v>69</v>
      </c>
      <c r="K138" s="72"/>
      <c r="L138" s="72"/>
      <c r="M138" s="50"/>
      <c r="N138" s="49"/>
      <c r="O138" s="50"/>
      <c r="P138" s="50"/>
      <c r="Q138" s="30">
        <v>134</v>
      </c>
      <c r="R138" s="61"/>
      <c r="S138" s="46">
        <f>INDEX('Locations'!$D$6:$D$455,MATCH(B138,'Locations'!$A$6:$A$455,0))</f>
        <v>42.7303730989852</v>
      </c>
      <c r="T138" s="46">
        <f>INDEX('Locations'!$E$6:$E$455,MATCH(B138,'Locations'!$A$6:$A$455,0))</f>
        <v>-73.68118258611359</v>
      </c>
      <c r="U138" s="46">
        <f>INDEX('Locations'!$D$6:$D$455,MATCH(C138,'Locations'!$A$6:$A$455,0))</f>
        <v>42.7303650523933</v>
      </c>
      <c r="V138" s="73">
        <f>INDEX('Locations'!$E$6:$E$455,MATCH(C138,'Locations'!$A$6:$A$455,0))</f>
        <v>-73.6808690336768</v>
      </c>
      <c r="W138" s="44"/>
    </row>
    <row r="139" ht="23.1" customHeight="1">
      <c r="A139" t="s" s="24">
        <v>749</v>
      </c>
      <c r="B139" t="s" s="53">
        <v>297</v>
      </c>
      <c r="C139" t="s" s="53">
        <v>310</v>
      </c>
      <c r="D139" t="s" s="53">
        <v>614</v>
      </c>
      <c r="E139" s="74">
        <f>2*6371000*ASIN(SQRT(MIN(1,SIN(RADIANS(U139-S139)/2)^2+COS(RADIANS(S139))*COS(RADIANS(U139))*SIN(RADIANS(V139-T139)/2)^2)))</f>
        <v>26.3629990399405</v>
      </c>
      <c r="F139" t="s" s="48">
        <v>70</v>
      </c>
      <c r="G139" t="s" s="48">
        <v>69</v>
      </c>
      <c r="H139" t="s" s="48">
        <v>69</v>
      </c>
      <c r="I139" t="s" s="48">
        <v>69</v>
      </c>
      <c r="J139" t="s" s="48">
        <v>69</v>
      </c>
      <c r="K139" s="72"/>
      <c r="L139" s="72"/>
      <c r="M139" s="50"/>
      <c r="N139" s="49"/>
      <c r="O139" s="50"/>
      <c r="P139" s="50"/>
      <c r="Q139" s="32">
        <v>135</v>
      </c>
      <c r="R139" s="64"/>
      <c r="S139" s="54">
        <f>INDEX('Locations'!$D$6:$D$455,MATCH(B139,'Locations'!$A$6:$A$455,0))</f>
        <v>42.730609898689</v>
      </c>
      <c r="T139" s="54">
        <f>INDEX('Locations'!$E$6:$E$455,MATCH(B139,'Locations'!$A$6:$A$455,0))</f>
        <v>-73.6811666697463</v>
      </c>
      <c r="U139" s="54">
        <f>INDEX('Locations'!$D$6:$D$455,MATCH(C139,'Locations'!$A$6:$A$455,0))</f>
        <v>42.7303730989852</v>
      </c>
      <c r="V139" s="75">
        <f>INDEX('Locations'!$E$6:$E$455,MATCH(C139,'Locations'!$A$6:$A$455,0))</f>
        <v>-73.68118258611359</v>
      </c>
      <c r="W139" s="44"/>
    </row>
    <row r="140" ht="23.1" customHeight="1">
      <c r="A140" t="s" s="21">
        <v>750</v>
      </c>
      <c r="B140" t="s" s="45">
        <v>309</v>
      </c>
      <c r="C140" t="s" s="45">
        <v>310</v>
      </c>
      <c r="D140" t="s" s="45">
        <v>614</v>
      </c>
      <c r="E140" s="71">
        <f>2*6371000*ASIN(SQRT(MIN(1,SIN(RADIANS(U140-S140)/2)^2+COS(RADIANS(S140))*COS(RADIANS(U140))*SIN(RADIANS(V140-T140)/2)^2)))</f>
        <v>25.4807891815252</v>
      </c>
      <c r="F140" t="s" s="48">
        <v>70</v>
      </c>
      <c r="G140" t="s" s="48">
        <v>69</v>
      </c>
      <c r="H140" t="s" s="48">
        <v>69</v>
      </c>
      <c r="I140" t="s" s="48">
        <v>69</v>
      </c>
      <c r="J140" t="s" s="48">
        <v>69</v>
      </c>
      <c r="K140" s="72"/>
      <c r="L140" s="72"/>
      <c r="M140" s="50"/>
      <c r="N140" s="49"/>
      <c r="O140" s="50"/>
      <c r="P140" s="50"/>
      <c r="Q140" s="30">
        <v>136</v>
      </c>
      <c r="R140" s="61"/>
      <c r="S140" s="46">
        <f>INDEX('Locations'!$D$6:$D$455,MATCH(B140,'Locations'!$A$6:$A$455,0))</f>
        <v>42.7301466448995</v>
      </c>
      <c r="T140" s="46">
        <f>INDEX('Locations'!$E$6:$E$455,MATCH(B140,'Locations'!$A$6:$A$455,0))</f>
        <v>-73.6812303352157</v>
      </c>
      <c r="U140" s="46">
        <f>INDEX('Locations'!$D$6:$D$455,MATCH(C140,'Locations'!$A$6:$A$455,0))</f>
        <v>42.7303730989852</v>
      </c>
      <c r="V140" s="73">
        <f>INDEX('Locations'!$E$6:$E$455,MATCH(C140,'Locations'!$A$6:$A$455,0))</f>
        <v>-73.68118258611359</v>
      </c>
      <c r="W140" s="44"/>
    </row>
    <row r="141" ht="23.1" customHeight="1">
      <c r="A141" t="s" s="24">
        <v>751</v>
      </c>
      <c r="B141" t="s" s="53">
        <v>307</v>
      </c>
      <c r="C141" t="s" s="53">
        <v>308</v>
      </c>
      <c r="D141" t="s" s="53">
        <v>614</v>
      </c>
      <c r="E141" s="74">
        <f>2*6371000*ASIN(SQRT(MIN(1,SIN(RADIANS(U141-S141)/2)^2+COS(RADIANS(S141))*COS(RADIANS(U141))*SIN(RADIANS(V141-T141)/2)^2)))</f>
        <v>13.9420060280268</v>
      </c>
      <c r="F141" t="s" s="48">
        <v>70</v>
      </c>
      <c r="G141" t="s" s="48">
        <v>69</v>
      </c>
      <c r="H141" t="s" s="48">
        <v>69</v>
      </c>
      <c r="I141" t="s" s="48">
        <v>69</v>
      </c>
      <c r="J141" t="s" s="48">
        <v>69</v>
      </c>
      <c r="K141" s="72"/>
      <c r="L141" s="72"/>
      <c r="M141" s="50"/>
      <c r="N141" s="49"/>
      <c r="O141" s="50"/>
      <c r="P141" s="50"/>
      <c r="Q141" s="32">
        <v>137</v>
      </c>
      <c r="R141" s="64"/>
      <c r="S141" s="54">
        <f>INDEX('Locations'!$D$6:$D$455,MATCH(B141,'Locations'!$A$6:$A$455,0))</f>
        <v>42.730425976589</v>
      </c>
      <c r="T141" s="54">
        <f>INDEX('Locations'!$E$6:$E$455,MATCH(B141,'Locations'!$A$6:$A$455,0))</f>
        <v>-73.68157253711379</v>
      </c>
      <c r="U141" s="54">
        <f>INDEX('Locations'!$D$6:$D$455,MATCH(C141,'Locations'!$A$6:$A$455,0))</f>
        <v>42.7303236699208</v>
      </c>
      <c r="V141" s="75">
        <f>INDEX('Locations'!$E$6:$E$455,MATCH(C141,'Locations'!$A$6:$A$455,0))</f>
        <v>-73.6814738556362</v>
      </c>
      <c r="W141" s="44"/>
    </row>
    <row r="142" ht="23.1" customHeight="1">
      <c r="A142" t="s" s="21">
        <v>752</v>
      </c>
      <c r="B142" t="s" s="45">
        <v>297</v>
      </c>
      <c r="C142" t="s" s="45">
        <v>307</v>
      </c>
      <c r="D142" t="s" s="45">
        <v>614</v>
      </c>
      <c r="E142" s="71">
        <f>2*6371000*ASIN(SQRT(MIN(1,SIN(RADIANS(U142-S142)/2)^2+COS(RADIANS(S142))*COS(RADIANS(U142))*SIN(RADIANS(V142-T142)/2)^2)))</f>
        <v>38.9514977569452</v>
      </c>
      <c r="F142" t="s" s="48">
        <v>70</v>
      </c>
      <c r="G142" t="s" s="48">
        <v>69</v>
      </c>
      <c r="H142" t="s" s="48">
        <v>69</v>
      </c>
      <c r="I142" t="s" s="48">
        <v>69</v>
      </c>
      <c r="J142" t="s" s="48">
        <v>69</v>
      </c>
      <c r="K142" s="72"/>
      <c r="L142" s="72"/>
      <c r="M142" s="50"/>
      <c r="N142" s="49"/>
      <c r="O142" s="50"/>
      <c r="P142" s="50"/>
      <c r="Q142" s="30">
        <v>138</v>
      </c>
      <c r="R142" s="61"/>
      <c r="S142" s="46">
        <f>INDEX('Locations'!$D$6:$D$455,MATCH(B142,'Locations'!$A$6:$A$455,0))</f>
        <v>42.730609898689</v>
      </c>
      <c r="T142" s="46">
        <f>INDEX('Locations'!$E$6:$E$455,MATCH(B142,'Locations'!$A$6:$A$455,0))</f>
        <v>-73.6811666697463</v>
      </c>
      <c r="U142" s="46">
        <f>INDEX('Locations'!$D$6:$D$455,MATCH(C142,'Locations'!$A$6:$A$455,0))</f>
        <v>42.730425976589</v>
      </c>
      <c r="V142" s="73">
        <f>INDEX('Locations'!$E$6:$E$455,MATCH(C142,'Locations'!$A$6:$A$455,0))</f>
        <v>-73.68157253711379</v>
      </c>
      <c r="W142" s="44"/>
    </row>
    <row r="143" ht="23.1" customHeight="1">
      <c r="A143" t="s" s="24">
        <v>753</v>
      </c>
      <c r="B143" t="s" s="53">
        <v>297</v>
      </c>
      <c r="C143" t="s" s="53">
        <v>308</v>
      </c>
      <c r="D143" t="s" s="53">
        <v>614</v>
      </c>
      <c r="E143" s="74">
        <f>2*6371000*ASIN(SQRT(MIN(1,SIN(RADIANS(U143-S143)/2)^2+COS(RADIANS(S143))*COS(RADIANS(U143))*SIN(RADIANS(V143-T143)/2)^2)))</f>
        <v>40.527826152332</v>
      </c>
      <c r="F143" t="s" s="48">
        <v>70</v>
      </c>
      <c r="G143" t="s" s="48">
        <v>69</v>
      </c>
      <c r="H143" t="s" s="48">
        <v>69</v>
      </c>
      <c r="I143" t="s" s="48">
        <v>69</v>
      </c>
      <c r="J143" t="s" s="48">
        <v>69</v>
      </c>
      <c r="K143" s="72"/>
      <c r="L143" s="72"/>
      <c r="M143" s="50"/>
      <c r="N143" s="49"/>
      <c r="O143" s="50"/>
      <c r="P143" s="50"/>
      <c r="Q143" s="32">
        <v>139</v>
      </c>
      <c r="R143" s="64"/>
      <c r="S143" s="54">
        <f>INDEX('Locations'!$D$6:$D$455,MATCH(B143,'Locations'!$A$6:$A$455,0))</f>
        <v>42.730609898689</v>
      </c>
      <c r="T143" s="54">
        <f>INDEX('Locations'!$E$6:$E$455,MATCH(B143,'Locations'!$A$6:$A$455,0))</f>
        <v>-73.6811666697463</v>
      </c>
      <c r="U143" s="54">
        <f>INDEX('Locations'!$D$6:$D$455,MATCH(C143,'Locations'!$A$6:$A$455,0))</f>
        <v>42.7303236699208</v>
      </c>
      <c r="V143" s="75">
        <f>INDEX('Locations'!$E$6:$E$455,MATCH(C143,'Locations'!$A$6:$A$455,0))</f>
        <v>-73.6814738556362</v>
      </c>
      <c r="W143" s="44"/>
    </row>
    <row r="144" ht="23.1" customHeight="1">
      <c r="A144" t="s" s="21">
        <v>754</v>
      </c>
      <c r="B144" t="s" s="45">
        <v>311</v>
      </c>
      <c r="C144" t="s" s="45">
        <v>307</v>
      </c>
      <c r="D144" t="s" s="45">
        <v>614</v>
      </c>
      <c r="E144" s="71">
        <f>2*6371000*ASIN(SQRT(MIN(1,SIN(RADIANS(U144-S144)/2)^2+COS(RADIANS(S144))*COS(RADIANS(U144))*SIN(RADIANS(V144-T144)/2)^2)))</f>
        <v>28.9706517420497</v>
      </c>
      <c r="F144" t="s" s="48">
        <v>70</v>
      </c>
      <c r="G144" t="s" s="48">
        <v>69</v>
      </c>
      <c r="H144" t="s" s="48">
        <v>69</v>
      </c>
      <c r="I144" t="s" s="48">
        <v>69</v>
      </c>
      <c r="J144" t="s" s="48">
        <v>69</v>
      </c>
      <c r="K144" s="72"/>
      <c r="L144" s="72"/>
      <c r="M144" s="50"/>
      <c r="N144" s="49"/>
      <c r="O144" s="50"/>
      <c r="P144" s="50"/>
      <c r="Q144" s="30">
        <v>140</v>
      </c>
      <c r="R144" s="61"/>
      <c r="S144" s="46">
        <f>INDEX('Locations'!$D$6:$D$455,MATCH(B144,'Locations'!$A$6:$A$455,0))</f>
        <v>42.7306432345696</v>
      </c>
      <c r="T144" s="46">
        <f>INDEX('Locations'!$E$6:$E$455,MATCH(B144,'Locations'!$A$6:$A$455,0))</f>
        <v>-73.6817683084322</v>
      </c>
      <c r="U144" s="46">
        <f>INDEX('Locations'!$D$6:$D$455,MATCH(C144,'Locations'!$A$6:$A$455,0))</f>
        <v>42.730425976589</v>
      </c>
      <c r="V144" s="73">
        <f>INDEX('Locations'!$E$6:$E$455,MATCH(C144,'Locations'!$A$6:$A$455,0))</f>
        <v>-73.68157253711379</v>
      </c>
      <c r="W144" s="44"/>
    </row>
    <row r="145" ht="23.1" customHeight="1">
      <c r="A145" t="s" s="24">
        <v>755</v>
      </c>
      <c r="B145" t="s" s="53">
        <v>311</v>
      </c>
      <c r="C145" t="s" s="53">
        <v>306</v>
      </c>
      <c r="D145" t="s" s="53">
        <v>614</v>
      </c>
      <c r="E145" s="74">
        <f>2*6371000*ASIN(SQRT(MIN(1,SIN(RADIANS(U145-S145)/2)^2+COS(RADIANS(S145))*COS(RADIANS(U145))*SIN(RADIANS(V145-T145)/2)^2)))</f>
        <v>30.2284906450809</v>
      </c>
      <c r="F145" t="s" s="48">
        <v>70</v>
      </c>
      <c r="G145" t="s" s="48">
        <v>69</v>
      </c>
      <c r="H145" t="s" s="48">
        <v>69</v>
      </c>
      <c r="I145" t="s" s="48">
        <v>69</v>
      </c>
      <c r="J145" t="s" s="48">
        <v>69</v>
      </c>
      <c r="K145" s="72"/>
      <c r="L145" s="72"/>
      <c r="M145" s="50"/>
      <c r="N145" s="49"/>
      <c r="O145" s="50"/>
      <c r="P145" s="50"/>
      <c r="Q145" s="32">
        <v>141</v>
      </c>
      <c r="R145" s="64"/>
      <c r="S145" s="54">
        <f>INDEX('Locations'!$D$6:$D$455,MATCH(B145,'Locations'!$A$6:$A$455,0))</f>
        <v>42.7306432345696</v>
      </c>
      <c r="T145" s="54">
        <f>INDEX('Locations'!$E$6:$E$455,MATCH(B145,'Locations'!$A$6:$A$455,0))</f>
        <v>-73.6817683084322</v>
      </c>
      <c r="U145" s="54">
        <f>INDEX('Locations'!$D$6:$D$455,MATCH(C145,'Locations'!$A$6:$A$455,0))</f>
        <v>42.7303719494721</v>
      </c>
      <c r="V145" s="75">
        <f>INDEX('Locations'!$E$6:$E$455,MATCH(C145,'Locations'!$A$6:$A$455,0))</f>
        <v>-73.68174443388121</v>
      </c>
      <c r="W145" s="44"/>
    </row>
    <row r="146" ht="23.1" customHeight="1">
      <c r="A146" t="s" s="21">
        <v>756</v>
      </c>
      <c r="B146" t="s" s="45">
        <v>304</v>
      </c>
      <c r="C146" t="s" s="45">
        <v>306</v>
      </c>
      <c r="D146" t="s" s="45">
        <v>614</v>
      </c>
      <c r="E146" s="71">
        <f>2*6371000*ASIN(SQRT(MIN(1,SIN(RADIANS(U146-S146)/2)^2+COS(RADIANS(S146))*COS(RADIANS(U146))*SIN(RADIANS(V146-T146)/2)^2)))</f>
        <v>21.7574996207579</v>
      </c>
      <c r="F146" t="s" s="48">
        <v>70</v>
      </c>
      <c r="G146" t="s" s="48">
        <v>69</v>
      </c>
      <c r="H146" t="s" s="48">
        <v>69</v>
      </c>
      <c r="I146" t="s" s="48">
        <v>69</v>
      </c>
      <c r="J146" t="s" s="48">
        <v>69</v>
      </c>
      <c r="K146" s="72"/>
      <c r="L146" s="72"/>
      <c r="M146" s="50"/>
      <c r="N146" s="49"/>
      <c r="O146" s="50"/>
      <c r="P146" s="50"/>
      <c r="Q146" s="30">
        <v>142</v>
      </c>
      <c r="R146" s="61"/>
      <c r="S146" s="46">
        <f>INDEX('Locations'!$D$6:$D$455,MATCH(B146,'Locations'!$A$6:$A$455,0))</f>
        <v>42.7301776817539</v>
      </c>
      <c r="T146" s="46">
        <f>INDEX('Locations'!$E$6:$E$455,MATCH(B146,'Locations'!$A$6:$A$455,0))</f>
        <v>-73.6817126011465</v>
      </c>
      <c r="U146" s="46">
        <f>INDEX('Locations'!$D$6:$D$455,MATCH(C146,'Locations'!$A$6:$A$455,0))</f>
        <v>42.7303719494721</v>
      </c>
      <c r="V146" s="73">
        <f>INDEX('Locations'!$E$6:$E$455,MATCH(C146,'Locations'!$A$6:$A$455,0))</f>
        <v>-73.68174443388121</v>
      </c>
      <c r="W146" s="44"/>
    </row>
    <row r="147" ht="23.1" customHeight="1">
      <c r="A147" t="s" s="24">
        <v>757</v>
      </c>
      <c r="B147" t="s" s="53">
        <v>297</v>
      </c>
      <c r="C147" t="s" s="53">
        <v>311</v>
      </c>
      <c r="D147" t="s" s="53">
        <v>614</v>
      </c>
      <c r="E147" s="74">
        <f>2*6371000*ASIN(SQRT(MIN(1,SIN(RADIANS(U147-S147)/2)^2+COS(RADIANS(S147))*COS(RADIANS(U147))*SIN(RADIANS(V147-T147)/2)^2)))</f>
        <v>49.2805241511791</v>
      </c>
      <c r="F147" t="s" s="48">
        <v>70</v>
      </c>
      <c r="G147" t="s" s="48">
        <v>69</v>
      </c>
      <c r="H147" t="s" s="48">
        <v>69</v>
      </c>
      <c r="I147" t="s" s="48">
        <v>69</v>
      </c>
      <c r="J147" t="s" s="48">
        <v>69</v>
      </c>
      <c r="K147" s="72"/>
      <c r="L147" s="72"/>
      <c r="M147" s="50"/>
      <c r="N147" s="49"/>
      <c r="O147" s="50"/>
      <c r="P147" s="50"/>
      <c r="Q147" s="32">
        <v>143</v>
      </c>
      <c r="R147" s="64"/>
      <c r="S147" s="54">
        <f>INDEX('Locations'!$D$6:$D$455,MATCH(B147,'Locations'!$A$6:$A$455,0))</f>
        <v>42.730609898689</v>
      </c>
      <c r="T147" s="54">
        <f>INDEX('Locations'!$E$6:$E$455,MATCH(B147,'Locations'!$A$6:$A$455,0))</f>
        <v>-73.6811666697463</v>
      </c>
      <c r="U147" s="54">
        <f>INDEX('Locations'!$D$6:$D$455,MATCH(C147,'Locations'!$A$6:$A$455,0))</f>
        <v>42.7306432345696</v>
      </c>
      <c r="V147" s="75">
        <f>INDEX('Locations'!$E$6:$E$455,MATCH(C147,'Locations'!$A$6:$A$455,0))</f>
        <v>-73.6817683084322</v>
      </c>
      <c r="W147" s="44"/>
    </row>
    <row r="148" ht="23.1" customHeight="1">
      <c r="A148" t="s" s="21">
        <v>758</v>
      </c>
      <c r="B148" t="s" s="45">
        <v>312</v>
      </c>
      <c r="C148" t="s" s="45">
        <v>311</v>
      </c>
      <c r="D148" t="s" s="45">
        <v>614</v>
      </c>
      <c r="E148" s="71">
        <f>2*6371000*ASIN(SQRT(MIN(1,SIN(RADIANS(U148-S148)/2)^2+COS(RADIANS(S148))*COS(RADIANS(U148))*SIN(RADIANS(V148-T148)/2)^2)))</f>
        <v>37.7919791367646</v>
      </c>
      <c r="F148" t="s" s="48">
        <v>70</v>
      </c>
      <c r="G148" t="s" s="48">
        <v>69</v>
      </c>
      <c r="H148" t="s" s="48">
        <v>69</v>
      </c>
      <c r="I148" t="s" s="48">
        <v>69</v>
      </c>
      <c r="J148" t="s" s="48">
        <v>69</v>
      </c>
      <c r="K148" s="72"/>
      <c r="L148" s="72"/>
      <c r="M148" s="50"/>
      <c r="N148" s="49"/>
      <c r="O148" s="50"/>
      <c r="P148" s="50"/>
      <c r="Q148" s="30">
        <v>144</v>
      </c>
      <c r="R148" s="61"/>
      <c r="S148" s="46">
        <f>INDEX('Locations'!$D$6:$D$455,MATCH(B148,'Locations'!$A$6:$A$455,0))</f>
        <v>42.7304144814577</v>
      </c>
      <c r="T148" s="46">
        <f>INDEX('Locations'!$E$6:$E$455,MATCH(B148,'Locations'!$A$6:$A$455,0))</f>
        <v>-73.6821105103303</v>
      </c>
      <c r="U148" s="46">
        <f>INDEX('Locations'!$D$6:$D$455,MATCH(C148,'Locations'!$A$6:$A$455,0))</f>
        <v>42.7306432345696</v>
      </c>
      <c r="V148" s="73">
        <f>INDEX('Locations'!$E$6:$E$455,MATCH(C148,'Locations'!$A$6:$A$455,0))</f>
        <v>-73.6817683084322</v>
      </c>
      <c r="W148" s="44"/>
    </row>
    <row r="149" ht="23.1" customHeight="1">
      <c r="A149" t="s" s="24">
        <v>759</v>
      </c>
      <c r="B149" t="s" s="53">
        <v>313</v>
      </c>
      <c r="C149" t="s" s="53">
        <v>311</v>
      </c>
      <c r="D149" t="s" s="53">
        <v>614</v>
      </c>
      <c r="E149" s="74">
        <f>2*6371000*ASIN(SQRT(MIN(1,SIN(RADIANS(U149-S149)/2)^2+COS(RADIANS(S149))*COS(RADIANS(U149))*SIN(RADIANS(V149-T149)/2)^2)))</f>
        <v>34.8856197241418</v>
      </c>
      <c r="F149" t="s" s="48">
        <v>70</v>
      </c>
      <c r="G149" t="s" s="48">
        <v>69</v>
      </c>
      <c r="H149" t="s" s="48">
        <v>69</v>
      </c>
      <c r="I149" t="s" s="48">
        <v>69</v>
      </c>
      <c r="J149" t="s" s="48">
        <v>69</v>
      </c>
      <c r="K149" s="72"/>
      <c r="L149" s="72"/>
      <c r="M149" s="50"/>
      <c r="N149" s="49"/>
      <c r="O149" s="50"/>
      <c r="P149" s="50"/>
      <c r="Q149" s="32">
        <v>145</v>
      </c>
      <c r="R149" s="64"/>
      <c r="S149" s="54">
        <f>INDEX('Locations'!$D$6:$D$455,MATCH(B149,'Locations'!$A$6:$A$455,0))</f>
        <v>42.730545525954</v>
      </c>
      <c r="T149" s="54">
        <f>INDEX('Locations'!$E$6:$E$455,MATCH(B149,'Locations'!$A$6:$A$455,0))</f>
        <v>-73.6821741757997</v>
      </c>
      <c r="U149" s="54">
        <f>INDEX('Locations'!$D$6:$D$455,MATCH(C149,'Locations'!$A$6:$A$455,0))</f>
        <v>42.7306432345696</v>
      </c>
      <c r="V149" s="75">
        <f>INDEX('Locations'!$E$6:$E$455,MATCH(C149,'Locations'!$A$6:$A$455,0))</f>
        <v>-73.6817683084322</v>
      </c>
      <c r="W149" s="44"/>
    </row>
    <row r="150" ht="23.1" customHeight="1">
      <c r="A150" t="s" s="21">
        <v>760</v>
      </c>
      <c r="B150" t="s" s="45">
        <v>312</v>
      </c>
      <c r="C150" t="s" s="45">
        <v>313</v>
      </c>
      <c r="D150" t="s" s="45">
        <v>614</v>
      </c>
      <c r="E150" s="71">
        <f>2*6371000*ASIN(SQRT(MIN(1,SIN(RADIANS(U150-S150)/2)^2+COS(RADIANS(S150))*COS(RADIANS(U150))*SIN(RADIANS(V150-T150)/2)^2)))</f>
        <v>15.4715629312646</v>
      </c>
      <c r="F150" t="s" s="48">
        <v>70</v>
      </c>
      <c r="G150" t="s" s="48">
        <v>69</v>
      </c>
      <c r="H150" t="s" s="48">
        <v>69</v>
      </c>
      <c r="I150" t="s" s="48">
        <v>69</v>
      </c>
      <c r="J150" t="s" s="48">
        <v>69</v>
      </c>
      <c r="K150" s="72"/>
      <c r="L150" s="72"/>
      <c r="M150" s="50"/>
      <c r="N150" s="49"/>
      <c r="O150" s="50"/>
      <c r="P150" s="50"/>
      <c r="Q150" s="30">
        <v>146</v>
      </c>
      <c r="R150" s="61"/>
      <c r="S150" s="46">
        <f>INDEX('Locations'!$D$6:$D$455,MATCH(B150,'Locations'!$A$6:$A$455,0))</f>
        <v>42.7304144814577</v>
      </c>
      <c r="T150" s="46">
        <f>INDEX('Locations'!$E$6:$E$455,MATCH(B150,'Locations'!$A$6:$A$455,0))</f>
        <v>-73.6821105103303</v>
      </c>
      <c r="U150" s="46">
        <f>INDEX('Locations'!$D$6:$D$455,MATCH(C150,'Locations'!$A$6:$A$455,0))</f>
        <v>42.730545525954</v>
      </c>
      <c r="V150" s="73">
        <f>INDEX('Locations'!$E$6:$E$455,MATCH(C150,'Locations'!$A$6:$A$455,0))</f>
        <v>-73.6821741757997</v>
      </c>
      <c r="W150" s="44"/>
    </row>
    <row r="151" ht="23.1" customHeight="1">
      <c r="A151" t="s" s="24">
        <v>761</v>
      </c>
      <c r="B151" t="s" s="53">
        <v>314</v>
      </c>
      <c r="C151" t="s" s="53">
        <v>313</v>
      </c>
      <c r="D151" t="s" s="53">
        <v>614</v>
      </c>
      <c r="E151" s="74">
        <f>2*6371000*ASIN(SQRT(MIN(1,SIN(RADIANS(U151-S151)/2)^2+COS(RADIANS(S151))*COS(RADIANS(U151))*SIN(RADIANS(V151-T151)/2)^2)))</f>
        <v>42.0835540099405</v>
      </c>
      <c r="F151" t="s" s="48">
        <v>70</v>
      </c>
      <c r="G151" t="s" s="48">
        <v>69</v>
      </c>
      <c r="H151" t="s" s="48">
        <v>69</v>
      </c>
      <c r="I151" t="s" s="48">
        <v>69</v>
      </c>
      <c r="J151" t="s" s="48">
        <v>69</v>
      </c>
      <c r="K151" s="72"/>
      <c r="L151" s="72"/>
      <c r="M151" s="50"/>
      <c r="N151" s="49"/>
      <c r="O151" s="50"/>
      <c r="P151" s="50"/>
      <c r="Q151" s="32">
        <v>147</v>
      </c>
      <c r="R151" s="64"/>
      <c r="S151" s="54">
        <f>INDEX('Locations'!$D$6:$D$455,MATCH(B151,'Locations'!$A$6:$A$455,0))</f>
        <v>42.7304489668515</v>
      </c>
      <c r="T151" s="54">
        <f>INDEX('Locations'!$E$6:$E$455,MATCH(B151,'Locations'!$A$6:$A$455,0))</f>
        <v>-73.6826723580979</v>
      </c>
      <c r="U151" s="54">
        <f>INDEX('Locations'!$D$6:$D$455,MATCH(C151,'Locations'!$A$6:$A$455,0))</f>
        <v>42.730545525954</v>
      </c>
      <c r="V151" s="75">
        <f>INDEX('Locations'!$E$6:$E$455,MATCH(C151,'Locations'!$A$6:$A$455,0))</f>
        <v>-73.6821741757997</v>
      </c>
      <c r="W151" s="44"/>
    </row>
    <row r="152" ht="23.1" customHeight="1">
      <c r="A152" t="s" s="21">
        <v>762</v>
      </c>
      <c r="B152" t="s" s="45">
        <v>315</v>
      </c>
      <c r="C152" t="s" s="45">
        <v>312</v>
      </c>
      <c r="D152" t="s" s="45">
        <v>614</v>
      </c>
      <c r="E152" s="71">
        <f>2*6371000*ASIN(SQRT(MIN(1,SIN(RADIANS(U152-S152)/2)^2+COS(RADIANS(S152))*COS(RADIANS(U152))*SIN(RADIANS(V152-T152)/2)^2)))</f>
        <v>24.639679038869</v>
      </c>
      <c r="F152" t="s" s="48">
        <v>70</v>
      </c>
      <c r="G152" t="s" s="48">
        <v>69</v>
      </c>
      <c r="H152" t="s" s="48">
        <v>69</v>
      </c>
      <c r="I152" t="s" s="48">
        <v>69</v>
      </c>
      <c r="J152" t="s" s="48">
        <v>69</v>
      </c>
      <c r="K152" s="72"/>
      <c r="L152" s="72"/>
      <c r="M152" s="50"/>
      <c r="N152" s="49"/>
      <c r="O152" s="50"/>
      <c r="P152" s="50"/>
      <c r="Q152" s="30">
        <v>148</v>
      </c>
      <c r="R152" s="61"/>
      <c r="S152" s="46">
        <f>INDEX('Locations'!$D$6:$D$455,MATCH(B152,'Locations'!$A$6:$A$455,0))</f>
        <v>42.7302374564364</v>
      </c>
      <c r="T152" s="46">
        <f>INDEX('Locations'!$E$6:$E$455,MATCH(B152,'Locations'!$A$6:$A$455,0))</f>
        <v>-73.68229195691811</v>
      </c>
      <c r="U152" s="46">
        <f>INDEX('Locations'!$D$6:$D$455,MATCH(C152,'Locations'!$A$6:$A$455,0))</f>
        <v>42.7304144814577</v>
      </c>
      <c r="V152" s="73">
        <f>INDEX('Locations'!$E$6:$E$455,MATCH(C152,'Locations'!$A$6:$A$455,0))</f>
        <v>-73.6821105103303</v>
      </c>
      <c r="W152" s="44"/>
    </row>
    <row r="153" ht="23.1" customHeight="1">
      <c r="A153" t="s" s="24">
        <v>763</v>
      </c>
      <c r="B153" t="s" s="53">
        <v>314</v>
      </c>
      <c r="C153" t="s" s="53">
        <v>315</v>
      </c>
      <c r="D153" t="s" s="53">
        <v>614</v>
      </c>
      <c r="E153" s="74">
        <f>2*6371000*ASIN(SQRT(MIN(1,SIN(RADIANS(U153-S153)/2)^2+COS(RADIANS(S153))*COS(RADIANS(U153))*SIN(RADIANS(V153-T153)/2)^2)))</f>
        <v>38.9682916113305</v>
      </c>
      <c r="F153" t="s" s="48">
        <v>70</v>
      </c>
      <c r="G153" t="s" s="48">
        <v>69</v>
      </c>
      <c r="H153" t="s" s="48">
        <v>69</v>
      </c>
      <c r="I153" t="s" s="48">
        <v>69</v>
      </c>
      <c r="J153" t="s" s="48">
        <v>69</v>
      </c>
      <c r="K153" s="72"/>
      <c r="L153" s="72"/>
      <c r="M153" s="50"/>
      <c r="N153" s="49"/>
      <c r="O153" s="50"/>
      <c r="P153" s="50"/>
      <c r="Q153" s="32">
        <v>149</v>
      </c>
      <c r="R153" s="64"/>
      <c r="S153" s="54">
        <f>INDEX('Locations'!$D$6:$D$455,MATCH(B153,'Locations'!$A$6:$A$455,0))</f>
        <v>42.7304489668515</v>
      </c>
      <c r="T153" s="54">
        <f>INDEX('Locations'!$E$6:$E$455,MATCH(B153,'Locations'!$A$6:$A$455,0))</f>
        <v>-73.6826723580979</v>
      </c>
      <c r="U153" s="54">
        <f>INDEX('Locations'!$D$6:$D$455,MATCH(C153,'Locations'!$A$6:$A$455,0))</f>
        <v>42.7302374564364</v>
      </c>
      <c r="V153" s="75">
        <f>INDEX('Locations'!$E$6:$E$455,MATCH(C153,'Locations'!$A$6:$A$455,0))</f>
        <v>-73.68229195691811</v>
      </c>
      <c r="W153" s="44"/>
    </row>
    <row r="154" ht="23.1" customHeight="1">
      <c r="A154" t="s" s="21">
        <v>764</v>
      </c>
      <c r="B154" t="s" s="45">
        <v>304</v>
      </c>
      <c r="C154" t="s" s="45">
        <v>312</v>
      </c>
      <c r="D154" t="s" s="45">
        <v>614</v>
      </c>
      <c r="E154" s="71">
        <f>2*6371000*ASIN(SQRT(MIN(1,SIN(RADIANS(U154-S154)/2)^2+COS(RADIANS(S154))*COS(RADIANS(U154))*SIN(RADIANS(V154-T154)/2)^2)))</f>
        <v>41.8284397931166</v>
      </c>
      <c r="F154" t="s" s="48">
        <v>70</v>
      </c>
      <c r="G154" t="s" s="48">
        <v>69</v>
      </c>
      <c r="H154" t="s" s="48">
        <v>69</v>
      </c>
      <c r="I154" t="s" s="48">
        <v>69</v>
      </c>
      <c r="J154" t="s" s="48">
        <v>69</v>
      </c>
      <c r="K154" s="72"/>
      <c r="L154" s="72"/>
      <c r="M154" s="50"/>
      <c r="N154" s="49"/>
      <c r="O154" s="50"/>
      <c r="P154" s="50"/>
      <c r="Q154" s="30">
        <v>150</v>
      </c>
      <c r="R154" s="61"/>
      <c r="S154" s="46">
        <f>INDEX('Locations'!$D$6:$D$455,MATCH(B154,'Locations'!$A$6:$A$455,0))</f>
        <v>42.7301776817539</v>
      </c>
      <c r="T154" s="46">
        <f>INDEX('Locations'!$E$6:$E$455,MATCH(B154,'Locations'!$A$6:$A$455,0))</f>
        <v>-73.6817126011465</v>
      </c>
      <c r="U154" s="46">
        <f>INDEX('Locations'!$D$6:$D$455,MATCH(C154,'Locations'!$A$6:$A$455,0))</f>
        <v>42.7304144814577</v>
      </c>
      <c r="V154" s="73">
        <f>INDEX('Locations'!$E$6:$E$455,MATCH(C154,'Locations'!$A$6:$A$455,0))</f>
        <v>-73.6821105103303</v>
      </c>
      <c r="W154" s="44"/>
    </row>
    <row r="155" ht="23.1" customHeight="1">
      <c r="A155" t="s" s="24">
        <v>765</v>
      </c>
      <c r="B155" t="s" s="53">
        <v>309</v>
      </c>
      <c r="C155" t="s" s="53">
        <v>127</v>
      </c>
      <c r="D155" t="s" s="53">
        <v>614</v>
      </c>
      <c r="E155" s="74">
        <f>2*6371000*ASIN(SQRT(MIN(1,SIN(RADIANS(U155-S155)/2)^2+COS(RADIANS(S155))*COS(RADIANS(U155))*SIN(RADIANS(V155-T155)/2)^2)))</f>
        <v>15.1459971384063</v>
      </c>
      <c r="F155" t="s" s="48">
        <v>70</v>
      </c>
      <c r="G155" t="s" s="48">
        <v>69</v>
      </c>
      <c r="H155" t="s" s="48">
        <v>69</v>
      </c>
      <c r="I155" t="s" s="48">
        <v>69</v>
      </c>
      <c r="J155" t="s" s="48">
        <v>69</v>
      </c>
      <c r="K155" s="72"/>
      <c r="L155" s="72"/>
      <c r="M155" s="50"/>
      <c r="N155" s="49"/>
      <c r="O155" s="50"/>
      <c r="P155" s="50"/>
      <c r="Q155" s="32">
        <v>151</v>
      </c>
      <c r="R155" s="64"/>
      <c r="S155" s="54">
        <f>INDEX('Locations'!$D$6:$D$455,MATCH(B155,'Locations'!$A$6:$A$455,0))</f>
        <v>42.7301466448995</v>
      </c>
      <c r="T155" s="54">
        <f>INDEX('Locations'!$E$6:$E$455,MATCH(B155,'Locations'!$A$6:$A$455,0))</f>
        <v>-73.6812303352157</v>
      </c>
      <c r="U155" s="54">
        <f>INDEX('Locations'!$D$6:$D$455,MATCH(C155,'Locations'!$A$6:$A$455,0))</f>
        <v>42.7300180143745</v>
      </c>
      <c r="V155" s="75">
        <f>INDEX('Locations'!$E$6:$E$455,MATCH(C155,'Locations'!$A$6:$A$455,0))</f>
        <v>-73.6811693363836</v>
      </c>
      <c r="W155" s="44"/>
    </row>
    <row r="156" ht="23.1" customHeight="1">
      <c r="A156" t="s" s="21">
        <v>766</v>
      </c>
      <c r="B156" t="s" s="45">
        <v>287</v>
      </c>
      <c r="C156" t="s" s="45">
        <v>316</v>
      </c>
      <c r="D156" t="s" s="45">
        <v>614</v>
      </c>
      <c r="E156" s="71">
        <f>2*6371000*ASIN(SQRT(MIN(1,SIN(RADIANS(U156-S156)/2)^2+COS(RADIANS(S156))*COS(RADIANS(U156))*SIN(RADIANS(V156-T156)/2)^2)))</f>
        <v>34.952174003154</v>
      </c>
      <c r="F156" t="s" s="48">
        <v>70</v>
      </c>
      <c r="G156" t="s" s="48">
        <v>69</v>
      </c>
      <c r="H156" t="s" s="48">
        <v>69</v>
      </c>
      <c r="I156" t="s" s="48">
        <v>69</v>
      </c>
      <c r="J156" t="s" s="48">
        <v>69</v>
      </c>
      <c r="K156" s="72"/>
      <c r="L156" s="72"/>
      <c r="M156" s="50"/>
      <c r="N156" s="49"/>
      <c r="O156" s="50"/>
      <c r="P156" s="50"/>
      <c r="Q156" s="30">
        <v>152</v>
      </c>
      <c r="R156" s="61"/>
      <c r="S156" s="46">
        <f>INDEX('Locations'!$D$6:$D$455,MATCH(B156,'Locations'!$A$6:$A$455,0))</f>
        <v>42.7307524383165</v>
      </c>
      <c r="T156" s="46">
        <f>INDEX('Locations'!$E$6:$E$455,MATCH(B156,'Locations'!$A$6:$A$455,0))</f>
        <v>-73.6803278771868</v>
      </c>
      <c r="U156" s="46">
        <f>INDEX('Locations'!$D$6:$D$455,MATCH(C156,'Locations'!$A$6:$A$455,0))</f>
        <v>42.730628290899</v>
      </c>
      <c r="V156" s="73">
        <f>INDEX('Locations'!$E$6:$E$455,MATCH(C156,'Locations'!$A$6:$A$455,0))</f>
        <v>-73.68072101146041</v>
      </c>
      <c r="W156" s="44"/>
    </row>
    <row r="157" ht="23.1" customHeight="1">
      <c r="A157" t="s" s="24">
        <v>767</v>
      </c>
      <c r="B157" t="s" s="53">
        <v>288</v>
      </c>
      <c r="C157" t="s" s="53">
        <v>316</v>
      </c>
      <c r="D157" t="s" s="53">
        <v>614</v>
      </c>
      <c r="E157" s="74">
        <f>2*6371000*ASIN(SQRT(MIN(1,SIN(RADIANS(U157-S157)/2)^2+COS(RADIANS(S157))*COS(RADIANS(U157))*SIN(RADIANS(V157-T157)/2)^2)))</f>
        <v>26.3650264824942</v>
      </c>
      <c r="F157" t="s" s="48">
        <v>70</v>
      </c>
      <c r="G157" t="s" s="48">
        <v>69</v>
      </c>
      <c r="H157" t="s" s="48">
        <v>69</v>
      </c>
      <c r="I157" t="s" s="48">
        <v>69</v>
      </c>
      <c r="J157" t="s" s="48">
        <v>69</v>
      </c>
      <c r="K157" s="72"/>
      <c r="L157" s="72"/>
      <c r="M157" s="50"/>
      <c r="N157" s="49"/>
      <c r="O157" s="50"/>
      <c r="P157" s="50"/>
      <c r="Q157" s="32">
        <v>153</v>
      </c>
      <c r="R157" s="64"/>
      <c r="S157" s="54">
        <f>INDEX('Locations'!$D$6:$D$455,MATCH(B157,'Locations'!$A$6:$A$455,0))</f>
        <v>42.7308168110516</v>
      </c>
      <c r="T157" s="54">
        <f>INDEX('Locations'!$E$6:$E$455,MATCH(B157,'Locations'!$A$6:$A$455,0))</f>
        <v>-73.68091678277889</v>
      </c>
      <c r="U157" s="54">
        <f>INDEX('Locations'!$D$6:$D$455,MATCH(C157,'Locations'!$A$6:$A$455,0))</f>
        <v>42.730628290899</v>
      </c>
      <c r="V157" s="75">
        <f>INDEX('Locations'!$E$6:$E$455,MATCH(C157,'Locations'!$A$6:$A$455,0))</f>
        <v>-73.68072101146041</v>
      </c>
      <c r="W157" s="44"/>
    </row>
    <row r="158" ht="23.1" customHeight="1">
      <c r="A158" t="s" s="21">
        <v>768</v>
      </c>
      <c r="B158" t="s" s="45">
        <v>286</v>
      </c>
      <c r="C158" t="s" s="45">
        <v>316</v>
      </c>
      <c r="D158" t="s" s="45">
        <v>614</v>
      </c>
      <c r="E158" s="71">
        <f>2*6371000*ASIN(SQRT(MIN(1,SIN(RADIANS(U158-S158)/2)^2+COS(RADIANS(S158))*COS(RADIANS(U158))*SIN(RADIANS(V158-T158)/2)^2)))</f>
        <v>31.6694349007918</v>
      </c>
      <c r="F158" t="s" s="48">
        <v>70</v>
      </c>
      <c r="G158" t="s" s="48">
        <v>69</v>
      </c>
      <c r="H158" t="s" s="48">
        <v>69</v>
      </c>
      <c r="I158" t="s" s="48">
        <v>69</v>
      </c>
      <c r="J158" t="s" s="48">
        <v>69</v>
      </c>
      <c r="K158" s="72"/>
      <c r="L158" s="72"/>
      <c r="M158" s="50"/>
      <c r="N158" s="49"/>
      <c r="O158" s="50"/>
      <c r="P158" s="50"/>
      <c r="Q158" s="30">
        <v>154</v>
      </c>
      <c r="R158" s="61"/>
      <c r="S158" s="46">
        <f>INDEX('Locations'!$D$6:$D$455,MATCH(B158,'Locations'!$A$6:$A$455,0))</f>
        <v>42.7303650523933</v>
      </c>
      <c r="T158" s="46">
        <f>INDEX('Locations'!$E$6:$E$455,MATCH(B158,'Locations'!$A$6:$A$455,0))</f>
        <v>-73.6808690336768</v>
      </c>
      <c r="U158" s="46">
        <f>INDEX('Locations'!$D$6:$D$455,MATCH(C158,'Locations'!$A$6:$A$455,0))</f>
        <v>42.730628290899</v>
      </c>
      <c r="V158" s="73">
        <f>INDEX('Locations'!$E$6:$E$455,MATCH(C158,'Locations'!$A$6:$A$455,0))</f>
        <v>-73.68072101146041</v>
      </c>
      <c r="W158" s="44"/>
    </row>
    <row r="159" ht="23.1" customHeight="1">
      <c r="A159" t="s" s="24">
        <v>769</v>
      </c>
      <c r="B159" t="s" s="53">
        <v>293</v>
      </c>
      <c r="C159" t="s" s="53">
        <v>318</v>
      </c>
      <c r="D159" t="s" s="53">
        <v>614</v>
      </c>
      <c r="E159" s="74">
        <f>2*6371000*ASIN(SQRT(MIN(1,SIN(RADIANS(U159-S159)/2)^2+COS(RADIANS(S159))*COS(RADIANS(U159))*SIN(RADIANS(V159-T159)/2)^2)))</f>
        <v>32.1823375912675</v>
      </c>
      <c r="F159" t="s" s="48">
        <v>70</v>
      </c>
      <c r="G159" t="s" s="48">
        <v>69</v>
      </c>
      <c r="H159" t="s" s="48">
        <v>69</v>
      </c>
      <c r="I159" t="s" s="48">
        <v>69</v>
      </c>
      <c r="J159" t="s" s="48">
        <v>69</v>
      </c>
      <c r="K159" s="72"/>
      <c r="L159" s="72"/>
      <c r="M159" s="50"/>
      <c r="N159" s="49"/>
      <c r="O159" s="50"/>
      <c r="P159" s="50"/>
      <c r="Q159" s="32">
        <v>155</v>
      </c>
      <c r="R159" s="64"/>
      <c r="S159" s="54">
        <f>INDEX('Locations'!$D$6:$D$455,MATCH(B159,'Locations'!$A$6:$A$455,0))</f>
        <v>42.7297902958307</v>
      </c>
      <c r="T159" s="54">
        <f>INDEX('Locations'!$E$6:$E$455,MATCH(B159,'Locations'!$A$6:$A$455,0))</f>
        <v>-73.68095975697069</v>
      </c>
      <c r="U159" s="54">
        <f>INDEX('Locations'!$D$6:$D$455,MATCH(C159,'Locations'!$A$6:$A$455,0))</f>
        <v>42.7295063660887</v>
      </c>
      <c r="V159" s="75">
        <f>INDEX('Locations'!$E$6:$E$455,MATCH(C159,'Locations'!$A$6:$A$455,0))</f>
        <v>-73.681036155534</v>
      </c>
      <c r="W159" s="44"/>
    </row>
    <row r="160" ht="23.1" customHeight="1">
      <c r="A160" t="s" s="21">
        <v>770</v>
      </c>
      <c r="B160" t="s" s="45">
        <v>317</v>
      </c>
      <c r="C160" t="s" s="45">
        <v>318</v>
      </c>
      <c r="D160" t="s" s="45">
        <v>614</v>
      </c>
      <c r="E160" s="71">
        <f>2*6371000*ASIN(SQRT(MIN(1,SIN(RADIANS(U160-S160)/2)^2+COS(RADIANS(S160))*COS(RADIANS(U160))*SIN(RADIANS(V160-T160)/2)^2)))</f>
        <v>32.4548367828181</v>
      </c>
      <c r="F160" t="s" s="48">
        <v>70</v>
      </c>
      <c r="G160" t="s" s="48">
        <v>69</v>
      </c>
      <c r="H160" t="s" s="48">
        <v>69</v>
      </c>
      <c r="I160" t="s" s="48">
        <v>69</v>
      </c>
      <c r="J160" t="s" s="48">
        <v>69</v>
      </c>
      <c r="K160" s="72"/>
      <c r="L160" s="72"/>
      <c r="M160" s="50"/>
      <c r="N160" s="49"/>
      <c r="O160" s="50"/>
      <c r="P160" s="50"/>
      <c r="Q160" s="30">
        <v>156</v>
      </c>
      <c r="R160" s="61"/>
      <c r="S160" s="46">
        <f>INDEX('Locations'!$D$6:$D$455,MATCH(B160,'Locations'!$A$6:$A$455,0))</f>
        <v>42.7293799196449</v>
      </c>
      <c r="T160" s="46">
        <f>INDEX('Locations'!$E$6:$E$455,MATCH(B160,'Locations'!$A$6:$A$455,0))</f>
        <v>-73.6813942737994</v>
      </c>
      <c r="U160" s="46">
        <f>INDEX('Locations'!$D$6:$D$455,MATCH(C160,'Locations'!$A$6:$A$455,0))</f>
        <v>42.7295063660887</v>
      </c>
      <c r="V160" s="73">
        <f>INDEX('Locations'!$E$6:$E$455,MATCH(C160,'Locations'!$A$6:$A$455,0))</f>
        <v>-73.681036155534</v>
      </c>
      <c r="W160" s="44"/>
    </row>
    <row r="161" ht="23.1" customHeight="1">
      <c r="A161" t="s" s="24">
        <v>771</v>
      </c>
      <c r="B161" t="s" s="53">
        <v>143</v>
      </c>
      <c r="C161" t="s" s="53">
        <v>318</v>
      </c>
      <c r="D161" t="s" s="53">
        <v>614</v>
      </c>
      <c r="E161" s="74">
        <f>2*6371000*ASIN(SQRT(MIN(1,SIN(RADIANS(U161-S161)/2)^2+COS(RADIANS(S161))*COS(RADIANS(U161))*SIN(RADIANS(V161-T161)/2)^2)))</f>
        <v>70.1264095409035</v>
      </c>
      <c r="F161" t="s" s="48">
        <v>70</v>
      </c>
      <c r="G161" t="s" s="48">
        <v>69</v>
      </c>
      <c r="H161" t="s" s="48">
        <v>69</v>
      </c>
      <c r="I161" t="s" s="48">
        <v>69</v>
      </c>
      <c r="J161" t="s" s="48">
        <v>69</v>
      </c>
      <c r="K161" s="72"/>
      <c r="L161" s="72"/>
      <c r="M161" s="50"/>
      <c r="N161" s="49"/>
      <c r="O161" s="50"/>
      <c r="P161" s="50"/>
      <c r="Q161" s="32">
        <v>157</v>
      </c>
      <c r="R161" s="64"/>
      <c r="S161" s="54">
        <f>INDEX('Locations'!$D$6:$D$455,MATCH(B161,'Locations'!$A$6:$A$455,0))</f>
        <v>42.7296023792144</v>
      </c>
      <c r="T161" s="54">
        <f>INDEX('Locations'!$E$6:$E$455,MATCH(B161,'Locations'!$A$6:$A$455,0))</f>
        <v>-73.6801876114796</v>
      </c>
      <c r="U161" s="54">
        <f>INDEX('Locations'!$D$6:$D$455,MATCH(C161,'Locations'!$A$6:$A$455,0))</f>
        <v>42.7295063660887</v>
      </c>
      <c r="V161" s="75">
        <f>INDEX('Locations'!$E$6:$E$455,MATCH(C161,'Locations'!$A$6:$A$455,0))</f>
        <v>-73.681036155534</v>
      </c>
      <c r="W161" s="44"/>
    </row>
    <row r="162" ht="23.1" customHeight="1">
      <c r="A162" t="s" s="21">
        <v>772</v>
      </c>
      <c r="B162" t="s" s="45">
        <v>300</v>
      </c>
      <c r="C162" t="s" s="45">
        <v>317</v>
      </c>
      <c r="D162" t="s" s="45">
        <v>614</v>
      </c>
      <c r="E162" s="71">
        <f>2*6371000*ASIN(SQRT(MIN(1,SIN(RADIANS(U162-S162)/2)^2+COS(RADIANS(S162))*COS(RADIANS(U162))*SIN(RADIANS(V162-T162)/2)^2)))</f>
        <v>41.9052135026532</v>
      </c>
      <c r="F162" t="s" s="48">
        <v>70</v>
      </c>
      <c r="G162" t="s" s="48">
        <v>69</v>
      </c>
      <c r="H162" t="s" s="48">
        <v>69</v>
      </c>
      <c r="I162" t="s" s="48">
        <v>69</v>
      </c>
      <c r="J162" t="s" s="48">
        <v>69</v>
      </c>
      <c r="K162" s="72"/>
      <c r="L162" s="72"/>
      <c r="M162" s="50"/>
      <c r="N162" s="49"/>
      <c r="O162" s="50"/>
      <c r="P162" s="50"/>
      <c r="Q162" s="30">
        <v>158</v>
      </c>
      <c r="R162" s="61"/>
      <c r="S162" s="46">
        <f>INDEX('Locations'!$D$6:$D$455,MATCH(B162,'Locations'!$A$6:$A$455,0))</f>
        <v>42.7297247735825</v>
      </c>
      <c r="T162" s="46">
        <f>INDEX('Locations'!$E$6:$E$455,MATCH(B162,'Locations'!$A$6:$A$455,0))</f>
        <v>-73.68160118657499</v>
      </c>
      <c r="U162" s="46">
        <f>INDEX('Locations'!$D$6:$D$455,MATCH(C162,'Locations'!$A$6:$A$455,0))</f>
        <v>42.7293799196449</v>
      </c>
      <c r="V162" s="73">
        <f>INDEX('Locations'!$E$6:$E$455,MATCH(C162,'Locations'!$A$6:$A$455,0))</f>
        <v>-73.6813942737994</v>
      </c>
      <c r="W162" s="44"/>
    </row>
    <row r="163" ht="23.1" customHeight="1">
      <c r="A163" t="s" s="24">
        <v>773</v>
      </c>
      <c r="B163" t="s" s="53">
        <v>301</v>
      </c>
      <c r="C163" t="s" s="53">
        <v>125</v>
      </c>
      <c r="D163" t="s" s="53">
        <v>614</v>
      </c>
      <c r="E163" s="74">
        <f>2*6371000*ASIN(SQRT(MIN(1,SIN(RADIANS(U163-S163)/2)^2+COS(RADIANS(S163))*COS(RADIANS(U163))*SIN(RADIANS(V163-T163)/2)^2)))</f>
        <v>74.6939271014313</v>
      </c>
      <c r="F163" t="s" s="48">
        <v>70</v>
      </c>
      <c r="G163" t="s" s="48">
        <v>69</v>
      </c>
      <c r="H163" t="s" s="48">
        <v>69</v>
      </c>
      <c r="I163" t="s" s="48">
        <v>69</v>
      </c>
      <c r="J163" t="s" s="48">
        <v>69</v>
      </c>
      <c r="K163" s="72"/>
      <c r="L163" s="72"/>
      <c r="M163" s="50"/>
      <c r="N163" s="49"/>
      <c r="O163" s="50"/>
      <c r="P163" s="50"/>
      <c r="Q163" s="32">
        <v>159</v>
      </c>
      <c r="R163" s="64"/>
      <c r="S163" s="54">
        <f>INDEX('Locations'!$D$6:$D$455,MATCH(B163,'Locations'!$A$6:$A$455,0))</f>
        <v>42.7297247735825</v>
      </c>
      <c r="T163" s="54">
        <f>INDEX('Locations'!$E$6:$E$455,MATCH(B163,'Locations'!$A$6:$A$455,0))</f>
        <v>-73.6817921829833</v>
      </c>
      <c r="U163" s="54">
        <f>INDEX('Locations'!$D$6:$D$455,MATCH(C163,'Locations'!$A$6:$A$455,0))</f>
        <v>42.7293468233902</v>
      </c>
      <c r="V163" s="75">
        <f>INDEX('Locations'!$E$6:$E$455,MATCH(C163,'Locations'!$A$6:$A$455,0))</f>
        <v>-73.68254817542559</v>
      </c>
      <c r="W163" s="44"/>
    </row>
    <row r="164" ht="23.1" customHeight="1">
      <c r="A164" t="s" s="21">
        <v>774</v>
      </c>
      <c r="B164" t="s" s="45">
        <v>317</v>
      </c>
      <c r="C164" t="s" s="45">
        <v>319</v>
      </c>
      <c r="D164" t="s" s="45">
        <v>614</v>
      </c>
      <c r="E164" s="71">
        <f>2*6371000*ASIN(SQRT(MIN(1,SIN(RADIANS(U164-S164)/2)^2+COS(RADIANS(S164))*COS(RADIANS(U164))*SIN(RADIANS(V164-T164)/2)^2)))</f>
        <v>45.501764672977</v>
      </c>
      <c r="F164" t="s" s="48">
        <v>70</v>
      </c>
      <c r="G164" t="s" s="48">
        <v>69</v>
      </c>
      <c r="H164" t="s" s="48">
        <v>69</v>
      </c>
      <c r="I164" t="s" s="48">
        <v>69</v>
      </c>
      <c r="J164" t="s" s="48">
        <v>69</v>
      </c>
      <c r="K164" s="72"/>
      <c r="L164" s="72"/>
      <c r="M164" s="50"/>
      <c r="N164" s="49"/>
      <c r="O164" s="50"/>
      <c r="P164" s="50"/>
      <c r="Q164" s="30">
        <v>160</v>
      </c>
      <c r="R164" s="61"/>
      <c r="S164" s="46">
        <f>INDEX('Locations'!$D$6:$D$455,MATCH(B164,'Locations'!$A$6:$A$455,0))</f>
        <v>42.7293799196449</v>
      </c>
      <c r="T164" s="46">
        <f>INDEX('Locations'!$E$6:$E$455,MATCH(B164,'Locations'!$A$6:$A$455,0))</f>
        <v>-73.6813942737994</v>
      </c>
      <c r="U164" s="46">
        <f>INDEX('Locations'!$D$6:$D$455,MATCH(C164,'Locations'!$A$6:$A$455,0))</f>
        <v>42.7293799196449</v>
      </c>
      <c r="V164" s="73">
        <f>INDEX('Locations'!$E$6:$E$455,MATCH(C164,'Locations'!$A$6:$A$455,0))</f>
        <v>-73.6819513466568</v>
      </c>
      <c r="W164" s="44"/>
    </row>
    <row r="165" ht="23.1" customHeight="1">
      <c r="A165" t="s" s="24">
        <v>775</v>
      </c>
      <c r="B165" t="s" s="53">
        <v>125</v>
      </c>
      <c r="C165" t="s" s="53">
        <v>319</v>
      </c>
      <c r="D165" t="s" s="53">
        <v>614</v>
      </c>
      <c r="E165" s="74">
        <f>2*6371000*ASIN(SQRT(MIN(1,SIN(RADIANS(U165-S165)/2)^2+COS(RADIANS(S165))*COS(RADIANS(U165))*SIN(RADIANS(V165-T165)/2)^2)))</f>
        <v>48.887756375631</v>
      </c>
      <c r="F165" t="s" s="48">
        <v>70</v>
      </c>
      <c r="G165" t="s" s="48">
        <v>69</v>
      </c>
      <c r="H165" t="s" s="48">
        <v>69</v>
      </c>
      <c r="I165" t="s" s="48">
        <v>69</v>
      </c>
      <c r="J165" t="s" s="48">
        <v>69</v>
      </c>
      <c r="K165" s="72"/>
      <c r="L165" s="72"/>
      <c r="M165" s="50"/>
      <c r="N165" s="49"/>
      <c r="O165" s="50"/>
      <c r="P165" s="50"/>
      <c r="Q165" s="32">
        <v>161</v>
      </c>
      <c r="R165" s="64"/>
      <c r="S165" s="54">
        <f>INDEX('Locations'!$D$6:$D$455,MATCH(B165,'Locations'!$A$6:$A$455,0))</f>
        <v>42.7293468233902</v>
      </c>
      <c r="T165" s="54">
        <f>INDEX('Locations'!$E$6:$E$455,MATCH(B165,'Locations'!$A$6:$A$455,0))</f>
        <v>-73.68254817542559</v>
      </c>
      <c r="U165" s="54">
        <f>INDEX('Locations'!$D$6:$D$455,MATCH(C165,'Locations'!$A$6:$A$455,0))</f>
        <v>42.7293799196449</v>
      </c>
      <c r="V165" s="75">
        <f>INDEX('Locations'!$E$6:$E$455,MATCH(C165,'Locations'!$A$6:$A$455,0))</f>
        <v>-73.6819513466568</v>
      </c>
      <c r="W165" s="44"/>
    </row>
    <row r="166" ht="23.1" customHeight="1">
      <c r="A166" t="s" s="21">
        <v>776</v>
      </c>
      <c r="B166" t="s" s="45">
        <v>202</v>
      </c>
      <c r="C166" t="s" s="45">
        <v>319</v>
      </c>
      <c r="D166" t="s" s="45">
        <v>614</v>
      </c>
      <c r="E166" s="71">
        <f>2*6371000*ASIN(SQRT(MIN(1,SIN(RADIANS(U166-S166)/2)^2+COS(RADIANS(S166))*COS(RADIANS(U166))*SIN(RADIANS(V166-T166)/2)^2)))</f>
        <v>14.9059203657677</v>
      </c>
      <c r="F166" t="s" s="48">
        <v>70</v>
      </c>
      <c r="G166" t="s" s="48">
        <v>69</v>
      </c>
      <c r="H166" t="s" s="48">
        <v>69</v>
      </c>
      <c r="I166" t="s" s="48">
        <v>69</v>
      </c>
      <c r="J166" t="s" s="48">
        <v>69</v>
      </c>
      <c r="K166" s="72"/>
      <c r="L166" s="72"/>
      <c r="M166" s="50"/>
      <c r="N166" s="49"/>
      <c r="O166" s="50"/>
      <c r="P166" s="50"/>
      <c r="Q166" s="30">
        <v>162</v>
      </c>
      <c r="R166" s="61"/>
      <c r="S166" s="46">
        <f>INDEX('Locations'!$D$6:$D$455,MATCH(B166,'Locations'!$A$6:$A$455,0))</f>
        <v>42.7292472880867</v>
      </c>
      <c r="T166" s="46">
        <f>INDEX('Locations'!$E$6:$E$455,MATCH(B166,'Locations'!$A$6:$A$455,0))</f>
        <v>-73.6819248492686</v>
      </c>
      <c r="U166" s="46">
        <f>INDEX('Locations'!$D$6:$D$455,MATCH(C166,'Locations'!$A$6:$A$455,0))</f>
        <v>42.7293799196449</v>
      </c>
      <c r="V166" s="73">
        <f>INDEX('Locations'!$E$6:$E$455,MATCH(C166,'Locations'!$A$6:$A$455,0))</f>
        <v>-73.6819513466568</v>
      </c>
      <c r="W166" s="44"/>
    </row>
    <row r="167" ht="23.1" customHeight="1">
      <c r="A167" t="s" s="24">
        <v>777</v>
      </c>
      <c r="B167" t="s" s="53">
        <v>276</v>
      </c>
      <c r="C167" t="s" s="53">
        <v>321</v>
      </c>
      <c r="D167" t="s" s="53">
        <v>614</v>
      </c>
      <c r="E167" s="74">
        <f>2*6371000*ASIN(SQRT(MIN(1,SIN(RADIANS(U167-S167)/2)^2+COS(RADIANS(S167))*COS(RADIANS(U167))*SIN(RADIANS(V167-T167)/2)^2)))</f>
        <v>13.4422684178454</v>
      </c>
      <c r="F167" t="s" s="48">
        <v>70</v>
      </c>
      <c r="G167" t="s" s="48">
        <v>69</v>
      </c>
      <c r="H167" t="s" s="48">
        <v>69</v>
      </c>
      <c r="I167" t="s" s="48">
        <v>69</v>
      </c>
      <c r="J167" t="s" s="48">
        <v>69</v>
      </c>
      <c r="K167" s="72"/>
      <c r="L167" s="72"/>
      <c r="M167" s="50"/>
      <c r="N167" s="49"/>
      <c r="O167" s="50"/>
      <c r="P167" s="50"/>
      <c r="Q167" s="32">
        <v>163</v>
      </c>
      <c r="R167" s="64"/>
      <c r="S167" s="54">
        <f>INDEX('Locations'!$D$6:$D$455,MATCH(B167,'Locations'!$A$6:$A$455,0))</f>
        <v>42.7295753368762</v>
      </c>
      <c r="T167" s="54">
        <f>INDEX('Locations'!$E$6:$E$455,MATCH(B167,'Locations'!$A$6:$A$455,0))</f>
        <v>-73.6785929931454</v>
      </c>
      <c r="U167" s="54">
        <f>INDEX('Locations'!$D$6:$D$455,MATCH(C167,'Locations'!$A$6:$A$455,0))</f>
        <v>42.7295201602462</v>
      </c>
      <c r="V167" s="75">
        <f>INDEX('Locations'!$E$6:$E$455,MATCH(C167,'Locations'!$A$6:$A$455,0))</f>
        <v>-73.6784465625657</v>
      </c>
      <c r="W167" s="44"/>
    </row>
    <row r="168" ht="23.1" customHeight="1">
      <c r="A168" t="s" s="21">
        <v>778</v>
      </c>
      <c r="B168" t="s" s="45">
        <v>277</v>
      </c>
      <c r="C168" t="s" s="45">
        <v>323</v>
      </c>
      <c r="D168" t="s" s="45">
        <v>614</v>
      </c>
      <c r="E168" s="71">
        <f>2*6371000*ASIN(SQRT(MIN(1,SIN(RADIANS(U168-S168)/2)^2+COS(RADIANS(S168))*COS(RADIANS(U168))*SIN(RADIANS(V168-T168)/2)^2)))</f>
        <v>22.5339570239376</v>
      </c>
      <c r="F168" t="s" s="48">
        <v>70</v>
      </c>
      <c r="G168" t="s" s="48">
        <v>69</v>
      </c>
      <c r="H168" t="s" s="48">
        <v>69</v>
      </c>
      <c r="I168" t="s" s="48">
        <v>69</v>
      </c>
      <c r="J168" t="s" s="48">
        <v>69</v>
      </c>
      <c r="K168" s="72"/>
      <c r="L168" s="72"/>
      <c r="M168" s="50"/>
      <c r="N168" s="49"/>
      <c r="O168" s="50"/>
      <c r="P168" s="50"/>
      <c r="Q168" s="30">
        <v>164</v>
      </c>
      <c r="R168" s="61"/>
      <c r="S168" s="46">
        <f>INDEX('Locations'!$D$6:$D$455,MATCH(B168,'Locations'!$A$6:$A$455,0))</f>
        <v>42.7293799196449</v>
      </c>
      <c r="T168" s="46">
        <f>INDEX('Locations'!$E$6:$E$455,MATCH(B168,'Locations'!$A$6:$A$455,0))</f>
        <v>-73.6779722548186</v>
      </c>
      <c r="U168" s="46">
        <f>INDEX('Locations'!$D$6:$D$455,MATCH(C168,'Locations'!$A$6:$A$455,0))</f>
        <v>42.7294419933537</v>
      </c>
      <c r="V168" s="73">
        <f>INDEX('Locations'!$E$6:$E$455,MATCH(C168,'Locations'!$A$6:$A$455,0))</f>
        <v>-73.67823487487991</v>
      </c>
      <c r="W168" s="44"/>
    </row>
    <row r="169" ht="23.1" customHeight="1">
      <c r="A169" t="s" s="24">
        <v>779</v>
      </c>
      <c r="B169" t="s" s="53">
        <v>321</v>
      </c>
      <c r="C169" t="s" s="53">
        <v>323</v>
      </c>
      <c r="D169" t="s" s="53">
        <v>614</v>
      </c>
      <c r="E169" s="74">
        <f>2*6371000*ASIN(SQRT(MIN(1,SIN(RADIANS(U169-S169)/2)^2+COS(RADIANS(S169))*COS(RADIANS(U169))*SIN(RADIANS(V169-T169)/2)^2)))</f>
        <v>19.3523393499547</v>
      </c>
      <c r="F169" t="s" s="48">
        <v>70</v>
      </c>
      <c r="G169" t="s" s="48">
        <v>69</v>
      </c>
      <c r="H169" t="s" s="48">
        <v>69</v>
      </c>
      <c r="I169" t="s" s="48">
        <v>69</v>
      </c>
      <c r="J169" t="s" s="48">
        <v>69</v>
      </c>
      <c r="K169" s="72"/>
      <c r="L169" s="72"/>
      <c r="M169" s="50"/>
      <c r="N169" s="49"/>
      <c r="O169" s="50"/>
      <c r="P169" s="50"/>
      <c r="Q169" s="32">
        <v>165</v>
      </c>
      <c r="R169" s="64"/>
      <c r="S169" s="54">
        <f>INDEX('Locations'!$D$6:$D$455,MATCH(B169,'Locations'!$A$6:$A$455,0))</f>
        <v>42.7295201602462</v>
      </c>
      <c r="T169" s="54">
        <f>INDEX('Locations'!$E$6:$E$455,MATCH(B169,'Locations'!$A$6:$A$455,0))</f>
        <v>-73.6784465625657</v>
      </c>
      <c r="U169" s="54">
        <f>INDEX('Locations'!$D$6:$D$455,MATCH(C169,'Locations'!$A$6:$A$455,0))</f>
        <v>42.7294419933537</v>
      </c>
      <c r="V169" s="75">
        <f>INDEX('Locations'!$E$6:$E$455,MATCH(C169,'Locations'!$A$6:$A$455,0))</f>
        <v>-73.67823487487991</v>
      </c>
      <c r="W169" s="44"/>
    </row>
    <row r="170" ht="23.1" customHeight="1">
      <c r="A170" t="s" s="21">
        <v>780</v>
      </c>
      <c r="B170" t="s" s="45">
        <v>183</v>
      </c>
      <c r="C170" t="s" s="45">
        <v>323</v>
      </c>
      <c r="D170" t="s" s="45">
        <v>614</v>
      </c>
      <c r="E170" s="71">
        <f>2*6371000*ASIN(SQRT(MIN(1,SIN(RADIANS(U170-S170)/2)^2+COS(RADIANS(S170))*COS(RADIANS(U170))*SIN(RADIANS(V170-T170)/2)^2)))</f>
        <v>26.5228720296362</v>
      </c>
      <c r="F170" t="s" s="48">
        <v>70</v>
      </c>
      <c r="G170" t="s" s="48">
        <v>69</v>
      </c>
      <c r="H170" t="s" s="48">
        <v>69</v>
      </c>
      <c r="I170" t="s" s="48">
        <v>69</v>
      </c>
      <c r="J170" t="s" s="48">
        <v>69</v>
      </c>
      <c r="K170" s="72"/>
      <c r="L170" s="72"/>
      <c r="M170" s="50"/>
      <c r="N170" s="49"/>
      <c r="O170" s="50"/>
      <c r="P170" s="50"/>
      <c r="Q170" s="30">
        <v>166</v>
      </c>
      <c r="R170" s="61"/>
      <c r="S170" s="46">
        <f>INDEX('Locations'!$D$6:$D$455,MATCH(B170,'Locations'!$A$6:$A$455,0))</f>
        <v>42.7292099242771</v>
      </c>
      <c r="T170" s="46">
        <f>INDEX('Locations'!$E$6:$E$455,MATCH(B170,'Locations'!$A$6:$A$455,0))</f>
        <v>-73.67815983327949</v>
      </c>
      <c r="U170" s="46">
        <f>INDEX('Locations'!$D$6:$D$455,MATCH(C170,'Locations'!$A$6:$A$455,0))</f>
        <v>42.7294419933537</v>
      </c>
      <c r="V170" s="73">
        <f>INDEX('Locations'!$E$6:$E$455,MATCH(C170,'Locations'!$A$6:$A$455,0))</f>
        <v>-73.67823487487991</v>
      </c>
      <c r="W170" s="44"/>
    </row>
    <row r="171" ht="23.1" customHeight="1">
      <c r="A171" t="s" s="24">
        <v>781</v>
      </c>
      <c r="B171" t="s" s="53">
        <v>321</v>
      </c>
      <c r="C171" t="s" s="53">
        <v>322</v>
      </c>
      <c r="D171" t="s" s="53">
        <v>614</v>
      </c>
      <c r="E171" s="74">
        <f>2*6371000*ASIN(SQRT(MIN(1,SIN(RADIANS(U171-S171)/2)^2+COS(RADIANS(S171))*COS(RADIANS(U171))*SIN(RADIANS(V171-T171)/2)^2)))</f>
        <v>58.0700934824883</v>
      </c>
      <c r="F171" t="s" s="48">
        <v>70</v>
      </c>
      <c r="G171" t="s" s="48">
        <v>69</v>
      </c>
      <c r="H171" t="s" s="48">
        <v>69</v>
      </c>
      <c r="I171" t="s" s="48">
        <v>69</v>
      </c>
      <c r="J171" t="s" s="48">
        <v>69</v>
      </c>
      <c r="K171" s="72"/>
      <c r="L171" s="72"/>
      <c r="M171" s="50"/>
      <c r="N171" s="49"/>
      <c r="O171" s="50"/>
      <c r="P171" s="50"/>
      <c r="Q171" s="32">
        <v>167</v>
      </c>
      <c r="R171" s="64"/>
      <c r="S171" s="54">
        <f>INDEX('Locations'!$D$6:$D$455,MATCH(B171,'Locations'!$A$6:$A$455,0))</f>
        <v>42.7295201602462</v>
      </c>
      <c r="T171" s="54">
        <f>INDEX('Locations'!$E$6:$E$455,MATCH(B171,'Locations'!$A$6:$A$455,0))</f>
        <v>-73.6784465625657</v>
      </c>
      <c r="U171" s="54">
        <f>INDEX('Locations'!$D$6:$D$455,MATCH(C171,'Locations'!$A$6:$A$455,0))</f>
        <v>42.7290005803136</v>
      </c>
      <c r="V171" s="75">
        <f>INDEX('Locations'!$E$6:$E$455,MATCH(C171,'Locations'!$A$6:$A$455,0))</f>
        <v>-73.6785181862188</v>
      </c>
      <c r="W171" s="44"/>
    </row>
    <row r="172" ht="23.1" customHeight="1">
      <c r="A172" t="s" s="21">
        <v>782</v>
      </c>
      <c r="B172" t="s" s="45">
        <v>324</v>
      </c>
      <c r="C172" t="s" s="45">
        <v>322</v>
      </c>
      <c r="D172" t="s" s="45">
        <v>614</v>
      </c>
      <c r="E172" s="71">
        <f>2*6371000*ASIN(SQRT(MIN(1,SIN(RADIANS(U172-S172)/2)^2+COS(RADIANS(S172))*COS(RADIANS(U172))*SIN(RADIANS(V172-T172)/2)^2)))</f>
        <v>54.758118230849</v>
      </c>
      <c r="F172" t="s" s="48">
        <v>70</v>
      </c>
      <c r="G172" t="s" s="48">
        <v>69</v>
      </c>
      <c r="H172" t="s" s="48">
        <v>69</v>
      </c>
      <c r="I172" t="s" s="48">
        <v>69</v>
      </c>
      <c r="J172" t="s" s="48">
        <v>69</v>
      </c>
      <c r="K172" s="72"/>
      <c r="L172" s="72"/>
      <c r="M172" s="50"/>
      <c r="N172" s="49"/>
      <c r="O172" s="50"/>
      <c r="P172" s="50"/>
      <c r="Q172" s="30">
        <v>168</v>
      </c>
      <c r="R172" s="61"/>
      <c r="S172" s="46">
        <f>INDEX('Locations'!$D$6:$D$455,MATCH(B172,'Locations'!$A$6:$A$455,0))</f>
        <v>42.7285177848009</v>
      </c>
      <c r="T172" s="46">
        <f>INDEX('Locations'!$E$6:$E$455,MATCH(B172,'Locations'!$A$6:$A$455,0))</f>
        <v>-73.6786502920678</v>
      </c>
      <c r="U172" s="46">
        <f>INDEX('Locations'!$D$6:$D$455,MATCH(C172,'Locations'!$A$6:$A$455,0))</f>
        <v>42.7290005803136</v>
      </c>
      <c r="V172" s="73">
        <f>INDEX('Locations'!$E$6:$E$455,MATCH(C172,'Locations'!$A$6:$A$455,0))</f>
        <v>-73.6785181862188</v>
      </c>
      <c r="W172" s="44"/>
    </row>
    <row r="173" ht="23.1" customHeight="1">
      <c r="A173" t="s" s="24">
        <v>783</v>
      </c>
      <c r="B173" t="s" s="53">
        <v>325</v>
      </c>
      <c r="C173" t="s" s="53">
        <v>324</v>
      </c>
      <c r="D173" t="s" s="53">
        <v>614</v>
      </c>
      <c r="E173" s="74">
        <f>2*6371000*ASIN(SQRT(MIN(1,SIN(RADIANS(U173-S173)/2)^2+COS(RADIANS(S173))*COS(RADIANS(U173))*SIN(RADIANS(V173-T173)/2)^2)))</f>
        <v>101.987932272770</v>
      </c>
      <c r="F173" t="s" s="48">
        <v>70</v>
      </c>
      <c r="G173" t="s" s="48">
        <v>69</v>
      </c>
      <c r="H173" t="s" s="48">
        <v>69</v>
      </c>
      <c r="I173" t="s" s="48">
        <v>69</v>
      </c>
      <c r="J173" t="s" s="48">
        <v>69</v>
      </c>
      <c r="K173" s="72"/>
      <c r="L173" s="72"/>
      <c r="M173" s="50"/>
      <c r="N173" s="49"/>
      <c r="O173" s="50"/>
      <c r="P173" s="50"/>
      <c r="Q173" s="32">
        <v>169</v>
      </c>
      <c r="R173" s="64"/>
      <c r="S173" s="54">
        <f>INDEX('Locations'!$D$6:$D$455,MATCH(B173,'Locations'!$A$6:$A$455,0))</f>
        <v>42.7286672215072</v>
      </c>
      <c r="T173" s="54">
        <f>INDEX('Locations'!$E$6:$E$455,MATCH(B173,'Locations'!$A$6:$A$455,0))</f>
        <v>-73.6798822189009</v>
      </c>
      <c r="U173" s="54">
        <f>INDEX('Locations'!$D$6:$D$455,MATCH(C173,'Locations'!$A$6:$A$455,0))</f>
        <v>42.7285177848009</v>
      </c>
      <c r="V173" s="75">
        <f>INDEX('Locations'!$E$6:$E$455,MATCH(C173,'Locations'!$A$6:$A$455,0))</f>
        <v>-73.6786502920678</v>
      </c>
      <c r="W173" s="44"/>
    </row>
    <row r="174" ht="23.1" customHeight="1">
      <c r="A174" t="s" s="21">
        <v>784</v>
      </c>
      <c r="B174" t="s" s="45">
        <v>317</v>
      </c>
      <c r="C174" t="s" s="45">
        <v>326</v>
      </c>
      <c r="D174" t="s" s="45">
        <v>614</v>
      </c>
      <c r="E174" s="71">
        <f>2*6371000*ASIN(SQRT(MIN(1,SIN(RADIANS(U174-S174)/2)^2+COS(RADIANS(S174))*COS(RADIANS(U174))*SIN(RADIANS(V174-T174)/2)^2)))</f>
        <v>36.3881375615208</v>
      </c>
      <c r="F174" t="s" s="48">
        <v>70</v>
      </c>
      <c r="G174" t="s" s="48">
        <v>69</v>
      </c>
      <c r="H174" t="s" s="48">
        <v>69</v>
      </c>
      <c r="I174" t="s" s="48">
        <v>69</v>
      </c>
      <c r="J174" t="s" s="48">
        <v>69</v>
      </c>
      <c r="K174" s="72"/>
      <c r="L174" s="72"/>
      <c r="M174" s="50"/>
      <c r="N174" s="49"/>
      <c r="O174" s="50"/>
      <c r="P174" s="50"/>
      <c r="Q174" s="30">
        <v>170</v>
      </c>
      <c r="R174" s="61"/>
      <c r="S174" s="46">
        <f>INDEX('Locations'!$D$6:$D$455,MATCH(B174,'Locations'!$A$6:$A$455,0))</f>
        <v>42.7293799196449</v>
      </c>
      <c r="T174" s="46">
        <f>INDEX('Locations'!$E$6:$E$455,MATCH(B174,'Locations'!$A$6:$A$455,0))</f>
        <v>-73.6813942737994</v>
      </c>
      <c r="U174" s="46">
        <f>INDEX('Locations'!$D$6:$D$455,MATCH(C174,'Locations'!$A$6:$A$455,0))</f>
        <v>42.7290810462323</v>
      </c>
      <c r="V174" s="73">
        <f>INDEX('Locations'!$E$6:$E$455,MATCH(C174,'Locations'!$A$6:$A$455,0))</f>
        <v>-73.6812128272116</v>
      </c>
      <c r="W174" s="44"/>
    </row>
    <row r="175" ht="23.1" customHeight="1">
      <c r="A175" t="s" s="24">
        <v>785</v>
      </c>
      <c r="B175" t="s" s="53">
        <v>327</v>
      </c>
      <c r="C175" t="s" s="53">
        <v>326</v>
      </c>
      <c r="D175" t="s" s="53">
        <v>614</v>
      </c>
      <c r="E175" s="74">
        <f>2*6371000*ASIN(SQRT(MIN(1,SIN(RADIANS(U175-S175)/2)^2+COS(RADIANS(S175))*COS(RADIANS(U175))*SIN(RADIANS(V175-T175)/2)^2)))</f>
        <v>41.1978625520576</v>
      </c>
      <c r="F175" t="s" s="48">
        <v>70</v>
      </c>
      <c r="G175" t="s" s="48">
        <v>69</v>
      </c>
      <c r="H175" t="s" s="48">
        <v>69</v>
      </c>
      <c r="I175" t="s" s="48">
        <v>69</v>
      </c>
      <c r="J175" t="s" s="48">
        <v>69</v>
      </c>
      <c r="K175" s="72"/>
      <c r="L175" s="72"/>
      <c r="M175" s="50"/>
      <c r="N175" s="49"/>
      <c r="O175" s="50"/>
      <c r="P175" s="50"/>
      <c r="Q175" s="32">
        <v>171</v>
      </c>
      <c r="R175" s="64"/>
      <c r="S175" s="54">
        <f>INDEX('Locations'!$D$6:$D$455,MATCH(B175,'Locations'!$A$6:$A$455,0))</f>
        <v>42.7289764405379</v>
      </c>
      <c r="T175" s="54">
        <f>INDEX('Locations'!$E$6:$E$455,MATCH(B175,'Locations'!$A$6:$A$455,0))</f>
        <v>-73.6816966847791</v>
      </c>
      <c r="U175" s="54">
        <f>INDEX('Locations'!$D$6:$D$455,MATCH(C175,'Locations'!$A$6:$A$455,0))</f>
        <v>42.7290810462323</v>
      </c>
      <c r="V175" s="75">
        <f>INDEX('Locations'!$E$6:$E$455,MATCH(C175,'Locations'!$A$6:$A$455,0))</f>
        <v>-73.6812128272116</v>
      </c>
      <c r="W175" s="44"/>
    </row>
    <row r="176" ht="23.1" customHeight="1">
      <c r="A176" t="s" s="21">
        <v>786</v>
      </c>
      <c r="B176" t="s" s="45">
        <v>202</v>
      </c>
      <c r="C176" t="s" s="45">
        <v>327</v>
      </c>
      <c r="D176" t="s" s="45">
        <v>614</v>
      </c>
      <c r="E176" s="71">
        <f>2*6371000*ASIN(SQRT(MIN(1,SIN(RADIANS(U176-S176)/2)^2+COS(RADIANS(S176))*COS(RADIANS(U176))*SIN(RADIANS(V176-T176)/2)^2)))</f>
        <v>35.4167770865676</v>
      </c>
      <c r="F176" t="s" s="48">
        <v>70</v>
      </c>
      <c r="G176" t="s" s="48">
        <v>69</v>
      </c>
      <c r="H176" t="s" s="48">
        <v>69</v>
      </c>
      <c r="I176" t="s" s="48">
        <v>69</v>
      </c>
      <c r="J176" t="s" s="48">
        <v>69</v>
      </c>
      <c r="K176" s="72"/>
      <c r="L176" s="72"/>
      <c r="M176" s="50"/>
      <c r="N176" s="49"/>
      <c r="O176" s="50"/>
      <c r="P176" s="50"/>
      <c r="Q176" s="30">
        <v>172</v>
      </c>
      <c r="R176" s="61"/>
      <c r="S176" s="46">
        <f>INDEX('Locations'!$D$6:$D$455,MATCH(B176,'Locations'!$A$6:$A$455,0))</f>
        <v>42.7292472880867</v>
      </c>
      <c r="T176" s="46">
        <f>INDEX('Locations'!$E$6:$E$455,MATCH(B176,'Locations'!$A$6:$A$455,0))</f>
        <v>-73.6819248492686</v>
      </c>
      <c r="U176" s="46">
        <f>INDEX('Locations'!$D$6:$D$455,MATCH(C176,'Locations'!$A$6:$A$455,0))</f>
        <v>42.7289764405379</v>
      </c>
      <c r="V176" s="73">
        <f>INDEX('Locations'!$E$6:$E$455,MATCH(C176,'Locations'!$A$6:$A$455,0))</f>
        <v>-73.6816966847791</v>
      </c>
      <c r="W176" s="44"/>
    </row>
    <row r="177" ht="23.1" customHeight="1">
      <c r="A177" t="s" s="24">
        <v>787</v>
      </c>
      <c r="B177" t="s" s="53">
        <v>328</v>
      </c>
      <c r="C177" t="s" s="53">
        <v>329</v>
      </c>
      <c r="D177" t="s" s="53">
        <v>614</v>
      </c>
      <c r="E177" s="74">
        <f>2*6371000*ASIN(SQRT(MIN(1,SIN(RADIANS(U177-S177)/2)^2+COS(RADIANS(S177))*COS(RADIANS(U177))*SIN(RADIANS(V177-T177)/2)^2)))</f>
        <v>45.4959291977276</v>
      </c>
      <c r="F177" t="s" s="48">
        <v>70</v>
      </c>
      <c r="G177" t="s" s="48">
        <v>69</v>
      </c>
      <c r="H177" t="s" s="48">
        <v>69</v>
      </c>
      <c r="I177" t="s" s="48">
        <v>69</v>
      </c>
      <c r="J177" t="s" s="48">
        <v>69</v>
      </c>
      <c r="K177" s="72"/>
      <c r="L177" s="72"/>
      <c r="M177" s="50"/>
      <c r="N177" s="49"/>
      <c r="O177" s="50"/>
      <c r="P177" s="50"/>
      <c r="Q177" s="32">
        <v>173</v>
      </c>
      <c r="R177" s="64"/>
      <c r="S177" s="54">
        <f>INDEX('Locations'!$D$6:$D$455,MATCH(B177,'Locations'!$A$6:$A$455,0))</f>
        <v>42.7290925413636</v>
      </c>
      <c r="T177" s="54">
        <f>INDEX('Locations'!$E$6:$E$455,MATCH(B177,'Locations'!$A$6:$A$455,0))</f>
        <v>-73.6804026841134</v>
      </c>
      <c r="U177" s="54">
        <f>INDEX('Locations'!$D$6:$D$455,MATCH(C177,'Locations'!$A$6:$A$455,0))</f>
        <v>42.7291845024136</v>
      </c>
      <c r="V177" s="75">
        <f>INDEX('Locations'!$E$6:$E$455,MATCH(C177,'Locations'!$A$6:$A$455,0))</f>
        <v>-73.6798599359866</v>
      </c>
      <c r="W177" s="44"/>
    </row>
    <row r="178" ht="23.1" customHeight="1">
      <c r="A178" t="s" s="21">
        <v>788</v>
      </c>
      <c r="B178" t="s" s="45">
        <v>325</v>
      </c>
      <c r="C178" t="s" s="45">
        <v>329</v>
      </c>
      <c r="D178" t="s" s="45">
        <v>614</v>
      </c>
      <c r="E178" s="71">
        <f>2*6371000*ASIN(SQRT(MIN(1,SIN(RADIANS(U178-S178)/2)^2+COS(RADIANS(S178))*COS(RADIANS(U178))*SIN(RADIANS(V178-T178)/2)^2)))</f>
        <v>57.5478018495877</v>
      </c>
      <c r="F178" t="s" s="48">
        <v>70</v>
      </c>
      <c r="G178" t="s" s="48">
        <v>69</v>
      </c>
      <c r="H178" t="s" s="48">
        <v>69</v>
      </c>
      <c r="I178" t="s" s="48">
        <v>69</v>
      </c>
      <c r="J178" t="s" s="48">
        <v>69</v>
      </c>
      <c r="K178" s="72"/>
      <c r="L178" s="72"/>
      <c r="M178" s="50"/>
      <c r="N178" s="49"/>
      <c r="O178" s="50"/>
      <c r="P178" s="50"/>
      <c r="Q178" s="30">
        <v>174</v>
      </c>
      <c r="R178" s="61"/>
      <c r="S178" s="46">
        <f>INDEX('Locations'!$D$6:$D$455,MATCH(B178,'Locations'!$A$6:$A$455,0))</f>
        <v>42.7286672215072</v>
      </c>
      <c r="T178" s="46">
        <f>INDEX('Locations'!$E$6:$E$455,MATCH(B178,'Locations'!$A$6:$A$455,0))</f>
        <v>-73.6798822189009</v>
      </c>
      <c r="U178" s="46">
        <f>INDEX('Locations'!$D$6:$D$455,MATCH(C178,'Locations'!$A$6:$A$455,0))</f>
        <v>42.7291845024136</v>
      </c>
      <c r="V178" s="73">
        <f>INDEX('Locations'!$E$6:$E$455,MATCH(C178,'Locations'!$A$6:$A$455,0))</f>
        <v>-73.6798599359866</v>
      </c>
      <c r="W178" s="44"/>
    </row>
    <row r="179" ht="23.1" customHeight="1">
      <c r="A179" t="s" s="24">
        <v>789</v>
      </c>
      <c r="B179" t="s" s="53">
        <v>328</v>
      </c>
      <c r="C179" t="s" s="53">
        <v>145</v>
      </c>
      <c r="D179" t="s" s="53">
        <v>614</v>
      </c>
      <c r="E179" s="74">
        <f>2*6371000*ASIN(SQRT(MIN(1,SIN(RADIANS(U179-S179)/2)^2+COS(RADIANS(S179))*COS(RADIANS(U179))*SIN(RADIANS(V179-T179)/2)^2)))</f>
        <v>30.4031892288834</v>
      </c>
      <c r="F179" t="s" s="48">
        <v>70</v>
      </c>
      <c r="G179" t="s" s="48">
        <v>69</v>
      </c>
      <c r="H179" t="s" s="48">
        <v>69</v>
      </c>
      <c r="I179" t="s" s="48">
        <v>69</v>
      </c>
      <c r="J179" t="s" s="48">
        <v>69</v>
      </c>
      <c r="K179" s="72"/>
      <c r="L179" s="72"/>
      <c r="M179" s="50"/>
      <c r="N179" s="49"/>
      <c r="O179" s="50"/>
      <c r="P179" s="50"/>
      <c r="Q179" s="32">
        <v>175</v>
      </c>
      <c r="R179" s="64"/>
      <c r="S179" s="54">
        <f>INDEX('Locations'!$D$6:$D$455,MATCH(B179,'Locations'!$A$6:$A$455,0))</f>
        <v>42.7290925413636</v>
      </c>
      <c r="T179" s="54">
        <f>INDEX('Locations'!$E$6:$E$455,MATCH(B179,'Locations'!$A$6:$A$455,0))</f>
        <v>-73.6804026841134</v>
      </c>
      <c r="U179" s="54">
        <f>INDEX('Locations'!$D$6:$D$455,MATCH(C179,'Locations'!$A$6:$A$455,0))</f>
        <v>42.7288196976939</v>
      </c>
      <c r="V179" s="75">
        <f>INDEX('Locations'!$E$6:$E$455,MATCH(C179,'Locations'!$A$6:$A$455,0))</f>
        <v>-73.68037847802439</v>
      </c>
      <c r="W179" s="44"/>
    </row>
    <row r="180" ht="23.1" customHeight="1">
      <c r="A180" t="s" s="21">
        <v>790</v>
      </c>
      <c r="B180" t="s" s="45">
        <v>318</v>
      </c>
      <c r="C180" t="s" s="45">
        <v>330</v>
      </c>
      <c r="D180" t="s" s="45">
        <v>614</v>
      </c>
      <c r="E180" s="71">
        <f>2*6371000*ASIN(SQRT(MIN(1,SIN(RADIANS(U180-S180)/2)^2+COS(RADIANS(S180))*COS(RADIANS(U180))*SIN(RADIANS(V180-T180)/2)^2)))</f>
        <v>33.5012097443298</v>
      </c>
      <c r="F180" t="s" s="48">
        <v>70</v>
      </c>
      <c r="G180" t="s" s="48">
        <v>69</v>
      </c>
      <c r="H180" t="s" s="48">
        <v>69</v>
      </c>
      <c r="I180" t="s" s="48">
        <v>69</v>
      </c>
      <c r="J180" t="s" s="48">
        <v>69</v>
      </c>
      <c r="K180" s="72"/>
      <c r="L180" s="72"/>
      <c r="M180" s="50"/>
      <c r="N180" s="49"/>
      <c r="O180" s="50"/>
      <c r="P180" s="50"/>
      <c r="Q180" s="30">
        <v>176</v>
      </c>
      <c r="R180" s="61"/>
      <c r="S180" s="46">
        <f>INDEX('Locations'!$D$6:$D$455,MATCH(B180,'Locations'!$A$6:$A$455,0))</f>
        <v>42.7295063660887</v>
      </c>
      <c r="T180" s="46">
        <f>INDEX('Locations'!$E$6:$E$455,MATCH(B180,'Locations'!$A$6:$A$455,0))</f>
        <v>-73.681036155534</v>
      </c>
      <c r="U180" s="46">
        <f>INDEX('Locations'!$D$6:$D$455,MATCH(C180,'Locations'!$A$6:$A$455,0))</f>
        <v>42.7292051936499</v>
      </c>
      <c r="V180" s="73">
        <f>INDEX('Locations'!$E$6:$E$455,MATCH(C180,'Locations'!$A$6:$A$455,0))</f>
        <v>-73.6810472969912</v>
      </c>
      <c r="W180" s="44"/>
    </row>
    <row r="181" ht="23.1" customHeight="1">
      <c r="A181" t="s" s="24">
        <v>791</v>
      </c>
      <c r="B181" t="s" s="53">
        <v>326</v>
      </c>
      <c r="C181" t="s" s="53">
        <v>330</v>
      </c>
      <c r="D181" t="s" s="53">
        <v>614</v>
      </c>
      <c r="E181" s="74">
        <f>2*6371000*ASIN(SQRT(MIN(1,SIN(RADIANS(U181-S181)/2)^2+COS(RADIANS(S181))*COS(RADIANS(U181))*SIN(RADIANS(V181-T181)/2)^2)))</f>
        <v>19.322834522786</v>
      </c>
      <c r="F181" t="s" s="48">
        <v>70</v>
      </c>
      <c r="G181" t="s" s="48">
        <v>69</v>
      </c>
      <c r="H181" t="s" s="48">
        <v>69</v>
      </c>
      <c r="I181" t="s" s="48">
        <v>69</v>
      </c>
      <c r="J181" t="s" s="48">
        <v>69</v>
      </c>
      <c r="K181" s="72"/>
      <c r="L181" s="72"/>
      <c r="M181" s="50"/>
      <c r="N181" s="49"/>
      <c r="O181" s="50"/>
      <c r="P181" s="50"/>
      <c r="Q181" s="32">
        <v>177</v>
      </c>
      <c r="R181" s="64"/>
      <c r="S181" s="54">
        <f>INDEX('Locations'!$D$6:$D$455,MATCH(B181,'Locations'!$A$6:$A$455,0))</f>
        <v>42.7290810462323</v>
      </c>
      <c r="T181" s="54">
        <f>INDEX('Locations'!$E$6:$E$455,MATCH(B181,'Locations'!$A$6:$A$455,0))</f>
        <v>-73.6812128272116</v>
      </c>
      <c r="U181" s="54">
        <f>INDEX('Locations'!$D$6:$D$455,MATCH(C181,'Locations'!$A$6:$A$455,0))</f>
        <v>42.7292051936499</v>
      </c>
      <c r="V181" s="75">
        <f>INDEX('Locations'!$E$6:$E$455,MATCH(C181,'Locations'!$A$6:$A$455,0))</f>
        <v>-73.6810472969912</v>
      </c>
      <c r="W181" s="44"/>
    </row>
    <row r="182" ht="23.1" customHeight="1">
      <c r="A182" t="s" s="21">
        <v>792</v>
      </c>
      <c r="B182" t="s" s="45">
        <v>328</v>
      </c>
      <c r="C182" t="s" s="45">
        <v>330</v>
      </c>
      <c r="D182" t="s" s="45">
        <v>614</v>
      </c>
      <c r="E182" s="71">
        <f>2*6371000*ASIN(SQRT(MIN(1,SIN(RADIANS(U182-S182)/2)^2+COS(RADIANS(S182))*COS(RADIANS(U182))*SIN(RADIANS(V182-T182)/2)^2)))</f>
        <v>54.121788035778</v>
      </c>
      <c r="F182" t="s" s="48">
        <v>70</v>
      </c>
      <c r="G182" t="s" s="48">
        <v>69</v>
      </c>
      <c r="H182" t="s" s="48">
        <v>69</v>
      </c>
      <c r="I182" t="s" s="48">
        <v>69</v>
      </c>
      <c r="J182" t="s" s="48">
        <v>69</v>
      </c>
      <c r="K182" s="72"/>
      <c r="L182" s="72"/>
      <c r="M182" s="50"/>
      <c r="N182" s="49"/>
      <c r="O182" s="50"/>
      <c r="P182" s="50"/>
      <c r="Q182" s="30">
        <v>178</v>
      </c>
      <c r="R182" s="61"/>
      <c r="S182" s="46">
        <f>INDEX('Locations'!$D$6:$D$455,MATCH(B182,'Locations'!$A$6:$A$455,0))</f>
        <v>42.7290925413636</v>
      </c>
      <c r="T182" s="46">
        <f>INDEX('Locations'!$E$6:$E$455,MATCH(B182,'Locations'!$A$6:$A$455,0))</f>
        <v>-73.6804026841134</v>
      </c>
      <c r="U182" s="46">
        <f>INDEX('Locations'!$D$6:$D$455,MATCH(C182,'Locations'!$A$6:$A$455,0))</f>
        <v>42.7292051936499</v>
      </c>
      <c r="V182" s="73">
        <f>INDEX('Locations'!$E$6:$E$455,MATCH(C182,'Locations'!$A$6:$A$455,0))</f>
        <v>-73.6810472969912</v>
      </c>
      <c r="W182" s="44"/>
    </row>
    <row r="183" ht="23.1" customHeight="1">
      <c r="A183" t="s" s="24">
        <v>793</v>
      </c>
      <c r="B183" t="s" s="53">
        <v>326</v>
      </c>
      <c r="C183" t="s" s="53">
        <v>320</v>
      </c>
      <c r="D183" t="s" s="53">
        <v>614</v>
      </c>
      <c r="E183" s="74">
        <f>2*6371000*ASIN(SQRT(MIN(1,SIN(RADIANS(U183-S183)/2)^2+COS(RADIANS(S183))*COS(RADIANS(U183))*SIN(RADIANS(V183-T183)/2)^2)))</f>
        <v>91.99950568450051</v>
      </c>
      <c r="F183" t="s" s="48">
        <v>70</v>
      </c>
      <c r="G183" t="s" s="48">
        <v>69</v>
      </c>
      <c r="H183" t="s" s="48">
        <v>69</v>
      </c>
      <c r="I183" t="s" s="48">
        <v>69</v>
      </c>
      <c r="J183" t="s" s="48">
        <v>69</v>
      </c>
      <c r="K183" s="72"/>
      <c r="L183" s="72"/>
      <c r="M183" s="50"/>
      <c r="N183" s="49"/>
      <c r="O183" s="50"/>
      <c r="P183" s="50"/>
      <c r="Q183" s="32">
        <v>179</v>
      </c>
      <c r="R183" s="64"/>
      <c r="S183" s="54">
        <f>INDEX('Locations'!$D$6:$D$455,MATCH(B183,'Locations'!$A$6:$A$455,0))</f>
        <v>42.7290810462323</v>
      </c>
      <c r="T183" s="54">
        <f>INDEX('Locations'!$E$6:$E$455,MATCH(B183,'Locations'!$A$6:$A$455,0))</f>
        <v>-73.6812128272116</v>
      </c>
      <c r="U183" s="54">
        <f>INDEX('Locations'!$D$6:$D$455,MATCH(C183,'Locations'!$A$6:$A$455,0))</f>
        <v>42.728325816109</v>
      </c>
      <c r="V183" s="75">
        <f>INDEX('Locations'!$E$6:$E$455,MATCH(C183,'Locations'!$A$6:$A$455,0))</f>
        <v>-73.6807528441951</v>
      </c>
      <c r="W183" s="44"/>
    </row>
    <row r="184" ht="23.1" customHeight="1">
      <c r="A184" t="s" s="21">
        <v>794</v>
      </c>
      <c r="B184" t="s" s="45">
        <v>327</v>
      </c>
      <c r="C184" t="s" s="45">
        <v>331</v>
      </c>
      <c r="D184" t="s" s="45">
        <v>614</v>
      </c>
      <c r="E184" s="71">
        <f>2*6371000*ASIN(SQRT(MIN(1,SIN(RADIANS(U184-S184)/2)^2+COS(RADIANS(S184))*COS(RADIANS(U184))*SIN(RADIANS(V184-T184)/2)^2)))</f>
        <v>36.7388499827075</v>
      </c>
      <c r="F184" t="s" s="48">
        <v>70</v>
      </c>
      <c r="G184" t="s" s="48">
        <v>69</v>
      </c>
      <c r="H184" t="s" s="48">
        <v>69</v>
      </c>
      <c r="I184" t="s" s="48">
        <v>69</v>
      </c>
      <c r="J184" t="s" s="48">
        <v>69</v>
      </c>
      <c r="K184" s="72"/>
      <c r="L184" s="72"/>
      <c r="M184" s="50"/>
      <c r="N184" s="49"/>
      <c r="O184" s="50"/>
      <c r="P184" s="50"/>
      <c r="Q184" s="30">
        <v>180</v>
      </c>
      <c r="R184" s="61"/>
      <c r="S184" s="46">
        <f>INDEX('Locations'!$D$6:$D$455,MATCH(B184,'Locations'!$A$6:$A$455,0))</f>
        <v>42.7289764405379</v>
      </c>
      <c r="T184" s="46">
        <f>INDEX('Locations'!$E$6:$E$455,MATCH(B184,'Locations'!$A$6:$A$455,0))</f>
        <v>-73.6816966847791</v>
      </c>
      <c r="U184" s="46">
        <f>INDEX('Locations'!$D$6:$D$455,MATCH(C184,'Locations'!$A$6:$A$455,0))</f>
        <v>42.728784471846</v>
      </c>
      <c r="V184" s="73">
        <f>INDEX('Locations'!$E$6:$E$455,MATCH(C184,'Locations'!$A$6:$A$455,0))</f>
        <v>-73.681330608330</v>
      </c>
      <c r="W184" s="44"/>
    </row>
    <row r="185" ht="23.1" customHeight="1">
      <c r="A185" t="s" s="24">
        <v>795</v>
      </c>
      <c r="B185" t="s" s="53">
        <v>326</v>
      </c>
      <c r="C185" t="s" s="53">
        <v>331</v>
      </c>
      <c r="D185" t="s" s="53">
        <v>614</v>
      </c>
      <c r="E185" s="74">
        <f>2*6371000*ASIN(SQRT(MIN(1,SIN(RADIANS(U185-S185)/2)^2+COS(RADIANS(S185))*COS(RADIANS(U185))*SIN(RADIANS(V185-T185)/2)^2)))</f>
        <v>34.3521883843051</v>
      </c>
      <c r="F185" t="s" s="48">
        <v>70</v>
      </c>
      <c r="G185" t="s" s="48">
        <v>69</v>
      </c>
      <c r="H185" t="s" s="48">
        <v>69</v>
      </c>
      <c r="I185" t="s" s="48">
        <v>69</v>
      </c>
      <c r="J185" t="s" s="48">
        <v>69</v>
      </c>
      <c r="K185" s="72"/>
      <c r="L185" s="72"/>
      <c r="M185" s="50"/>
      <c r="N185" s="49"/>
      <c r="O185" s="50"/>
      <c r="P185" s="50"/>
      <c r="Q185" s="32">
        <v>181</v>
      </c>
      <c r="R185" s="64"/>
      <c r="S185" s="54">
        <f>INDEX('Locations'!$D$6:$D$455,MATCH(B185,'Locations'!$A$6:$A$455,0))</f>
        <v>42.7290810462323</v>
      </c>
      <c r="T185" s="54">
        <f>INDEX('Locations'!$E$6:$E$455,MATCH(B185,'Locations'!$A$6:$A$455,0))</f>
        <v>-73.6812128272116</v>
      </c>
      <c r="U185" s="54">
        <f>INDEX('Locations'!$D$6:$D$455,MATCH(C185,'Locations'!$A$6:$A$455,0))</f>
        <v>42.728784471846</v>
      </c>
      <c r="V185" s="75">
        <f>INDEX('Locations'!$E$6:$E$455,MATCH(C185,'Locations'!$A$6:$A$455,0))</f>
        <v>-73.681330608330</v>
      </c>
      <c r="W185" s="44"/>
    </row>
    <row r="186" ht="23.1" customHeight="1">
      <c r="A186" t="s" s="21">
        <v>796</v>
      </c>
      <c r="B186" t="s" s="45">
        <v>332</v>
      </c>
      <c r="C186" t="s" s="45">
        <v>331</v>
      </c>
      <c r="D186" t="s" s="45">
        <v>614</v>
      </c>
      <c r="E186" s="71">
        <f>2*6371000*ASIN(SQRT(MIN(1,SIN(RADIANS(U186-S186)/2)^2+COS(RADIANS(S186))*COS(RADIANS(U186))*SIN(RADIANS(V186-T186)/2)^2)))</f>
        <v>19.6850808219381</v>
      </c>
      <c r="F186" t="s" s="48">
        <v>70</v>
      </c>
      <c r="G186" t="s" s="48">
        <v>69</v>
      </c>
      <c r="H186" t="s" s="48">
        <v>69</v>
      </c>
      <c r="I186" t="s" s="48">
        <v>69</v>
      </c>
      <c r="J186" t="s" s="48">
        <v>69</v>
      </c>
      <c r="K186" s="72"/>
      <c r="L186" s="72"/>
      <c r="M186" s="50"/>
      <c r="N186" s="49"/>
      <c r="O186" s="50"/>
      <c r="P186" s="50"/>
      <c r="Q186" s="30">
        <v>182</v>
      </c>
      <c r="R186" s="61"/>
      <c r="S186" s="46">
        <f>INDEX('Locations'!$D$6:$D$455,MATCH(B186,'Locations'!$A$6:$A$455,0))</f>
        <v>42.7286327361135</v>
      </c>
      <c r="T186" s="46">
        <f>INDEX('Locations'!$E$6:$E$455,MATCH(B186,'Locations'!$A$6:$A$455,0))</f>
        <v>-73.6812064606647</v>
      </c>
      <c r="U186" s="46">
        <f>INDEX('Locations'!$D$6:$D$455,MATCH(C186,'Locations'!$A$6:$A$455,0))</f>
        <v>42.728784471846</v>
      </c>
      <c r="V186" s="73">
        <f>INDEX('Locations'!$E$6:$E$455,MATCH(C186,'Locations'!$A$6:$A$455,0))</f>
        <v>-73.681330608330</v>
      </c>
      <c r="W186" s="44"/>
    </row>
    <row r="187" ht="23.1" customHeight="1">
      <c r="A187" t="s" s="24">
        <v>797</v>
      </c>
      <c r="B187" t="s" s="53">
        <v>333</v>
      </c>
      <c r="C187" t="s" s="53">
        <v>332</v>
      </c>
      <c r="D187" t="s" s="53">
        <v>614</v>
      </c>
      <c r="E187" s="74">
        <f>2*6371000*ASIN(SQRT(MIN(1,SIN(RADIANS(U187-S187)/2)^2+COS(RADIANS(S187))*COS(RADIANS(U187))*SIN(RADIANS(V187-T187)/2)^2)))</f>
        <v>26.6021364927579</v>
      </c>
      <c r="F187" t="s" s="48">
        <v>70</v>
      </c>
      <c r="G187" t="s" s="48">
        <v>69</v>
      </c>
      <c r="H187" t="s" s="48">
        <v>69</v>
      </c>
      <c r="I187" t="s" s="48">
        <v>69</v>
      </c>
      <c r="J187" t="s" s="48">
        <v>69</v>
      </c>
      <c r="K187" s="72"/>
      <c r="L187" s="72"/>
      <c r="M187" s="50"/>
      <c r="N187" s="49"/>
      <c r="O187" s="50"/>
      <c r="P187" s="50"/>
      <c r="Q187" s="32">
        <v>183</v>
      </c>
      <c r="R187" s="64"/>
      <c r="S187" s="54">
        <f>INDEX('Locations'!$D$6:$D$455,MATCH(B187,'Locations'!$A$6:$A$455,0))</f>
        <v>42.7283936373834</v>
      </c>
      <c r="T187" s="54">
        <f>INDEX('Locations'!$E$6:$E$455,MATCH(B187,'Locations'!$A$6:$A$455,0))</f>
        <v>-73.68121760212181</v>
      </c>
      <c r="U187" s="54">
        <f>INDEX('Locations'!$D$6:$D$455,MATCH(C187,'Locations'!$A$6:$A$455,0))</f>
        <v>42.7286327361135</v>
      </c>
      <c r="V187" s="75">
        <f>INDEX('Locations'!$E$6:$E$455,MATCH(C187,'Locations'!$A$6:$A$455,0))</f>
        <v>-73.6812064606647</v>
      </c>
      <c r="W187" s="44"/>
    </row>
    <row r="188" ht="23.1" customHeight="1">
      <c r="A188" t="s" s="21">
        <v>798</v>
      </c>
      <c r="B188" t="s" s="45">
        <v>327</v>
      </c>
      <c r="C188" t="s" s="45">
        <v>338</v>
      </c>
      <c r="D188" t="s" s="45">
        <v>614</v>
      </c>
      <c r="E188" s="71">
        <f>2*6371000*ASIN(SQRT(MIN(1,SIN(RADIANS(U188-S188)/2)^2+COS(RADIANS(S188))*COS(RADIANS(U188))*SIN(RADIANS(V188-T188)/2)^2)))</f>
        <v>46.3330848688933</v>
      </c>
      <c r="F188" t="s" s="48">
        <v>70</v>
      </c>
      <c r="G188" t="s" s="48">
        <v>69</v>
      </c>
      <c r="H188" t="s" s="48">
        <v>69</v>
      </c>
      <c r="I188" t="s" s="48">
        <v>69</v>
      </c>
      <c r="J188" t="s" s="48">
        <v>69</v>
      </c>
      <c r="K188" s="72"/>
      <c r="L188" s="72"/>
      <c r="M188" s="50"/>
      <c r="N188" s="49"/>
      <c r="O188" s="50"/>
      <c r="P188" s="50"/>
      <c r="Q188" s="30">
        <v>184</v>
      </c>
      <c r="R188" s="61"/>
      <c r="S188" s="46">
        <f>INDEX('Locations'!$D$6:$D$455,MATCH(B188,'Locations'!$A$6:$A$455,0))</f>
        <v>42.7289764405379</v>
      </c>
      <c r="T188" s="46">
        <f>INDEX('Locations'!$E$6:$E$455,MATCH(B188,'Locations'!$A$6:$A$455,0))</f>
        <v>-73.6816966847791</v>
      </c>
      <c r="U188" s="46">
        <f>INDEX('Locations'!$D$6:$D$455,MATCH(C188,'Locations'!$A$6:$A$455,0))</f>
        <v>42.7289568988148</v>
      </c>
      <c r="V188" s="73">
        <f>INDEX('Locations'!$E$6:$E$455,MATCH(C188,'Locations'!$A$6:$A$455,0))</f>
        <v>-73.68226330745691</v>
      </c>
      <c r="W188" s="44"/>
    </row>
    <row r="189" ht="23.1" customHeight="1">
      <c r="A189" t="s" s="24">
        <v>799</v>
      </c>
      <c r="B189" t="s" s="53">
        <v>337</v>
      </c>
      <c r="C189" t="s" s="53">
        <v>338</v>
      </c>
      <c r="D189" t="s" s="53">
        <v>614</v>
      </c>
      <c r="E189" s="74">
        <f>2*6371000*ASIN(SQRT(MIN(1,SIN(RADIANS(U189-S189)/2)^2+COS(RADIANS(S189))*COS(RADIANS(U189))*SIN(RADIANS(V189-T189)/2)^2)))</f>
        <v>24.838835914119</v>
      </c>
      <c r="F189" t="s" s="48">
        <v>70</v>
      </c>
      <c r="G189" t="s" s="48">
        <v>69</v>
      </c>
      <c r="H189" t="s" s="48">
        <v>69</v>
      </c>
      <c r="I189" t="s" s="48">
        <v>69</v>
      </c>
      <c r="J189" t="s" s="48">
        <v>69</v>
      </c>
      <c r="K189" s="72"/>
      <c r="L189" s="72"/>
      <c r="M189" s="50"/>
      <c r="N189" s="49"/>
      <c r="O189" s="50"/>
      <c r="P189" s="50"/>
      <c r="Q189" s="32">
        <v>185</v>
      </c>
      <c r="R189" s="64"/>
      <c r="S189" s="54">
        <f>INDEX('Locations'!$D$6:$D$455,MATCH(B189,'Locations'!$A$6:$A$455,0))</f>
        <v>42.7287499864523</v>
      </c>
      <c r="T189" s="54">
        <f>INDEX('Locations'!$E$6:$E$455,MATCH(B189,'Locations'!$A$6:$A$455,0))</f>
        <v>-73.68214870961199</v>
      </c>
      <c r="U189" s="54">
        <f>INDEX('Locations'!$D$6:$D$455,MATCH(C189,'Locations'!$A$6:$A$455,0))</f>
        <v>42.7289568988148</v>
      </c>
      <c r="V189" s="75">
        <f>INDEX('Locations'!$E$6:$E$455,MATCH(C189,'Locations'!$A$6:$A$455,0))</f>
        <v>-73.68226330745691</v>
      </c>
      <c r="W189" s="44"/>
    </row>
    <row r="190" ht="23.1" customHeight="1">
      <c r="A190" t="s" s="21">
        <v>800</v>
      </c>
      <c r="B190" t="s" s="45">
        <v>335</v>
      </c>
      <c r="C190" t="s" s="45">
        <v>337</v>
      </c>
      <c r="D190" t="s" s="45">
        <v>614</v>
      </c>
      <c r="E190" s="71">
        <f>2*6371000*ASIN(SQRT(MIN(1,SIN(RADIANS(U190-S190)/2)^2+COS(RADIANS(S190))*COS(RADIANS(U190))*SIN(RADIANS(V190-T190)/2)^2)))</f>
        <v>23.0347430433895</v>
      </c>
      <c r="F190" t="s" s="48">
        <v>70</v>
      </c>
      <c r="G190" t="s" s="48">
        <v>69</v>
      </c>
      <c r="H190" t="s" s="48">
        <v>69</v>
      </c>
      <c r="I190" t="s" s="48">
        <v>69</v>
      </c>
      <c r="J190" t="s" s="48">
        <v>69</v>
      </c>
      <c r="K190" s="72"/>
      <c r="L190" s="72"/>
      <c r="M190" s="50"/>
      <c r="N190" s="49"/>
      <c r="O190" s="50"/>
      <c r="P190" s="50"/>
      <c r="Q190" s="30">
        <v>186</v>
      </c>
      <c r="R190" s="61"/>
      <c r="S190" s="46">
        <f>INDEX('Locations'!$D$6:$D$455,MATCH(B190,'Locations'!$A$6:$A$455,0))</f>
        <v>42.7286292875741</v>
      </c>
      <c r="T190" s="46">
        <f>INDEX('Locations'!$E$6:$E$455,MATCH(B190,'Locations'!$A$6:$A$455,0))</f>
        <v>-73.6819195139221</v>
      </c>
      <c r="U190" s="46">
        <f>INDEX('Locations'!$D$6:$D$455,MATCH(C190,'Locations'!$A$6:$A$455,0))</f>
        <v>42.7287499864523</v>
      </c>
      <c r="V190" s="73">
        <f>INDEX('Locations'!$E$6:$E$455,MATCH(C190,'Locations'!$A$6:$A$455,0))</f>
        <v>-73.68214870961199</v>
      </c>
      <c r="W190" s="44"/>
    </row>
    <row r="191" ht="23.1" customHeight="1">
      <c r="A191" t="s" s="24">
        <v>801</v>
      </c>
      <c r="B191" t="s" s="53">
        <v>335</v>
      </c>
      <c r="C191" t="s" s="53">
        <v>334</v>
      </c>
      <c r="D191" t="s" s="53">
        <v>614</v>
      </c>
      <c r="E191" s="74">
        <f>2*6371000*ASIN(SQRT(MIN(1,SIN(RADIANS(U191-S191)/2)^2+COS(RADIANS(S191))*COS(RADIANS(U191))*SIN(RADIANS(V191-T191)/2)^2)))</f>
        <v>28.246447984117</v>
      </c>
      <c r="F191" t="s" s="48">
        <v>70</v>
      </c>
      <c r="G191" t="s" s="48">
        <v>69</v>
      </c>
      <c r="H191" t="s" s="48">
        <v>69</v>
      </c>
      <c r="I191" t="s" s="48">
        <v>69</v>
      </c>
      <c r="J191" t="s" s="48">
        <v>69</v>
      </c>
      <c r="K191" s="72"/>
      <c r="L191" s="72"/>
      <c r="M191" s="50"/>
      <c r="N191" s="49"/>
      <c r="O191" s="50"/>
      <c r="P191" s="50"/>
      <c r="Q191" s="32">
        <v>187</v>
      </c>
      <c r="R191" s="64"/>
      <c r="S191" s="54">
        <f>INDEX('Locations'!$D$6:$D$455,MATCH(B191,'Locations'!$A$6:$A$455,0))</f>
        <v>42.7286292875741</v>
      </c>
      <c r="T191" s="54">
        <f>INDEX('Locations'!$E$6:$E$455,MATCH(B191,'Locations'!$A$6:$A$455,0))</f>
        <v>-73.6819195139221</v>
      </c>
      <c r="U191" s="54">
        <f>INDEX('Locations'!$D$6:$D$455,MATCH(C191,'Locations'!$A$6:$A$455,0))</f>
        <v>42.7286419322185</v>
      </c>
      <c r="V191" s="75">
        <f>INDEX('Locations'!$E$6:$E$455,MATCH(C191,'Locations'!$A$6:$A$455,0))</f>
        <v>-73.6815741287505</v>
      </c>
      <c r="W191" s="44"/>
    </row>
    <row r="192" ht="23.1" customHeight="1">
      <c r="A192" t="s" s="21">
        <v>802</v>
      </c>
      <c r="B192" t="s" s="45">
        <v>331</v>
      </c>
      <c r="C192" t="s" s="45">
        <v>334</v>
      </c>
      <c r="D192" t="s" s="45">
        <v>614</v>
      </c>
      <c r="E192" s="71">
        <f>2*6371000*ASIN(SQRT(MIN(1,SIN(RADIANS(U192-S192)/2)^2+COS(RADIANS(S192))*COS(RADIANS(U192))*SIN(RADIANS(V192-T192)/2)^2)))</f>
        <v>25.4335164184222</v>
      </c>
      <c r="F192" t="s" s="48">
        <v>70</v>
      </c>
      <c r="G192" t="s" s="48">
        <v>69</v>
      </c>
      <c r="H192" t="s" s="48">
        <v>69</v>
      </c>
      <c r="I192" t="s" s="48">
        <v>69</v>
      </c>
      <c r="J192" t="s" s="48">
        <v>69</v>
      </c>
      <c r="K192" s="72"/>
      <c r="L192" s="72"/>
      <c r="M192" s="50"/>
      <c r="N192" s="49"/>
      <c r="O192" s="50"/>
      <c r="P192" s="50"/>
      <c r="Q192" s="30">
        <v>188</v>
      </c>
      <c r="R192" s="61"/>
      <c r="S192" s="46">
        <f>INDEX('Locations'!$D$6:$D$455,MATCH(B192,'Locations'!$A$6:$A$455,0))</f>
        <v>42.728784471846</v>
      </c>
      <c r="T192" s="46">
        <f>INDEX('Locations'!$E$6:$E$455,MATCH(B192,'Locations'!$A$6:$A$455,0))</f>
        <v>-73.681330608330</v>
      </c>
      <c r="U192" s="46">
        <f>INDEX('Locations'!$D$6:$D$455,MATCH(C192,'Locations'!$A$6:$A$455,0))</f>
        <v>42.7286419322185</v>
      </c>
      <c r="V192" s="73">
        <f>INDEX('Locations'!$E$6:$E$455,MATCH(C192,'Locations'!$A$6:$A$455,0))</f>
        <v>-73.6815741287505</v>
      </c>
      <c r="W192" s="44"/>
    </row>
    <row r="193" ht="23.1" customHeight="1">
      <c r="A193" t="s" s="24">
        <v>803</v>
      </c>
      <c r="B193" t="s" s="53">
        <v>333</v>
      </c>
      <c r="C193" t="s" s="53">
        <v>336</v>
      </c>
      <c r="D193" t="s" s="53">
        <v>614</v>
      </c>
      <c r="E193" s="74">
        <f>2*6371000*ASIN(SQRT(MIN(1,SIN(RADIANS(U193-S193)/2)^2+COS(RADIANS(S193))*COS(RADIANS(U193))*SIN(RADIANS(V193-T193)/2)^2)))</f>
        <v>58.5718731333536</v>
      </c>
      <c r="F193" t="s" s="48">
        <v>70</v>
      </c>
      <c r="G193" t="s" s="48">
        <v>69</v>
      </c>
      <c r="H193" t="s" s="48">
        <v>69</v>
      </c>
      <c r="I193" t="s" s="48">
        <v>69</v>
      </c>
      <c r="J193" t="s" s="48">
        <v>69</v>
      </c>
      <c r="K193" s="72"/>
      <c r="L193" s="72"/>
      <c r="M193" s="50"/>
      <c r="N193" s="49"/>
      <c r="O193" s="50"/>
      <c r="P193" s="50"/>
      <c r="Q193" s="32">
        <v>189</v>
      </c>
      <c r="R193" s="64"/>
      <c r="S193" s="54">
        <f>INDEX('Locations'!$D$6:$D$455,MATCH(B193,'Locations'!$A$6:$A$455,0))</f>
        <v>42.7283936373834</v>
      </c>
      <c r="T193" s="54">
        <f>INDEX('Locations'!$E$6:$E$455,MATCH(B193,'Locations'!$A$6:$A$455,0))</f>
        <v>-73.68121760212181</v>
      </c>
      <c r="U193" s="54">
        <f>INDEX('Locations'!$D$6:$D$455,MATCH(C193,'Locations'!$A$6:$A$455,0))</f>
        <v>42.7285120372353</v>
      </c>
      <c r="V193" s="75">
        <f>INDEX('Locations'!$E$6:$E$455,MATCH(C193,'Locations'!$A$6:$A$455,0))</f>
        <v>-73.6819163306486</v>
      </c>
      <c r="W193" s="44"/>
    </row>
    <row r="194" ht="23.1" customHeight="1">
      <c r="A194" t="s" s="21">
        <v>804</v>
      </c>
      <c r="B194" t="s" s="45">
        <v>320</v>
      </c>
      <c r="C194" t="s" s="45">
        <v>333</v>
      </c>
      <c r="D194" t="s" s="45">
        <v>614</v>
      </c>
      <c r="E194" s="71">
        <f>2*6371000*ASIN(SQRT(MIN(1,SIN(RADIANS(U194-S194)/2)^2+COS(RADIANS(S194))*COS(RADIANS(U194))*SIN(RADIANS(V194-T194)/2)^2)))</f>
        <v>38.7039173159596</v>
      </c>
      <c r="F194" t="s" s="48">
        <v>70</v>
      </c>
      <c r="G194" t="s" s="48">
        <v>69</v>
      </c>
      <c r="H194" t="s" s="48">
        <v>69</v>
      </c>
      <c r="I194" t="s" s="48">
        <v>69</v>
      </c>
      <c r="J194" t="s" s="48">
        <v>69</v>
      </c>
      <c r="K194" s="72"/>
      <c r="L194" s="72"/>
      <c r="M194" s="50"/>
      <c r="N194" s="49"/>
      <c r="O194" s="50"/>
      <c r="P194" s="50"/>
      <c r="Q194" s="30">
        <v>190</v>
      </c>
      <c r="R194" s="61"/>
      <c r="S194" s="46">
        <f>INDEX('Locations'!$D$6:$D$455,MATCH(B194,'Locations'!$A$6:$A$455,0))</f>
        <v>42.728325816109</v>
      </c>
      <c r="T194" s="46">
        <f>INDEX('Locations'!$E$6:$E$455,MATCH(B194,'Locations'!$A$6:$A$455,0))</f>
        <v>-73.6807528441951</v>
      </c>
      <c r="U194" s="46">
        <f>INDEX('Locations'!$D$6:$D$455,MATCH(C194,'Locations'!$A$6:$A$455,0))</f>
        <v>42.7283936373834</v>
      </c>
      <c r="V194" s="73">
        <f>INDEX('Locations'!$E$6:$E$455,MATCH(C194,'Locations'!$A$6:$A$455,0))</f>
        <v>-73.68121760212181</v>
      </c>
      <c r="W194" s="44"/>
    </row>
    <row r="195" ht="23.1" customHeight="1">
      <c r="A195" t="s" s="24">
        <v>805</v>
      </c>
      <c r="B195" t="s" s="53">
        <v>336</v>
      </c>
      <c r="C195" t="s" s="53">
        <v>335</v>
      </c>
      <c r="D195" t="s" s="53">
        <v>614</v>
      </c>
      <c r="E195" s="74">
        <f>2*6371000*ASIN(SQRT(MIN(1,SIN(RADIANS(U195-S195)/2)^2+COS(RADIANS(S195))*COS(RADIANS(U195))*SIN(RADIANS(V195-T195)/2)^2)))</f>
        <v>13.0402353261304</v>
      </c>
      <c r="F195" t="s" s="48">
        <v>70</v>
      </c>
      <c r="G195" t="s" s="48">
        <v>69</v>
      </c>
      <c r="H195" t="s" s="48">
        <v>69</v>
      </c>
      <c r="I195" t="s" s="48">
        <v>69</v>
      </c>
      <c r="J195" t="s" s="48">
        <v>69</v>
      </c>
      <c r="K195" s="72"/>
      <c r="L195" s="72"/>
      <c r="M195" s="50"/>
      <c r="N195" s="49"/>
      <c r="O195" s="50"/>
      <c r="P195" s="50"/>
      <c r="Q195" s="32">
        <v>191</v>
      </c>
      <c r="R195" s="64"/>
      <c r="S195" s="54">
        <f>INDEX('Locations'!$D$6:$D$455,MATCH(B195,'Locations'!$A$6:$A$455,0))</f>
        <v>42.7285120372353</v>
      </c>
      <c r="T195" s="54">
        <f>INDEX('Locations'!$E$6:$E$455,MATCH(B195,'Locations'!$A$6:$A$455,0))</f>
        <v>-73.6819163306486</v>
      </c>
      <c r="U195" s="54">
        <f>INDEX('Locations'!$D$6:$D$455,MATCH(C195,'Locations'!$A$6:$A$455,0))</f>
        <v>42.7286292875741</v>
      </c>
      <c r="V195" s="75">
        <f>INDEX('Locations'!$E$6:$E$455,MATCH(C195,'Locations'!$A$6:$A$455,0))</f>
        <v>-73.6819195139221</v>
      </c>
      <c r="W195" s="44"/>
    </row>
    <row r="196" ht="23.1" customHeight="1">
      <c r="A196" t="s" s="21">
        <v>806</v>
      </c>
      <c r="B196" t="s" s="45">
        <v>338</v>
      </c>
      <c r="C196" t="s" s="45">
        <v>340</v>
      </c>
      <c r="D196" t="s" s="45">
        <v>614</v>
      </c>
      <c r="E196" s="71">
        <f>2*6371000*ASIN(SQRT(MIN(1,SIN(RADIANS(U196-S196)/2)^2+COS(RADIANS(S196))*COS(RADIANS(U196))*SIN(RADIANS(V196-T196)/2)^2)))</f>
        <v>21.1017033569156</v>
      </c>
      <c r="F196" t="s" s="48">
        <v>70</v>
      </c>
      <c r="G196" t="s" s="48">
        <v>69</v>
      </c>
      <c r="H196" t="s" s="48">
        <v>69</v>
      </c>
      <c r="I196" t="s" s="48">
        <v>69</v>
      </c>
      <c r="J196" t="s" s="48">
        <v>69</v>
      </c>
      <c r="K196" s="72"/>
      <c r="L196" s="72"/>
      <c r="M196" s="50"/>
      <c r="N196" s="49"/>
      <c r="O196" s="50"/>
      <c r="P196" s="50"/>
      <c r="Q196" s="30">
        <v>192</v>
      </c>
      <c r="R196" s="61"/>
      <c r="S196" s="46">
        <f>INDEX('Locations'!$D$6:$D$455,MATCH(B196,'Locations'!$A$6:$A$455,0))</f>
        <v>42.7289568988148</v>
      </c>
      <c r="T196" s="46">
        <f>INDEX('Locations'!$E$6:$E$455,MATCH(B196,'Locations'!$A$6:$A$455,0))</f>
        <v>-73.68226330745691</v>
      </c>
      <c r="U196" s="46">
        <f>INDEX('Locations'!$D$6:$D$455,MATCH(C196,'Locations'!$A$6:$A$455,0))</f>
        <v>42.728876432896</v>
      </c>
      <c r="V196" s="73">
        <f>INDEX('Locations'!$E$6:$E$455,MATCH(C196,'Locations'!$A$6:$A$455,0))</f>
        <v>-73.682497278057</v>
      </c>
      <c r="W196" s="44"/>
    </row>
    <row r="197" ht="23.1" customHeight="1">
      <c r="A197" t="s" s="24">
        <v>807</v>
      </c>
      <c r="B197" t="s" s="53">
        <v>339</v>
      </c>
      <c r="C197" t="s" s="53">
        <v>340</v>
      </c>
      <c r="D197" t="s" s="53">
        <v>614</v>
      </c>
      <c r="E197" s="74">
        <f>2*6371000*ASIN(SQRT(MIN(1,SIN(RADIANS(U197-S197)/2)^2+COS(RADIANS(S197))*COS(RADIANS(U197))*SIN(RADIANS(V197-T197)/2)^2)))</f>
        <v>22.428855330383</v>
      </c>
      <c r="F197" t="s" s="48">
        <v>70</v>
      </c>
      <c r="G197" t="s" s="48">
        <v>69</v>
      </c>
      <c r="H197" t="s" s="48">
        <v>69</v>
      </c>
      <c r="I197" t="s" s="48">
        <v>69</v>
      </c>
      <c r="J197" t="s" s="48">
        <v>69</v>
      </c>
      <c r="K197" s="72"/>
      <c r="L197" s="72"/>
      <c r="M197" s="50"/>
      <c r="N197" s="49"/>
      <c r="O197" s="50"/>
      <c r="P197" s="50"/>
      <c r="Q197" s="32">
        <v>193</v>
      </c>
      <c r="R197" s="64"/>
      <c r="S197" s="54">
        <f>INDEX('Locations'!$D$6:$D$455,MATCH(B197,'Locations'!$A$6:$A$455,0))</f>
        <v>42.7287361922948</v>
      </c>
      <c r="T197" s="54">
        <f>INDEX('Locations'!$E$6:$E$455,MATCH(B197,'Locations'!$A$6:$A$455,0))</f>
        <v>-73.68269464101211</v>
      </c>
      <c r="U197" s="54">
        <f>INDEX('Locations'!$D$6:$D$455,MATCH(C197,'Locations'!$A$6:$A$455,0))</f>
        <v>42.728876432896</v>
      </c>
      <c r="V197" s="75">
        <f>INDEX('Locations'!$E$6:$E$455,MATCH(C197,'Locations'!$A$6:$A$455,0))</f>
        <v>-73.682497278057</v>
      </c>
      <c r="W197" s="44"/>
    </row>
    <row r="198" ht="23.1" customHeight="1">
      <c r="A198" t="s" s="21">
        <v>808</v>
      </c>
      <c r="B198" t="s" s="45">
        <v>335</v>
      </c>
      <c r="C198" t="s" s="45">
        <v>339</v>
      </c>
      <c r="D198" t="s" s="45">
        <v>614</v>
      </c>
      <c r="E198" s="71">
        <f>2*6371000*ASIN(SQRT(MIN(1,SIN(RADIANS(U198-S198)/2)^2+COS(RADIANS(S198))*COS(RADIANS(U198))*SIN(RADIANS(V198-T198)/2)^2)))</f>
        <v>64.419439073733</v>
      </c>
      <c r="F198" t="s" s="48">
        <v>70</v>
      </c>
      <c r="G198" t="s" s="48">
        <v>69</v>
      </c>
      <c r="H198" t="s" s="48">
        <v>69</v>
      </c>
      <c r="I198" t="s" s="48">
        <v>69</v>
      </c>
      <c r="J198" t="s" s="48">
        <v>69</v>
      </c>
      <c r="K198" s="72"/>
      <c r="L198" s="72"/>
      <c r="M198" s="50"/>
      <c r="N198" s="49"/>
      <c r="O198" s="50"/>
      <c r="P198" s="50"/>
      <c r="Q198" s="30">
        <v>194</v>
      </c>
      <c r="R198" s="61"/>
      <c r="S198" s="46">
        <f>INDEX('Locations'!$D$6:$D$455,MATCH(B198,'Locations'!$A$6:$A$455,0))</f>
        <v>42.7286292875741</v>
      </c>
      <c r="T198" s="46">
        <f>INDEX('Locations'!$E$6:$E$455,MATCH(B198,'Locations'!$A$6:$A$455,0))</f>
        <v>-73.6819195139221</v>
      </c>
      <c r="U198" s="46">
        <f>INDEX('Locations'!$D$6:$D$455,MATCH(C198,'Locations'!$A$6:$A$455,0))</f>
        <v>42.7287361922948</v>
      </c>
      <c r="V198" s="73">
        <f>INDEX('Locations'!$E$6:$E$455,MATCH(C198,'Locations'!$A$6:$A$455,0))</f>
        <v>-73.68269464101211</v>
      </c>
      <c r="W198" s="44"/>
    </row>
    <row r="199" ht="23.1" customHeight="1">
      <c r="A199" t="s" s="24">
        <v>809</v>
      </c>
      <c r="B199" t="s" s="53">
        <v>119</v>
      </c>
      <c r="C199" t="s" s="53">
        <v>281</v>
      </c>
      <c r="D199" t="s" s="53">
        <v>669</v>
      </c>
      <c r="E199" s="74">
        <f>2*6371000*ASIN(SQRT(MIN(1,SIN(RADIANS(U199-S199)/2)^2+COS(RADIANS(S199))*COS(RADIANS(U199))*SIN(RADIANS(V199-T199)/2)^2)))</f>
        <v>36.1589526750167</v>
      </c>
      <c r="F199" t="s" s="48">
        <v>70</v>
      </c>
      <c r="G199" t="s" s="48">
        <v>69</v>
      </c>
      <c r="H199" t="s" s="48">
        <v>69</v>
      </c>
      <c r="I199" t="s" s="48">
        <v>69</v>
      </c>
      <c r="J199" t="s" s="48">
        <v>69</v>
      </c>
      <c r="K199" s="72"/>
      <c r="L199" s="72"/>
      <c r="M199" s="50"/>
      <c r="N199" s="49"/>
      <c r="O199" s="50"/>
      <c r="P199" s="50"/>
      <c r="Q199" s="32">
        <v>195</v>
      </c>
      <c r="R199" s="64"/>
      <c r="S199" s="54">
        <f>INDEX('Locations'!$D$6:$D$455,MATCH(B199,'Locations'!$A$6:$A$455,0))</f>
        <v>42.7313769480033</v>
      </c>
      <c r="T199" s="54">
        <f>INDEX('Locations'!$E$6:$E$455,MATCH(B199,'Locations'!$A$6:$A$455,0))</f>
        <v>-73.6791896873967</v>
      </c>
      <c r="U199" s="54">
        <f>INDEX('Locations'!$D$6:$D$455,MATCH(C199,'Locations'!$A$6:$A$455,0))</f>
        <v>42.7310582088079</v>
      </c>
      <c r="V199" s="75">
        <f>INDEX('Locations'!$E$6:$E$455,MATCH(C199,'Locations'!$A$6:$A$455,0))</f>
        <v>-73.6792773969415</v>
      </c>
      <c r="W199" s="44"/>
    </row>
    <row r="200" ht="23.1" customHeight="1">
      <c r="A200" t="s" s="21">
        <v>810</v>
      </c>
      <c r="B200" t="s" s="45">
        <v>157</v>
      </c>
      <c r="C200" t="s" s="45">
        <v>341</v>
      </c>
      <c r="D200" t="s" s="45">
        <v>614</v>
      </c>
      <c r="E200" s="71">
        <f>2*6371000*ASIN(SQRT(MIN(1,SIN(RADIANS(U200-S200)/2)^2+COS(RADIANS(S200))*COS(RADIANS(U200))*SIN(RADIANS(V200-T200)/2)^2)))</f>
        <v>24.9297133177599</v>
      </c>
      <c r="F200" t="s" s="48">
        <v>70</v>
      </c>
      <c r="G200" t="s" s="48">
        <v>69</v>
      </c>
      <c r="H200" t="s" s="48">
        <v>69</v>
      </c>
      <c r="I200" t="s" s="48">
        <v>69</v>
      </c>
      <c r="J200" t="s" s="48">
        <v>69</v>
      </c>
      <c r="K200" s="72"/>
      <c r="L200" s="72"/>
      <c r="M200" s="50"/>
      <c r="N200" s="49"/>
      <c r="O200" s="50"/>
      <c r="P200" s="50"/>
      <c r="Q200" s="30">
        <v>196</v>
      </c>
      <c r="R200" s="61"/>
      <c r="S200" s="46">
        <f>INDEX('Locations'!$D$6:$D$455,MATCH(B200,'Locations'!$A$6:$A$455,0))</f>
        <v>42.7313610903711</v>
      </c>
      <c r="T200" s="46">
        <f>INDEX('Locations'!$E$6:$E$455,MATCH(B200,'Locations'!$A$6:$A$455,0))</f>
        <v>-73.6798278892484</v>
      </c>
      <c r="U200" s="46">
        <f>INDEX('Locations'!$D$6:$D$455,MATCH(C200,'Locations'!$A$6:$A$455,0))</f>
        <v>42.7311386747266</v>
      </c>
      <c r="V200" s="73">
        <f>INDEX('Locations'!$E$6:$E$455,MATCH(C200,'Locations'!$A$6:$A$455,0))</f>
        <v>-73.6798663025336</v>
      </c>
      <c r="W200" s="44"/>
    </row>
    <row r="201" ht="23.1" customHeight="1">
      <c r="A201" t="s" s="24">
        <v>811</v>
      </c>
      <c r="B201" t="s" s="53">
        <v>281</v>
      </c>
      <c r="C201" t="s" s="53">
        <v>341</v>
      </c>
      <c r="D201" t="s" s="53">
        <v>614</v>
      </c>
      <c r="E201" s="74">
        <f>2*6371000*ASIN(SQRT(MIN(1,SIN(RADIANS(U201-S201)/2)^2+COS(RADIANS(S201))*COS(RADIANS(U201))*SIN(RADIANS(V201-T201)/2)^2)))</f>
        <v>48.9256298343109</v>
      </c>
      <c r="F201" t="s" s="48">
        <v>70</v>
      </c>
      <c r="G201" t="s" s="48">
        <v>69</v>
      </c>
      <c r="H201" t="s" s="48">
        <v>69</v>
      </c>
      <c r="I201" t="s" s="48">
        <v>69</v>
      </c>
      <c r="J201" t="s" s="48">
        <v>69</v>
      </c>
      <c r="K201" s="72"/>
      <c r="L201" s="72"/>
      <c r="M201" s="50"/>
      <c r="N201" s="49"/>
      <c r="O201" s="50"/>
      <c r="P201" s="50"/>
      <c r="Q201" s="32">
        <v>197</v>
      </c>
      <c r="R201" s="64"/>
      <c r="S201" s="54">
        <f>INDEX('Locations'!$D$6:$D$455,MATCH(B201,'Locations'!$A$6:$A$455,0))</f>
        <v>42.7310582088079</v>
      </c>
      <c r="T201" s="54">
        <f>INDEX('Locations'!$E$6:$E$455,MATCH(B201,'Locations'!$A$6:$A$455,0))</f>
        <v>-73.6792773969415</v>
      </c>
      <c r="U201" s="54">
        <f>INDEX('Locations'!$D$6:$D$455,MATCH(C201,'Locations'!$A$6:$A$455,0))</f>
        <v>42.7311386747266</v>
      </c>
      <c r="V201" s="75">
        <f>INDEX('Locations'!$E$6:$E$455,MATCH(C201,'Locations'!$A$6:$A$455,0))</f>
        <v>-73.6798663025336</v>
      </c>
      <c r="W201" s="44"/>
    </row>
    <row r="202" ht="23.1" customHeight="1">
      <c r="A202" t="s" s="21">
        <v>812</v>
      </c>
      <c r="B202" t="s" s="45">
        <v>229</v>
      </c>
      <c r="C202" t="s" s="45">
        <v>190</v>
      </c>
      <c r="D202" t="s" s="45">
        <v>614</v>
      </c>
      <c r="E202" s="71">
        <f>2*6371000*ASIN(SQRT(MIN(1,SIN(RADIANS(U202-S202)/2)^2+COS(RADIANS(S202))*COS(RADIANS(U202))*SIN(RADIANS(V202-T202)/2)^2)))</f>
        <v>84.3500564111646</v>
      </c>
      <c r="F202" t="s" s="48">
        <v>70</v>
      </c>
      <c r="G202" t="s" s="48">
        <v>69</v>
      </c>
      <c r="H202" t="s" s="48">
        <v>69</v>
      </c>
      <c r="I202" t="s" s="48">
        <v>69</v>
      </c>
      <c r="J202" t="s" s="48">
        <v>69</v>
      </c>
      <c r="K202" s="72"/>
      <c r="L202" s="72"/>
      <c r="M202" s="50"/>
      <c r="N202" s="49"/>
      <c r="O202" s="50"/>
      <c r="P202" s="50"/>
      <c r="Q202" s="30">
        <v>198</v>
      </c>
      <c r="R202" s="61"/>
      <c r="S202" s="46">
        <f>INDEX('Locations'!$D$6:$D$455,MATCH(B202,'Locations'!$A$6:$A$455,0))</f>
        <v>42.7325065953458</v>
      </c>
      <c r="T202" s="46">
        <f>INDEX('Locations'!$E$6:$E$455,MATCH(B202,'Locations'!$A$6:$A$455,0))</f>
        <v>-73.6726721044902</v>
      </c>
      <c r="U202" s="46">
        <f>INDEX('Locations'!$D$6:$D$455,MATCH(C202,'Locations'!$A$6:$A$455,0))</f>
        <v>42.7332453932335</v>
      </c>
      <c r="V202" s="73">
        <f>INDEX('Locations'!$E$6:$E$455,MATCH(C202,'Locations'!$A$6:$A$455,0))</f>
        <v>-73.67243780241181</v>
      </c>
      <c r="W202" s="44"/>
    </row>
    <row r="203" ht="23.1" customHeight="1">
      <c r="A203" t="s" s="24">
        <v>813</v>
      </c>
      <c r="B203" t="s" s="53">
        <v>322</v>
      </c>
      <c r="C203" t="s" s="53">
        <v>342</v>
      </c>
      <c r="D203" t="s" s="53">
        <v>614</v>
      </c>
      <c r="E203" s="74">
        <f>2*6371000*ASIN(SQRT(MIN(1,SIN(RADIANS(U203-S203)/2)^2+COS(RADIANS(S203))*COS(RADIANS(U203))*SIN(RADIANS(V203-T203)/2)^2)))</f>
        <v>27.8666744610815</v>
      </c>
      <c r="F203" t="s" s="48">
        <v>70</v>
      </c>
      <c r="G203" t="s" s="48">
        <v>69</v>
      </c>
      <c r="H203" t="s" s="48">
        <v>69</v>
      </c>
      <c r="I203" t="s" s="48">
        <v>69</v>
      </c>
      <c r="J203" t="s" s="48">
        <v>69</v>
      </c>
      <c r="K203" s="72"/>
      <c r="L203" s="72"/>
      <c r="M203" s="50"/>
      <c r="N203" s="49"/>
      <c r="O203" s="50"/>
      <c r="P203" s="50"/>
      <c r="Q203" s="32">
        <v>199</v>
      </c>
      <c r="R203" s="64"/>
      <c r="S203" s="54">
        <f>INDEX('Locations'!$D$6:$D$455,MATCH(B203,'Locations'!$A$6:$A$455,0))</f>
        <v>42.7290005803136</v>
      </c>
      <c r="T203" s="54">
        <f>INDEX('Locations'!$E$6:$E$455,MATCH(B203,'Locations'!$A$6:$A$455,0))</f>
        <v>-73.6785181862188</v>
      </c>
      <c r="U203" s="54">
        <f>INDEX('Locations'!$D$6:$D$455,MATCH(C203,'Locations'!$A$6:$A$455,0))</f>
        <v>42.7289201143948</v>
      </c>
      <c r="V203" s="75">
        <f>INDEX('Locations'!$E$6:$E$455,MATCH(C203,'Locations'!$A$6:$A$455,0))</f>
        <v>-73.6781950839616</v>
      </c>
      <c r="W203" s="44"/>
    </row>
    <row r="204" ht="23.1" customHeight="1">
      <c r="A204" t="s" s="21">
        <v>814</v>
      </c>
      <c r="B204" t="s" s="45">
        <v>103</v>
      </c>
      <c r="C204" t="s" s="45">
        <v>342</v>
      </c>
      <c r="D204" t="s" s="45">
        <v>614</v>
      </c>
      <c r="E204" s="71">
        <f>2*6371000*ASIN(SQRT(MIN(1,SIN(RADIANS(U204-S204)/2)^2+COS(RADIANS(S204))*COS(RADIANS(U204))*SIN(RADIANS(V204-T204)/2)^2)))</f>
        <v>80.0431651396183</v>
      </c>
      <c r="F204" t="s" s="48">
        <v>70</v>
      </c>
      <c r="G204" t="s" s="48">
        <v>69</v>
      </c>
      <c r="H204" t="s" s="48">
        <v>69</v>
      </c>
      <c r="I204" t="s" s="48">
        <v>69</v>
      </c>
      <c r="J204" t="s" s="48">
        <v>69</v>
      </c>
      <c r="K204" s="72"/>
      <c r="L204" s="72"/>
      <c r="M204" s="50"/>
      <c r="N204" s="49"/>
      <c r="O204" s="50"/>
      <c r="P204" s="50"/>
      <c r="Q204" s="30">
        <v>200</v>
      </c>
      <c r="R204" s="61"/>
      <c r="S204" s="46">
        <f>INDEX('Locations'!$D$6:$D$455,MATCH(B204,'Locations'!$A$6:$A$455,0))</f>
        <v>42.7282253057696</v>
      </c>
      <c r="T204" s="46">
        <f>INDEX('Locations'!$E$6:$E$455,MATCH(B204,'Locations'!$A$6:$A$455,0))</f>
        <v>-73.6784512833453</v>
      </c>
      <c r="U204" s="46">
        <f>INDEX('Locations'!$D$6:$D$455,MATCH(C204,'Locations'!$A$6:$A$455,0))</f>
        <v>42.7289201143948</v>
      </c>
      <c r="V204" s="73">
        <f>INDEX('Locations'!$E$6:$E$455,MATCH(C204,'Locations'!$A$6:$A$455,0))</f>
        <v>-73.6781950839616</v>
      </c>
      <c r="W204" s="44"/>
    </row>
    <row r="205" ht="23.1" customHeight="1">
      <c r="A205" t="s" s="24">
        <v>815</v>
      </c>
      <c r="B205" t="s" s="53">
        <v>183</v>
      </c>
      <c r="C205" t="s" s="53">
        <v>342</v>
      </c>
      <c r="D205" t="s" s="53">
        <v>614</v>
      </c>
      <c r="E205" s="74">
        <f>2*6371000*ASIN(SQRT(MIN(1,SIN(RADIANS(U205-S205)/2)^2+COS(RADIANS(S205))*COS(RADIANS(U205))*SIN(RADIANS(V205-T205)/2)^2)))</f>
        <v>32.3537633514581</v>
      </c>
      <c r="F205" t="s" s="48">
        <v>70</v>
      </c>
      <c r="G205" t="s" s="48">
        <v>69</v>
      </c>
      <c r="H205" t="s" s="48">
        <v>69</v>
      </c>
      <c r="I205" t="s" s="48">
        <v>69</v>
      </c>
      <c r="J205" t="s" s="48">
        <v>69</v>
      </c>
      <c r="K205" s="72"/>
      <c r="L205" s="72"/>
      <c r="M205" s="50"/>
      <c r="N205" s="49"/>
      <c r="O205" s="50"/>
      <c r="P205" s="50"/>
      <c r="Q205" s="32">
        <v>201</v>
      </c>
      <c r="R205" s="64"/>
      <c r="S205" s="54">
        <f>INDEX('Locations'!$D$6:$D$455,MATCH(B205,'Locations'!$A$6:$A$455,0))</f>
        <v>42.7292099242771</v>
      </c>
      <c r="T205" s="54">
        <f>INDEX('Locations'!$E$6:$E$455,MATCH(B205,'Locations'!$A$6:$A$455,0))</f>
        <v>-73.67815983327949</v>
      </c>
      <c r="U205" s="54">
        <f>INDEX('Locations'!$D$6:$D$455,MATCH(C205,'Locations'!$A$6:$A$455,0))</f>
        <v>42.7289201143948</v>
      </c>
      <c r="V205" s="75">
        <f>INDEX('Locations'!$E$6:$E$455,MATCH(C205,'Locations'!$A$6:$A$455,0))</f>
        <v>-73.6781950839616</v>
      </c>
      <c r="W205" s="44"/>
    </row>
    <row r="206" ht="23.1" customHeight="1">
      <c r="A206" t="s" s="21">
        <v>816</v>
      </c>
      <c r="B206" t="s" s="45">
        <v>271</v>
      </c>
      <c r="C206" t="s" s="45">
        <v>343</v>
      </c>
      <c r="D206" t="s" s="45">
        <v>614</v>
      </c>
      <c r="E206" s="71">
        <f>2*6371000*ASIN(SQRT(MIN(1,SIN(RADIANS(U206-S206)/2)^2+COS(RADIANS(S206))*COS(RADIANS(U206))*SIN(RADIANS(V206-T206)/2)^2)))</f>
        <v>122.419867753054</v>
      </c>
      <c r="F206" t="s" s="48">
        <v>70</v>
      </c>
      <c r="G206" t="s" s="48">
        <v>69</v>
      </c>
      <c r="H206" t="s" s="48">
        <v>69</v>
      </c>
      <c r="I206" t="s" s="48">
        <v>69</v>
      </c>
      <c r="J206" t="s" s="48">
        <v>69</v>
      </c>
      <c r="K206" s="72"/>
      <c r="L206" s="72"/>
      <c r="M206" s="50"/>
      <c r="N206" s="49"/>
      <c r="O206" s="50"/>
      <c r="P206" s="50"/>
      <c r="Q206" s="30">
        <v>202</v>
      </c>
      <c r="R206" s="61"/>
      <c r="S206" s="46">
        <f>INDEX('Locations'!$D$6:$D$455,MATCH(B206,'Locations'!$A$6:$A$455,0))</f>
        <v>42.7300581323889</v>
      </c>
      <c r="T206" s="46">
        <f>INDEX('Locations'!$E$6:$E$455,MATCH(B206,'Locations'!$A$6:$A$455,0))</f>
        <v>-73.6774263234184</v>
      </c>
      <c r="U206" s="46">
        <f>INDEX('Locations'!$D$6:$D$455,MATCH(C206,'Locations'!$A$6:$A$455,0))</f>
        <v>42.7289729919986</v>
      </c>
      <c r="V206" s="73">
        <f>INDEX('Locations'!$E$6:$E$455,MATCH(C206,'Locations'!$A$6:$A$455,0))</f>
        <v>-73.6776793936593</v>
      </c>
      <c r="W206" s="44"/>
    </row>
    <row r="207" ht="23.1" customHeight="1">
      <c r="A207" t="s" s="24">
        <v>817</v>
      </c>
      <c r="B207" t="s" s="53">
        <v>342</v>
      </c>
      <c r="C207" t="s" s="53">
        <v>343</v>
      </c>
      <c r="D207" t="s" s="53">
        <v>614</v>
      </c>
      <c r="E207" s="74">
        <f>2*6371000*ASIN(SQRT(MIN(1,SIN(RADIANS(U207-S207)/2)^2+COS(RADIANS(S207))*COS(RADIANS(U207))*SIN(RADIANS(V207-T207)/2)^2)))</f>
        <v>42.5303177780721</v>
      </c>
      <c r="F207" t="s" s="48">
        <v>70</v>
      </c>
      <c r="G207" t="s" s="48">
        <v>69</v>
      </c>
      <c r="H207" t="s" s="48">
        <v>69</v>
      </c>
      <c r="I207" t="s" s="48">
        <v>69</v>
      </c>
      <c r="J207" t="s" s="48">
        <v>69</v>
      </c>
      <c r="K207" s="72"/>
      <c r="L207" s="72"/>
      <c r="M207" s="50"/>
      <c r="N207" s="49"/>
      <c r="O207" s="50"/>
      <c r="P207" s="50"/>
      <c r="Q207" s="32">
        <v>203</v>
      </c>
      <c r="R207" s="64"/>
      <c r="S207" s="54">
        <f>INDEX('Locations'!$D$6:$D$455,MATCH(B207,'Locations'!$A$6:$A$455,0))</f>
        <v>42.7289201143948</v>
      </c>
      <c r="T207" s="54">
        <f>INDEX('Locations'!$E$6:$E$455,MATCH(B207,'Locations'!$A$6:$A$455,0))</f>
        <v>-73.6781950839616</v>
      </c>
      <c r="U207" s="54">
        <f>INDEX('Locations'!$D$6:$D$455,MATCH(C207,'Locations'!$A$6:$A$455,0))</f>
        <v>42.7289729919986</v>
      </c>
      <c r="V207" s="75">
        <f>INDEX('Locations'!$E$6:$E$455,MATCH(C207,'Locations'!$A$6:$A$455,0))</f>
        <v>-73.6776793936593</v>
      </c>
      <c r="W207" s="44"/>
    </row>
    <row r="208" ht="23.1" customHeight="1">
      <c r="A208" t="s" s="21">
        <v>818</v>
      </c>
      <c r="B208" t="s" s="45">
        <v>344</v>
      </c>
      <c r="C208" t="s" s="45">
        <v>343</v>
      </c>
      <c r="D208" t="s" s="45">
        <v>614</v>
      </c>
      <c r="E208" s="71">
        <f>2*6371000*ASIN(SQRT(MIN(1,SIN(RADIANS(U208-S208)/2)^2+COS(RADIANS(S208))*COS(RADIANS(U208))*SIN(RADIANS(V208-T208)/2)^2)))</f>
        <v>32.985143494594</v>
      </c>
      <c r="F208" t="s" s="48">
        <v>70</v>
      </c>
      <c r="G208" t="s" s="48">
        <v>69</v>
      </c>
      <c r="H208" t="s" s="48">
        <v>69</v>
      </c>
      <c r="I208" t="s" s="48">
        <v>69</v>
      </c>
      <c r="J208" t="s" s="48">
        <v>69</v>
      </c>
      <c r="K208" s="72"/>
      <c r="L208" s="72"/>
      <c r="M208" s="50"/>
      <c r="N208" s="49"/>
      <c r="O208" s="50"/>
      <c r="P208" s="50"/>
      <c r="Q208" s="30">
        <v>204</v>
      </c>
      <c r="R208" s="61"/>
      <c r="S208" s="46">
        <f>INDEX('Locations'!$D$6:$D$455,MATCH(B208,'Locations'!$A$6:$A$455,0))</f>
        <v>42.7289385066048</v>
      </c>
      <c r="T208" s="46">
        <f>INDEX('Locations'!$E$6:$E$455,MATCH(B208,'Locations'!$A$6:$A$455,0))</f>
        <v>-73.67727830120209</v>
      </c>
      <c r="U208" s="46">
        <f>INDEX('Locations'!$D$6:$D$455,MATCH(C208,'Locations'!$A$6:$A$455,0))</f>
        <v>42.7289729919986</v>
      </c>
      <c r="V208" s="73">
        <f>INDEX('Locations'!$E$6:$E$455,MATCH(C208,'Locations'!$A$6:$A$455,0))</f>
        <v>-73.6776793936593</v>
      </c>
      <c r="W208" s="44"/>
    </row>
    <row r="209" ht="23.1" customHeight="1">
      <c r="A209" t="s" s="24">
        <v>819</v>
      </c>
      <c r="B209" t="s" s="53">
        <v>175</v>
      </c>
      <c r="C209" t="s" s="53">
        <v>347</v>
      </c>
      <c r="D209" t="s" s="53">
        <v>614</v>
      </c>
      <c r="E209" s="74">
        <f>2*6371000*ASIN(SQRT(MIN(1,SIN(RADIANS(U209-S209)/2)^2+COS(RADIANS(S209))*COS(RADIANS(U209))*SIN(RADIANS(V209-T209)/2)^2)))</f>
        <v>38.0945541233225</v>
      </c>
      <c r="F209" t="s" s="48">
        <v>70</v>
      </c>
      <c r="G209" t="s" s="48">
        <v>69</v>
      </c>
      <c r="H209" t="s" s="48">
        <v>69</v>
      </c>
      <c r="I209" t="s" s="48">
        <v>69</v>
      </c>
      <c r="J209" t="s" s="48">
        <v>69</v>
      </c>
      <c r="K209" s="72"/>
      <c r="L209" s="72"/>
      <c r="M209" s="50"/>
      <c r="N209" s="49"/>
      <c r="O209" s="50"/>
      <c r="P209" s="50"/>
      <c r="Q209" s="32">
        <v>205</v>
      </c>
      <c r="R209" s="64"/>
      <c r="S209" s="54">
        <f>INDEX('Locations'!$D$6:$D$455,MATCH(B209,'Locations'!$A$6:$A$455,0))</f>
        <v>42.7298997202713</v>
      </c>
      <c r="T209" s="54">
        <f>INDEX('Locations'!$E$6:$E$455,MATCH(B209,'Locations'!$A$6:$A$455,0))</f>
        <v>-73.6766696757312</v>
      </c>
      <c r="U209" s="54">
        <f>INDEX('Locations'!$D$6:$D$455,MATCH(C209,'Locations'!$A$6:$A$455,0))</f>
        <v>42.7299604237732</v>
      </c>
      <c r="V209" s="75">
        <f>INDEX('Locations'!$E$6:$E$455,MATCH(C209,'Locations'!$A$6:$A$455,0))</f>
        <v>-73.6771286873489</v>
      </c>
      <c r="W209" s="44"/>
    </row>
    <row r="210" ht="23.1" customHeight="1">
      <c r="A210" t="s" s="21">
        <v>820</v>
      </c>
      <c r="B210" t="s" s="45">
        <v>271</v>
      </c>
      <c r="C210" t="s" s="45">
        <v>347</v>
      </c>
      <c r="D210" t="s" s="45">
        <v>614</v>
      </c>
      <c r="E210" s="71">
        <f>2*6371000*ASIN(SQRT(MIN(1,SIN(RADIANS(U210-S210)/2)^2+COS(RADIANS(S210))*COS(RADIANS(U210))*SIN(RADIANS(V210-T210)/2)^2)))</f>
        <v>26.6280248097903</v>
      </c>
      <c r="F210" t="s" s="48">
        <v>70</v>
      </c>
      <c r="G210" t="s" s="48">
        <v>69</v>
      </c>
      <c r="H210" t="s" s="48">
        <v>69</v>
      </c>
      <c r="I210" t="s" s="48">
        <v>69</v>
      </c>
      <c r="J210" t="s" s="48">
        <v>69</v>
      </c>
      <c r="K210" s="72"/>
      <c r="L210" s="72"/>
      <c r="M210" s="50"/>
      <c r="N210" s="49"/>
      <c r="O210" s="50"/>
      <c r="P210" s="50"/>
      <c r="Q210" s="30">
        <v>206</v>
      </c>
      <c r="R210" s="61"/>
      <c r="S210" s="46">
        <f>INDEX('Locations'!$D$6:$D$455,MATCH(B210,'Locations'!$A$6:$A$455,0))</f>
        <v>42.7300581323889</v>
      </c>
      <c r="T210" s="46">
        <f>INDEX('Locations'!$E$6:$E$455,MATCH(B210,'Locations'!$A$6:$A$455,0))</f>
        <v>-73.6774263234184</v>
      </c>
      <c r="U210" s="46">
        <f>INDEX('Locations'!$D$6:$D$455,MATCH(C210,'Locations'!$A$6:$A$455,0))</f>
        <v>42.7299604237732</v>
      </c>
      <c r="V210" s="73">
        <f>INDEX('Locations'!$E$6:$E$455,MATCH(C210,'Locations'!$A$6:$A$455,0))</f>
        <v>-73.6771286873489</v>
      </c>
      <c r="W210" s="44"/>
    </row>
    <row r="211" ht="23.1" customHeight="1">
      <c r="A211" t="s" s="24">
        <v>821</v>
      </c>
      <c r="B211" t="s" s="53">
        <v>346</v>
      </c>
      <c r="C211" t="s" s="53">
        <v>347</v>
      </c>
      <c r="D211" t="s" s="53">
        <v>669</v>
      </c>
      <c r="E211" s="74">
        <f>2*6371000*ASIN(SQRT(MIN(1,SIN(RADIANS(U211-S211)/2)^2+COS(RADIANS(S211))*COS(RADIANS(U211))*SIN(RADIANS(V211-T211)/2)^2)))</f>
        <v>26.8736696125445</v>
      </c>
      <c r="F211" t="s" s="48">
        <v>70</v>
      </c>
      <c r="G211" t="s" s="48">
        <v>69</v>
      </c>
      <c r="H211" t="s" s="48">
        <v>69</v>
      </c>
      <c r="I211" t="s" s="48">
        <v>69</v>
      </c>
      <c r="J211" t="s" s="48">
        <v>69</v>
      </c>
      <c r="K211" s="72"/>
      <c r="L211" s="72"/>
      <c r="M211" s="50"/>
      <c r="N211" s="49"/>
      <c r="O211" s="50"/>
      <c r="P211" s="50"/>
      <c r="Q211" s="32">
        <v>207</v>
      </c>
      <c r="R211" s="64"/>
      <c r="S211" s="54">
        <f>INDEX('Locations'!$D$6:$D$455,MATCH(B211,'Locations'!$A$6:$A$455,0))</f>
        <v>42.7297190260169</v>
      </c>
      <c r="T211" s="54">
        <f>INDEX('Locations'!$E$6:$E$455,MATCH(B211,'Locations'!$A$6:$A$455,0))</f>
        <v>-73.67711277098159</v>
      </c>
      <c r="U211" s="54">
        <f>INDEX('Locations'!$D$6:$D$455,MATCH(C211,'Locations'!$A$6:$A$455,0))</f>
        <v>42.7299604237732</v>
      </c>
      <c r="V211" s="75">
        <f>INDEX('Locations'!$E$6:$E$455,MATCH(C211,'Locations'!$A$6:$A$455,0))</f>
        <v>-73.6771286873489</v>
      </c>
      <c r="W211" s="44"/>
    </row>
    <row r="212" ht="23.1" customHeight="1">
      <c r="A212" t="s" s="21">
        <v>822</v>
      </c>
      <c r="B212" t="s" s="45">
        <v>278</v>
      </c>
      <c r="C212" t="s" s="45">
        <v>345</v>
      </c>
      <c r="D212" t="s" s="45">
        <v>614</v>
      </c>
      <c r="E212" s="71">
        <f>2*6371000*ASIN(SQRT(MIN(1,SIN(RADIANS(U212-S212)/2)^2+COS(RADIANS(S212))*COS(RADIANS(U212))*SIN(RADIANS(V212-T212)/2)^2)))</f>
        <v>27.7083110237725</v>
      </c>
      <c r="F212" t="s" s="48">
        <v>70</v>
      </c>
      <c r="G212" t="s" s="48">
        <v>69</v>
      </c>
      <c r="H212" t="s" s="48">
        <v>69</v>
      </c>
      <c r="I212" t="s" s="48">
        <v>69</v>
      </c>
      <c r="J212" t="s" s="48">
        <v>69</v>
      </c>
      <c r="K212" s="72"/>
      <c r="L212" s="72"/>
      <c r="M212" s="50"/>
      <c r="N212" s="49"/>
      <c r="O212" s="50"/>
      <c r="P212" s="50"/>
      <c r="Q212" s="30">
        <v>208</v>
      </c>
      <c r="R212" s="61"/>
      <c r="S212" s="46">
        <f>INDEX('Locations'!$D$6:$D$455,MATCH(B212,'Locations'!$A$6:$A$455,0))</f>
        <v>42.7292948556737</v>
      </c>
      <c r="T212" s="46">
        <f>INDEX('Locations'!$E$6:$E$455,MATCH(B212,'Locations'!$A$6:$A$455,0))</f>
        <v>-73.67737857431641</v>
      </c>
      <c r="U212" s="46">
        <f>INDEX('Locations'!$D$6:$D$455,MATCH(C212,'Locations'!$A$6:$A$455,0))</f>
        <v>42.7294718806949</v>
      </c>
      <c r="V212" s="73">
        <f>INDEX('Locations'!$E$6:$E$455,MATCH(C212,'Locations'!$A$6:$A$455,0))</f>
        <v>-73.67713982880611</v>
      </c>
      <c r="W212" s="44"/>
    </row>
    <row r="213" ht="23.1" customHeight="1">
      <c r="A213" t="s" s="24">
        <v>823</v>
      </c>
      <c r="B213" t="s" s="53">
        <v>278</v>
      </c>
      <c r="C213" t="s" s="53">
        <v>165</v>
      </c>
      <c r="D213" t="s" s="53">
        <v>614</v>
      </c>
      <c r="E213" s="74">
        <f>2*6371000*ASIN(SQRT(MIN(1,SIN(RADIANS(U213-S213)/2)^2+COS(RADIANS(S213))*COS(RADIANS(U213))*SIN(RADIANS(V213-T213)/2)^2)))</f>
        <v>31.1551056127298</v>
      </c>
      <c r="F213" t="s" s="48">
        <v>70</v>
      </c>
      <c r="G213" t="s" s="48">
        <v>69</v>
      </c>
      <c r="H213" t="s" s="48">
        <v>69</v>
      </c>
      <c r="I213" t="s" s="48">
        <v>69</v>
      </c>
      <c r="J213" t="s" s="48">
        <v>69</v>
      </c>
      <c r="K213" s="72"/>
      <c r="L213" s="72"/>
      <c r="M213" s="50"/>
      <c r="N213" s="49"/>
      <c r="O213" s="50"/>
      <c r="P213" s="50"/>
      <c r="Q213" s="32">
        <v>209</v>
      </c>
      <c r="R213" s="64"/>
      <c r="S213" s="54">
        <f>INDEX('Locations'!$D$6:$D$455,MATCH(B213,'Locations'!$A$6:$A$455,0))</f>
        <v>42.7292948556737</v>
      </c>
      <c r="T213" s="54">
        <f>INDEX('Locations'!$E$6:$E$455,MATCH(B213,'Locations'!$A$6:$A$455,0))</f>
        <v>-73.67737857431641</v>
      </c>
      <c r="U213" s="54">
        <f>INDEX('Locations'!$D$6:$D$455,MATCH(C213,'Locations'!$A$6:$A$455,0))</f>
        <v>42.729251662132</v>
      </c>
      <c r="V213" s="75">
        <f>INDEX('Locations'!$E$6:$E$455,MATCH(C213,'Locations'!$A$6:$A$455,0))</f>
        <v>-73.67700170629379</v>
      </c>
      <c r="W213" s="44"/>
    </row>
    <row r="214" ht="23.1" customHeight="1">
      <c r="A214" t="s" s="21">
        <v>824</v>
      </c>
      <c r="B214" t="s" s="45">
        <v>344</v>
      </c>
      <c r="C214" t="s" s="45">
        <v>348</v>
      </c>
      <c r="D214" t="s" s="45">
        <v>614</v>
      </c>
      <c r="E214" s="71">
        <f>2*6371000*ASIN(SQRT(MIN(1,SIN(RADIANS(U214-S214)/2)^2+COS(RADIANS(S214))*COS(RADIANS(U214))*SIN(RADIANS(V214-T214)/2)^2)))</f>
        <v>28.9810058011429</v>
      </c>
      <c r="F214" t="s" s="48">
        <v>70</v>
      </c>
      <c r="G214" t="s" s="48">
        <v>69</v>
      </c>
      <c r="H214" t="s" s="48">
        <v>69</v>
      </c>
      <c r="I214" t="s" s="48">
        <v>69</v>
      </c>
      <c r="J214" t="s" s="48">
        <v>69</v>
      </c>
      <c r="K214" s="72"/>
      <c r="L214" s="72"/>
      <c r="M214" s="50"/>
      <c r="N214" s="49"/>
      <c r="O214" s="50"/>
      <c r="P214" s="50"/>
      <c r="Q214" s="30">
        <v>210</v>
      </c>
      <c r="R214" s="61"/>
      <c r="S214" s="46">
        <f>INDEX('Locations'!$D$6:$D$455,MATCH(B214,'Locations'!$A$6:$A$455,0))</f>
        <v>42.7289385066048</v>
      </c>
      <c r="T214" s="46">
        <f>INDEX('Locations'!$E$6:$E$455,MATCH(B214,'Locations'!$A$6:$A$455,0))</f>
        <v>-73.67727830120209</v>
      </c>
      <c r="U214" s="46">
        <f>INDEX('Locations'!$D$6:$D$455,MATCH(C214,'Locations'!$A$6:$A$455,0))</f>
        <v>42.7290856442848</v>
      </c>
      <c r="V214" s="73">
        <f>INDEX('Locations'!$E$6:$E$455,MATCH(C214,'Locations'!$A$6:$A$455,0))</f>
        <v>-73.6769854400428</v>
      </c>
      <c r="W214" s="44"/>
    </row>
    <row r="215" ht="23.1" customHeight="1">
      <c r="A215" t="s" s="24">
        <v>825</v>
      </c>
      <c r="B215" t="s" s="53">
        <v>278</v>
      </c>
      <c r="C215" t="s" s="53">
        <v>348</v>
      </c>
      <c r="D215" t="s" s="53">
        <v>614</v>
      </c>
      <c r="E215" s="74">
        <f>2*6371000*ASIN(SQRT(MIN(1,SIN(RADIANS(U215-S215)/2)^2+COS(RADIANS(S215))*COS(RADIANS(U215))*SIN(RADIANS(V215-T215)/2)^2)))</f>
        <v>39.652452054870</v>
      </c>
      <c r="F215" t="s" s="48">
        <v>70</v>
      </c>
      <c r="G215" t="s" s="48">
        <v>69</v>
      </c>
      <c r="H215" t="s" s="48">
        <v>69</v>
      </c>
      <c r="I215" t="s" s="48">
        <v>69</v>
      </c>
      <c r="J215" t="s" s="48">
        <v>69</v>
      </c>
      <c r="K215" s="72"/>
      <c r="L215" s="72"/>
      <c r="M215" s="50"/>
      <c r="N215" s="49"/>
      <c r="O215" s="50"/>
      <c r="P215" s="50"/>
      <c r="Q215" s="32">
        <v>211</v>
      </c>
      <c r="R215" s="64"/>
      <c r="S215" s="54">
        <f>INDEX('Locations'!$D$6:$D$455,MATCH(B215,'Locations'!$A$6:$A$455,0))</f>
        <v>42.7292948556737</v>
      </c>
      <c r="T215" s="54">
        <f>INDEX('Locations'!$E$6:$E$455,MATCH(B215,'Locations'!$A$6:$A$455,0))</f>
        <v>-73.67737857431641</v>
      </c>
      <c r="U215" s="54">
        <f>INDEX('Locations'!$D$6:$D$455,MATCH(C215,'Locations'!$A$6:$A$455,0))</f>
        <v>42.7290856442848</v>
      </c>
      <c r="V215" s="75">
        <f>INDEX('Locations'!$E$6:$E$455,MATCH(C215,'Locations'!$A$6:$A$455,0))</f>
        <v>-73.6769854400428</v>
      </c>
      <c r="W215" s="44"/>
    </row>
    <row r="216" ht="23.1" customHeight="1">
      <c r="A216" t="s" s="21">
        <v>826</v>
      </c>
      <c r="B216" t="s" s="45">
        <v>345</v>
      </c>
      <c r="C216" t="s" s="45">
        <v>346</v>
      </c>
      <c r="D216" t="s" s="45">
        <v>614</v>
      </c>
      <c r="E216" s="71">
        <f>2*6371000*ASIN(SQRT(MIN(1,SIN(RADIANS(U216-S216)/2)^2+COS(RADIANS(S216))*COS(RADIANS(U216))*SIN(RADIANS(V216-T216)/2)^2)))</f>
        <v>27.5700312231779</v>
      </c>
      <c r="F216" t="s" s="48">
        <v>70</v>
      </c>
      <c r="G216" t="s" s="48">
        <v>69</v>
      </c>
      <c r="H216" t="s" s="48">
        <v>69</v>
      </c>
      <c r="I216" t="s" s="48">
        <v>69</v>
      </c>
      <c r="J216" t="s" s="48">
        <v>69</v>
      </c>
      <c r="K216" s="72"/>
      <c r="L216" s="72"/>
      <c r="M216" s="50"/>
      <c r="N216" s="49"/>
      <c r="O216" s="50"/>
      <c r="P216" s="50"/>
      <c r="Q216" s="30">
        <v>212</v>
      </c>
      <c r="R216" s="61"/>
      <c r="S216" s="46">
        <f>INDEX('Locations'!$D$6:$D$455,MATCH(B216,'Locations'!$A$6:$A$455,0))</f>
        <v>42.7294718806949</v>
      </c>
      <c r="T216" s="46">
        <f>INDEX('Locations'!$E$6:$E$455,MATCH(B216,'Locations'!$A$6:$A$455,0))</f>
        <v>-73.67713982880611</v>
      </c>
      <c r="U216" s="46">
        <f>INDEX('Locations'!$D$6:$D$455,MATCH(C216,'Locations'!$A$6:$A$455,0))</f>
        <v>42.7297190260169</v>
      </c>
      <c r="V216" s="73">
        <f>INDEX('Locations'!$E$6:$E$455,MATCH(C216,'Locations'!$A$6:$A$455,0))</f>
        <v>-73.67711277098159</v>
      </c>
      <c r="W216" s="44"/>
    </row>
    <row r="217" ht="23.1" customHeight="1">
      <c r="A217" t="s" s="24">
        <v>827</v>
      </c>
      <c r="B217" t="s" s="53">
        <v>349</v>
      </c>
      <c r="C217" t="s" s="53">
        <v>272</v>
      </c>
      <c r="D217" t="s" s="53">
        <v>614</v>
      </c>
      <c r="E217" s="74">
        <f>2*6371000*ASIN(SQRT(MIN(1,SIN(RADIANS(U217-S217)/2)^2+COS(RADIANS(S217))*COS(RADIANS(U217))*SIN(RADIANS(V217-T217)/2)^2)))</f>
        <v>36.1751566270247</v>
      </c>
      <c r="F217" t="s" s="48">
        <v>70</v>
      </c>
      <c r="G217" t="s" s="48">
        <v>69</v>
      </c>
      <c r="H217" t="s" s="48">
        <v>69</v>
      </c>
      <c r="I217" t="s" s="48">
        <v>69</v>
      </c>
      <c r="J217" t="s" s="48">
        <v>69</v>
      </c>
      <c r="K217" s="72"/>
      <c r="L217" s="72"/>
      <c r="M217" s="50"/>
      <c r="N217" s="49"/>
      <c r="O217" s="50"/>
      <c r="P217" s="50"/>
      <c r="Q217" s="32">
        <v>213</v>
      </c>
      <c r="R217" s="64"/>
      <c r="S217" s="54">
        <f>INDEX('Locations'!$D$6:$D$455,MATCH(B217,'Locations'!$A$6:$A$455,0))</f>
        <v>42.7295523466137</v>
      </c>
      <c r="T217" s="54">
        <f>INDEX('Locations'!$E$6:$E$455,MATCH(B217,'Locations'!$A$6:$A$455,0))</f>
        <v>-73.6769376909407</v>
      </c>
      <c r="U217" s="54">
        <f>INDEX('Locations'!$D$6:$D$455,MATCH(C217,'Locations'!$A$6:$A$455,0))</f>
        <v>42.7295109641412</v>
      </c>
      <c r="V217" s="75">
        <f>INDEX('Locations'!$E$6:$E$455,MATCH(C217,'Locations'!$A$6:$A$455,0))</f>
        <v>-73.6764983992018</v>
      </c>
      <c r="W217" s="44"/>
    </row>
    <row r="218" ht="23.1" customHeight="1">
      <c r="A218" t="s" s="21">
        <v>828</v>
      </c>
      <c r="B218" t="s" s="45">
        <v>175</v>
      </c>
      <c r="C218" t="s" s="45">
        <v>349</v>
      </c>
      <c r="D218" t="s" s="45">
        <v>614</v>
      </c>
      <c r="E218" s="71">
        <f>2*6371000*ASIN(SQRT(MIN(1,SIN(RADIANS(U218-S218)/2)^2+COS(RADIANS(S218))*COS(RADIANS(U218))*SIN(RADIANS(V218-T218)/2)^2)))</f>
        <v>44.3983694363615</v>
      </c>
      <c r="F218" t="s" s="48">
        <v>70</v>
      </c>
      <c r="G218" t="s" s="48">
        <v>69</v>
      </c>
      <c r="H218" t="s" s="48">
        <v>69</v>
      </c>
      <c r="I218" t="s" s="48">
        <v>69</v>
      </c>
      <c r="J218" t="s" s="48">
        <v>69</v>
      </c>
      <c r="K218" s="72"/>
      <c r="L218" s="72"/>
      <c r="M218" s="50"/>
      <c r="N218" s="49"/>
      <c r="O218" s="50"/>
      <c r="P218" s="50"/>
      <c r="Q218" s="30">
        <v>214</v>
      </c>
      <c r="R218" s="61"/>
      <c r="S218" s="46">
        <f>INDEX('Locations'!$D$6:$D$455,MATCH(B218,'Locations'!$A$6:$A$455,0))</f>
        <v>42.7298997202713</v>
      </c>
      <c r="T218" s="46">
        <f>INDEX('Locations'!$E$6:$E$455,MATCH(B218,'Locations'!$A$6:$A$455,0))</f>
        <v>-73.6766696757312</v>
      </c>
      <c r="U218" s="46">
        <f>INDEX('Locations'!$D$6:$D$455,MATCH(C218,'Locations'!$A$6:$A$455,0))</f>
        <v>42.7295523466137</v>
      </c>
      <c r="V218" s="73">
        <f>INDEX('Locations'!$E$6:$E$455,MATCH(C218,'Locations'!$A$6:$A$455,0))</f>
        <v>-73.6769376909407</v>
      </c>
      <c r="W218" s="44"/>
    </row>
    <row r="219" ht="23.1" customHeight="1">
      <c r="A219" t="s" s="24">
        <v>829</v>
      </c>
      <c r="B219" t="s" s="53">
        <v>345</v>
      </c>
      <c r="C219" t="s" s="53">
        <v>349</v>
      </c>
      <c r="D219" t="s" s="53">
        <v>614</v>
      </c>
      <c r="E219" s="74">
        <f>2*6371000*ASIN(SQRT(MIN(1,SIN(RADIANS(U219-S219)/2)^2+COS(RADIANS(S219))*COS(RADIANS(U219))*SIN(RADIANS(V219-T219)/2)^2)))</f>
        <v>18.7791395811832</v>
      </c>
      <c r="F219" t="s" s="48">
        <v>70</v>
      </c>
      <c r="G219" t="s" s="48">
        <v>69</v>
      </c>
      <c r="H219" t="s" s="48">
        <v>69</v>
      </c>
      <c r="I219" t="s" s="48">
        <v>69</v>
      </c>
      <c r="J219" t="s" s="48">
        <v>69</v>
      </c>
      <c r="K219" s="72"/>
      <c r="L219" s="72"/>
      <c r="M219" s="50"/>
      <c r="N219" s="49"/>
      <c r="O219" s="50"/>
      <c r="P219" s="50"/>
      <c r="Q219" s="32">
        <v>215</v>
      </c>
      <c r="R219" s="64"/>
      <c r="S219" s="54">
        <f>INDEX('Locations'!$D$6:$D$455,MATCH(B219,'Locations'!$A$6:$A$455,0))</f>
        <v>42.7294718806949</v>
      </c>
      <c r="T219" s="54">
        <f>INDEX('Locations'!$E$6:$E$455,MATCH(B219,'Locations'!$A$6:$A$455,0))</f>
        <v>-73.67713982880611</v>
      </c>
      <c r="U219" s="54">
        <f>INDEX('Locations'!$D$6:$D$455,MATCH(C219,'Locations'!$A$6:$A$455,0))</f>
        <v>42.7295523466137</v>
      </c>
      <c r="V219" s="75">
        <f>INDEX('Locations'!$E$6:$E$455,MATCH(C219,'Locations'!$A$6:$A$455,0))</f>
        <v>-73.6769376909407</v>
      </c>
      <c r="W219" s="44"/>
    </row>
    <row r="220" ht="23.1" customHeight="1">
      <c r="A220" t="s" s="21">
        <v>830</v>
      </c>
      <c r="B220" t="s" s="45">
        <v>348</v>
      </c>
      <c r="C220" t="s" s="45">
        <v>153</v>
      </c>
      <c r="D220" t="s" s="45">
        <v>614</v>
      </c>
      <c r="E220" s="71">
        <f>2*6371000*ASIN(SQRT(MIN(1,SIN(RADIANS(U220-S220)/2)^2+COS(RADIANS(S220))*COS(RADIANS(U220))*SIN(RADIANS(V220-T220)/2)^2)))</f>
        <v>31.7402951241983</v>
      </c>
      <c r="F220" t="s" s="48">
        <v>70</v>
      </c>
      <c r="G220" t="s" s="48">
        <v>69</v>
      </c>
      <c r="H220" t="s" s="48">
        <v>69</v>
      </c>
      <c r="I220" t="s" s="48">
        <v>69</v>
      </c>
      <c r="J220" t="s" s="48">
        <v>69</v>
      </c>
      <c r="K220" s="72"/>
      <c r="L220" s="72"/>
      <c r="M220" s="50"/>
      <c r="N220" s="49"/>
      <c r="O220" s="50"/>
      <c r="P220" s="50"/>
      <c r="Q220" s="30">
        <v>216</v>
      </c>
      <c r="R220" s="61"/>
      <c r="S220" s="46">
        <f>INDEX('Locations'!$D$6:$D$455,MATCH(B220,'Locations'!$A$6:$A$455,0))</f>
        <v>42.7290856442848</v>
      </c>
      <c r="T220" s="46">
        <f>INDEX('Locations'!$E$6:$E$455,MATCH(B220,'Locations'!$A$6:$A$455,0))</f>
        <v>-73.6769854400428</v>
      </c>
      <c r="U220" s="46">
        <f>INDEX('Locations'!$D$6:$D$455,MATCH(C220,'Locations'!$A$6:$A$455,0))</f>
        <v>42.728805307566</v>
      </c>
      <c r="V220" s="73">
        <f>INDEX('Locations'!$E$6:$E$455,MATCH(C220,'Locations'!$A$6:$A$455,0))</f>
        <v>-73.67691223726879</v>
      </c>
      <c r="W220" s="44"/>
    </row>
    <row r="221" ht="23.1" customHeight="1">
      <c r="A221" t="s" s="24">
        <v>831</v>
      </c>
      <c r="B221" t="s" s="53">
        <v>179</v>
      </c>
      <c r="C221" t="s" s="53">
        <v>77</v>
      </c>
      <c r="D221" t="s" s="53">
        <v>614</v>
      </c>
      <c r="E221" s="74">
        <f>2*6371000*ASIN(SQRT(MIN(1,SIN(RADIANS(U221-S221)/2)^2+COS(RADIANS(S221))*COS(RADIANS(U221))*SIN(RADIANS(V221-T221)/2)^2)))</f>
        <v>41.175039822157</v>
      </c>
      <c r="F221" t="s" s="48">
        <v>70</v>
      </c>
      <c r="G221" t="s" s="48">
        <v>69</v>
      </c>
      <c r="H221" t="s" s="48">
        <v>69</v>
      </c>
      <c r="I221" t="s" s="48">
        <v>69</v>
      </c>
      <c r="J221" t="s" s="48">
        <v>69</v>
      </c>
      <c r="K221" s="72"/>
      <c r="L221" s="72"/>
      <c r="M221" s="50"/>
      <c r="N221" s="49"/>
      <c r="O221" s="50"/>
      <c r="P221" s="50"/>
      <c r="Q221" s="32">
        <v>217</v>
      </c>
      <c r="R221" s="64"/>
      <c r="S221" s="54">
        <f>INDEX('Locations'!$D$6:$D$455,MATCH(B221,'Locations'!$A$6:$A$455,0))</f>
        <v>42.7281536327168</v>
      </c>
      <c r="T221" s="54">
        <f>INDEX('Locations'!$E$6:$E$455,MATCH(B221,'Locations'!$A$6:$A$455,0))</f>
        <v>-73.67724499364719</v>
      </c>
      <c r="U221" s="54">
        <f>INDEX('Locations'!$D$6:$D$455,MATCH(C221,'Locations'!$A$6:$A$455,0))</f>
        <v>42.7284653662746</v>
      </c>
      <c r="V221" s="75">
        <f>INDEX('Locations'!$E$6:$E$455,MATCH(C221,'Locations'!$A$6:$A$455,0))</f>
        <v>-73.67697292873009</v>
      </c>
      <c r="W221" s="44"/>
    </row>
    <row r="222" ht="23.1" customHeight="1">
      <c r="A222" t="s" s="21">
        <v>832</v>
      </c>
      <c r="B222" t="s" s="45">
        <v>153</v>
      </c>
      <c r="C222" t="s" s="45">
        <v>77</v>
      </c>
      <c r="D222" t="s" s="45">
        <v>614</v>
      </c>
      <c r="E222" s="71">
        <f>2*6371000*ASIN(SQRT(MIN(1,SIN(RADIANS(U222-S222)/2)^2+COS(RADIANS(S222))*COS(RADIANS(U222))*SIN(RADIANS(V222-T222)/2)^2)))</f>
        <v>38.123432806908</v>
      </c>
      <c r="F222" t="s" s="48">
        <v>70</v>
      </c>
      <c r="G222" t="s" s="48">
        <v>69</v>
      </c>
      <c r="H222" t="s" s="48">
        <v>69</v>
      </c>
      <c r="I222" t="s" s="48">
        <v>69</v>
      </c>
      <c r="J222" t="s" s="48">
        <v>69</v>
      </c>
      <c r="K222" s="72"/>
      <c r="L222" s="72"/>
      <c r="M222" s="50"/>
      <c r="N222" s="49"/>
      <c r="O222" s="50"/>
      <c r="P222" s="50"/>
      <c r="Q222" s="30">
        <v>218</v>
      </c>
      <c r="R222" s="61"/>
      <c r="S222" s="46">
        <f>INDEX('Locations'!$D$6:$D$455,MATCH(B222,'Locations'!$A$6:$A$455,0))</f>
        <v>42.728805307566</v>
      </c>
      <c r="T222" s="46">
        <f>INDEX('Locations'!$E$6:$E$455,MATCH(B222,'Locations'!$A$6:$A$455,0))</f>
        <v>-73.67691223726879</v>
      </c>
      <c r="U222" s="46">
        <f>INDEX('Locations'!$D$6:$D$455,MATCH(C222,'Locations'!$A$6:$A$455,0))</f>
        <v>42.7284653662746</v>
      </c>
      <c r="V222" s="73">
        <f>INDEX('Locations'!$E$6:$E$455,MATCH(C222,'Locations'!$A$6:$A$455,0))</f>
        <v>-73.67697292873009</v>
      </c>
      <c r="W222" s="44"/>
    </row>
    <row r="223" ht="23.1" customHeight="1">
      <c r="A223" t="s" s="24">
        <v>833</v>
      </c>
      <c r="B223" t="s" s="53">
        <v>348</v>
      </c>
      <c r="C223" t="s" s="53">
        <v>350</v>
      </c>
      <c r="D223" t="s" s="53">
        <v>614</v>
      </c>
      <c r="E223" s="74">
        <f>2*6371000*ASIN(SQRT(MIN(1,SIN(RADIANS(U223-S223)/2)^2+COS(RADIANS(S223))*COS(RADIANS(U223))*SIN(RADIANS(V223-T223)/2)^2)))</f>
        <v>77.6173565865073</v>
      </c>
      <c r="F223" t="s" s="48">
        <v>70</v>
      </c>
      <c r="G223" t="s" s="48">
        <v>69</v>
      </c>
      <c r="H223" t="s" s="48">
        <v>69</v>
      </c>
      <c r="I223" t="s" s="48">
        <v>69</v>
      </c>
      <c r="J223" t="s" s="48">
        <v>69</v>
      </c>
      <c r="K223" s="72"/>
      <c r="L223" s="72"/>
      <c r="M223" s="50"/>
      <c r="N223" s="49"/>
      <c r="O223" s="50"/>
      <c r="P223" s="50"/>
      <c r="Q223" s="32">
        <v>219</v>
      </c>
      <c r="R223" s="64"/>
      <c r="S223" s="54">
        <f>INDEX('Locations'!$D$6:$D$455,MATCH(B223,'Locations'!$A$6:$A$455,0))</f>
        <v>42.7290856442848</v>
      </c>
      <c r="T223" s="54">
        <f>INDEX('Locations'!$E$6:$E$455,MATCH(B223,'Locations'!$A$6:$A$455,0))</f>
        <v>-73.6769854400428</v>
      </c>
      <c r="U223" s="54">
        <f>INDEX('Locations'!$D$6:$D$455,MATCH(C223,'Locations'!$A$6:$A$455,0))</f>
        <v>42.7289201143948</v>
      </c>
      <c r="V223" s="75">
        <f>INDEX('Locations'!$E$6:$E$455,MATCH(C223,'Locations'!$A$6:$A$455,0))</f>
        <v>-73.6760622907363</v>
      </c>
      <c r="W223" s="44"/>
    </row>
    <row r="224" ht="23.1" customHeight="1">
      <c r="A224" t="s" s="21">
        <v>834</v>
      </c>
      <c r="B224" t="s" s="45">
        <v>351</v>
      </c>
      <c r="C224" t="s" s="45">
        <v>350</v>
      </c>
      <c r="D224" t="s" s="45">
        <v>614</v>
      </c>
      <c r="E224" s="71">
        <f>2*6371000*ASIN(SQRT(MIN(1,SIN(RADIANS(U224-S224)/2)^2+COS(RADIANS(S224))*COS(RADIANS(U224))*SIN(RADIANS(V224-T224)/2)^2)))</f>
        <v>25.564005533386</v>
      </c>
      <c r="F224" t="s" s="48">
        <v>70</v>
      </c>
      <c r="G224" t="s" s="48">
        <v>69</v>
      </c>
      <c r="H224" t="s" s="48">
        <v>69</v>
      </c>
      <c r="I224" t="s" s="48">
        <v>69</v>
      </c>
      <c r="J224" t="s" s="48">
        <v>69</v>
      </c>
      <c r="K224" s="72"/>
      <c r="L224" s="72"/>
      <c r="M224" s="50"/>
      <c r="N224" s="49"/>
      <c r="O224" s="50"/>
      <c r="P224" s="50"/>
      <c r="Q224" s="30">
        <v>220</v>
      </c>
      <c r="R224" s="61"/>
      <c r="S224" s="46">
        <f>INDEX('Locations'!$D$6:$D$455,MATCH(B224,'Locations'!$A$6:$A$455,0))</f>
        <v>42.7286902117697</v>
      </c>
      <c r="T224" s="46">
        <f>INDEX('Locations'!$E$6:$E$455,MATCH(B224,'Locations'!$A$6:$A$455,0))</f>
        <v>-73.6760622907363</v>
      </c>
      <c r="U224" s="46">
        <f>INDEX('Locations'!$D$6:$D$455,MATCH(C224,'Locations'!$A$6:$A$455,0))</f>
        <v>42.7289201143948</v>
      </c>
      <c r="V224" s="73">
        <f>INDEX('Locations'!$E$6:$E$455,MATCH(C224,'Locations'!$A$6:$A$455,0))</f>
        <v>-73.6760622907363</v>
      </c>
      <c r="W224" s="44"/>
    </row>
    <row r="225" ht="23.1" customHeight="1">
      <c r="A225" t="s" s="24">
        <v>835</v>
      </c>
      <c r="B225" t="s" s="53">
        <v>352</v>
      </c>
      <c r="C225" t="s" s="53">
        <v>351</v>
      </c>
      <c r="D225" t="s" s="53">
        <v>614</v>
      </c>
      <c r="E225" s="74">
        <f>2*6371000*ASIN(SQRT(MIN(1,SIN(RADIANS(U225-S225)/2)^2+COS(RADIANS(S225))*COS(RADIANS(U225))*SIN(RADIANS(V225-T225)/2)^2)))</f>
        <v>14.0494002429285</v>
      </c>
      <c r="F225" t="s" s="48">
        <v>70</v>
      </c>
      <c r="G225" t="s" s="48">
        <v>69</v>
      </c>
      <c r="H225" t="s" s="48">
        <v>69</v>
      </c>
      <c r="I225" t="s" s="48">
        <v>69</v>
      </c>
      <c r="J225" t="s" s="48">
        <v>69</v>
      </c>
      <c r="K225" s="72"/>
      <c r="L225" s="72"/>
      <c r="M225" s="50"/>
      <c r="N225" s="49"/>
      <c r="O225" s="50"/>
      <c r="P225" s="50"/>
      <c r="Q225" s="32">
        <v>221</v>
      </c>
      <c r="R225" s="64"/>
      <c r="S225" s="54">
        <f>INDEX('Locations'!$D$6:$D$455,MATCH(B225,'Locations'!$A$6:$A$455,0))</f>
        <v>42.7286603244285</v>
      </c>
      <c r="T225" s="54">
        <f>INDEX('Locations'!$E$6:$E$455,MATCH(B225,'Locations'!$A$6:$A$455,0))</f>
        <v>-73.67589516887909</v>
      </c>
      <c r="U225" s="54">
        <f>INDEX('Locations'!$D$6:$D$455,MATCH(C225,'Locations'!$A$6:$A$455,0))</f>
        <v>42.7286902117697</v>
      </c>
      <c r="V225" s="75">
        <f>INDEX('Locations'!$E$6:$E$455,MATCH(C225,'Locations'!$A$6:$A$455,0))</f>
        <v>-73.6760622907363</v>
      </c>
      <c r="W225" s="44"/>
    </row>
    <row r="226" ht="23.1" customHeight="1">
      <c r="A226" t="s" s="21">
        <v>836</v>
      </c>
      <c r="B226" t="s" s="45">
        <v>353</v>
      </c>
      <c r="C226" t="s" s="45">
        <v>352</v>
      </c>
      <c r="D226" t="s" s="45">
        <v>614</v>
      </c>
      <c r="E226" s="71">
        <f>2*6371000*ASIN(SQRT(MIN(1,SIN(RADIANS(U226-S226)/2)^2+COS(RADIANS(S226))*COS(RADIANS(U226))*SIN(RADIANS(V226-T226)/2)^2)))</f>
        <v>21.8922526193441</v>
      </c>
      <c r="F226" t="s" s="48">
        <v>70</v>
      </c>
      <c r="G226" t="s" s="48">
        <v>69</v>
      </c>
      <c r="H226" t="s" s="48">
        <v>69</v>
      </c>
      <c r="I226" t="s" s="48">
        <v>69</v>
      </c>
      <c r="J226" t="s" s="48">
        <v>69</v>
      </c>
      <c r="K226" s="72"/>
      <c r="L226" s="72"/>
      <c r="M226" s="50"/>
      <c r="N226" s="49"/>
      <c r="O226" s="50"/>
      <c r="P226" s="50"/>
      <c r="Q226" s="30">
        <v>222</v>
      </c>
      <c r="R226" s="61"/>
      <c r="S226" s="46">
        <f>INDEX('Locations'!$D$6:$D$455,MATCH(B226,'Locations'!$A$6:$A$455,0))</f>
        <v>42.7284787013547</v>
      </c>
      <c r="T226" s="46">
        <f>INDEX('Locations'!$E$6:$E$455,MATCH(B226,'Locations'!$A$6:$A$455,0))</f>
        <v>-73.6757917124913</v>
      </c>
      <c r="U226" s="46">
        <f>INDEX('Locations'!$D$6:$D$455,MATCH(C226,'Locations'!$A$6:$A$455,0))</f>
        <v>42.7286603244285</v>
      </c>
      <c r="V226" s="73">
        <f>INDEX('Locations'!$E$6:$E$455,MATCH(C226,'Locations'!$A$6:$A$455,0))</f>
        <v>-73.67589516887909</v>
      </c>
      <c r="W226" s="44"/>
    </row>
    <row r="227" ht="23.1" customHeight="1">
      <c r="A227" t="s" s="24">
        <v>837</v>
      </c>
      <c r="B227" t="s" s="53">
        <v>353</v>
      </c>
      <c r="C227" t="s" s="53">
        <v>262</v>
      </c>
      <c r="D227" t="s" s="53">
        <v>614</v>
      </c>
      <c r="E227" s="74">
        <f>2*6371000*ASIN(SQRT(MIN(1,SIN(RADIANS(U227-S227)/2)^2+COS(RADIANS(S227))*COS(RADIANS(U227))*SIN(RADIANS(V227-T227)/2)^2)))</f>
        <v>21.9982368011362</v>
      </c>
      <c r="F227" t="s" s="48">
        <v>70</v>
      </c>
      <c r="G227" t="s" s="48">
        <v>69</v>
      </c>
      <c r="H227" t="s" s="48">
        <v>69</v>
      </c>
      <c r="I227" t="s" s="48">
        <v>69</v>
      </c>
      <c r="J227" t="s" s="48">
        <v>69</v>
      </c>
      <c r="K227" s="72"/>
      <c r="L227" s="72"/>
      <c r="M227" s="50"/>
      <c r="N227" s="49"/>
      <c r="O227" s="50"/>
      <c r="P227" s="50"/>
      <c r="Q227" s="32">
        <v>223</v>
      </c>
      <c r="R227" s="64"/>
      <c r="S227" s="54">
        <f>INDEX('Locations'!$D$6:$D$455,MATCH(B227,'Locations'!$A$6:$A$455,0))</f>
        <v>42.7284787013547</v>
      </c>
      <c r="T227" s="54">
        <f>INDEX('Locations'!$E$6:$E$455,MATCH(B227,'Locations'!$A$6:$A$455,0))</f>
        <v>-73.6757917124913</v>
      </c>
      <c r="U227" s="54">
        <f>INDEX('Locations'!$D$6:$D$455,MATCH(C227,'Locations'!$A$6:$A$455,0))</f>
        <v>42.7284143286197</v>
      </c>
      <c r="V227" s="75">
        <f>INDEX('Locations'!$E$6:$E$455,MATCH(C227,'Locations'!$A$6:$A$455,0))</f>
        <v>-73.6755370506137</v>
      </c>
      <c r="W227" s="44"/>
    </row>
    <row r="228" ht="23.1" customHeight="1">
      <c r="A228" t="s" s="21">
        <v>838</v>
      </c>
      <c r="B228" t="s" s="45">
        <v>260</v>
      </c>
      <c r="C228" t="s" s="45">
        <v>352</v>
      </c>
      <c r="D228" t="s" s="45">
        <v>614</v>
      </c>
      <c r="E228" s="71">
        <f>2*6371000*ASIN(SQRT(MIN(1,SIN(RADIANS(U228-S228)/2)^2+COS(RADIANS(S228))*COS(RADIANS(U228))*SIN(RADIANS(V228-T228)/2)^2)))</f>
        <v>66.74811370360329</v>
      </c>
      <c r="F228" t="s" s="48">
        <v>70</v>
      </c>
      <c r="G228" t="s" s="48">
        <v>69</v>
      </c>
      <c r="H228" t="s" s="48">
        <v>69</v>
      </c>
      <c r="I228" t="s" s="48">
        <v>69</v>
      </c>
      <c r="J228" t="s" s="48">
        <v>69</v>
      </c>
      <c r="K228" s="72"/>
      <c r="L228" s="72"/>
      <c r="M228" s="50"/>
      <c r="N228" s="49"/>
      <c r="O228" s="50"/>
      <c r="P228" s="50"/>
      <c r="Q228" s="30">
        <v>224</v>
      </c>
      <c r="R228" s="61"/>
      <c r="S228" s="46">
        <f>INDEX('Locations'!$D$6:$D$455,MATCH(B228,'Locations'!$A$6:$A$455,0))</f>
        <v>42.7292488751486</v>
      </c>
      <c r="T228" s="46">
        <f>INDEX('Locations'!$E$6:$E$455,MATCH(B228,'Locations'!$A$6:$A$455,0))</f>
        <v>-73.6757344135688</v>
      </c>
      <c r="U228" s="46">
        <f>INDEX('Locations'!$D$6:$D$455,MATCH(C228,'Locations'!$A$6:$A$455,0))</f>
        <v>42.7286603244285</v>
      </c>
      <c r="V228" s="73">
        <f>INDEX('Locations'!$E$6:$E$455,MATCH(C228,'Locations'!$A$6:$A$455,0))</f>
        <v>-73.67589516887909</v>
      </c>
      <c r="W228" s="44"/>
    </row>
    <row r="229" ht="23.1" customHeight="1">
      <c r="A229" t="s" s="24">
        <v>839</v>
      </c>
      <c r="B229" t="s" s="53">
        <v>344</v>
      </c>
      <c r="C229" t="s" s="53">
        <v>355</v>
      </c>
      <c r="D229" t="s" s="53">
        <v>614</v>
      </c>
      <c r="E229" s="74">
        <f>2*6371000*ASIN(SQRT(MIN(1,SIN(RADIANS(U229-S229)/2)^2+COS(RADIANS(S229))*COS(RADIANS(U229))*SIN(RADIANS(V229-T229)/2)^2)))</f>
        <v>76.8354128987463</v>
      </c>
      <c r="F229" t="s" s="48">
        <v>70</v>
      </c>
      <c r="G229" t="s" s="48">
        <v>69</v>
      </c>
      <c r="H229" t="s" s="48">
        <v>69</v>
      </c>
      <c r="I229" t="s" s="48">
        <v>69</v>
      </c>
      <c r="J229" t="s" s="48">
        <v>69</v>
      </c>
      <c r="K229" s="72"/>
      <c r="L229" s="72"/>
      <c r="M229" s="50"/>
      <c r="N229" s="49"/>
      <c r="O229" s="50"/>
      <c r="P229" s="50"/>
      <c r="Q229" s="32">
        <v>225</v>
      </c>
      <c r="R229" s="64"/>
      <c r="S229" s="54">
        <f>INDEX('Locations'!$D$6:$D$455,MATCH(B229,'Locations'!$A$6:$A$455,0))</f>
        <v>42.7289385066048</v>
      </c>
      <c r="T229" s="54">
        <f>INDEX('Locations'!$E$6:$E$455,MATCH(B229,'Locations'!$A$6:$A$455,0))</f>
        <v>-73.67727830120209</v>
      </c>
      <c r="U229" s="54">
        <f>INDEX('Locations'!$D$6:$D$455,MATCH(C229,'Locations'!$A$6:$A$455,0))</f>
        <v>42.7282591443478</v>
      </c>
      <c r="V229" s="75">
        <f>INDEX('Locations'!$E$6:$E$455,MATCH(C229,'Locations'!$A$6:$A$455,0))</f>
        <v>-73.67745019796951</v>
      </c>
      <c r="W229" s="44"/>
    </row>
    <row r="230" ht="23.1" customHeight="1">
      <c r="A230" t="s" s="21">
        <v>840</v>
      </c>
      <c r="B230" t="s" s="45">
        <v>343</v>
      </c>
      <c r="C230" t="s" s="45">
        <v>354</v>
      </c>
      <c r="D230" t="s" s="45">
        <v>614</v>
      </c>
      <c r="E230" s="71">
        <f>2*6371000*ASIN(SQRT(MIN(1,SIN(RADIANS(U230-S230)/2)^2+COS(RADIANS(S230))*COS(RADIANS(U230))*SIN(RADIANS(V230-T230)/2)^2)))</f>
        <v>86.20704001205441</v>
      </c>
      <c r="F230" t="s" s="48">
        <v>70</v>
      </c>
      <c r="G230" t="s" s="48">
        <v>69</v>
      </c>
      <c r="H230" t="s" s="48">
        <v>69</v>
      </c>
      <c r="I230" t="s" s="48">
        <v>69</v>
      </c>
      <c r="J230" t="s" s="48">
        <v>69</v>
      </c>
      <c r="K230" s="72"/>
      <c r="L230" s="72"/>
      <c r="M230" s="50"/>
      <c r="N230" s="49"/>
      <c r="O230" s="50"/>
      <c r="P230" s="50"/>
      <c r="Q230" s="30">
        <v>226</v>
      </c>
      <c r="R230" s="61"/>
      <c r="S230" s="46">
        <f>INDEX('Locations'!$D$6:$D$455,MATCH(B230,'Locations'!$A$6:$A$455,0))</f>
        <v>42.7289729919986</v>
      </c>
      <c r="T230" s="46">
        <f>INDEX('Locations'!$E$6:$E$455,MATCH(B230,'Locations'!$A$6:$A$455,0))</f>
        <v>-73.6776793936593</v>
      </c>
      <c r="U230" s="46">
        <f>INDEX('Locations'!$D$6:$D$455,MATCH(C230,'Locations'!$A$6:$A$455,0))</f>
        <v>42.7282189113884</v>
      </c>
      <c r="V230" s="73">
        <f>INDEX('Locations'!$E$6:$E$455,MATCH(C230,'Locations'!$A$6:$A$455,0))</f>
        <v>-73.6779245057166</v>
      </c>
      <c r="W230" s="44"/>
    </row>
    <row r="231" ht="23.1" customHeight="1">
      <c r="A231" t="s" s="24">
        <v>841</v>
      </c>
      <c r="B231" t="s" s="53">
        <v>355</v>
      </c>
      <c r="C231" t="s" s="53">
        <v>354</v>
      </c>
      <c r="D231" t="s" s="53">
        <v>614</v>
      </c>
      <c r="E231" s="74">
        <f>2*6371000*ASIN(SQRT(MIN(1,SIN(RADIANS(U231-S231)/2)^2+COS(RADIANS(S231))*COS(RADIANS(U231))*SIN(RADIANS(V231-T231)/2)^2)))</f>
        <v>38.9996567805009</v>
      </c>
      <c r="F231" t="s" s="48">
        <v>70</v>
      </c>
      <c r="G231" t="s" s="48">
        <v>69</v>
      </c>
      <c r="H231" t="s" s="48">
        <v>69</v>
      </c>
      <c r="I231" t="s" s="48">
        <v>69</v>
      </c>
      <c r="J231" t="s" s="48">
        <v>69</v>
      </c>
      <c r="K231" s="72"/>
      <c r="L231" s="72"/>
      <c r="M231" s="50"/>
      <c r="N231" s="49"/>
      <c r="O231" s="50"/>
      <c r="P231" s="50"/>
      <c r="Q231" s="32">
        <v>227</v>
      </c>
      <c r="R231" s="64"/>
      <c r="S231" s="54">
        <f>INDEX('Locations'!$D$6:$D$455,MATCH(B231,'Locations'!$A$6:$A$455,0))</f>
        <v>42.7282591443478</v>
      </c>
      <c r="T231" s="54">
        <f>INDEX('Locations'!$E$6:$E$455,MATCH(B231,'Locations'!$A$6:$A$455,0))</f>
        <v>-73.67745019796951</v>
      </c>
      <c r="U231" s="54">
        <f>INDEX('Locations'!$D$6:$D$455,MATCH(C231,'Locations'!$A$6:$A$455,0))</f>
        <v>42.7282189113884</v>
      </c>
      <c r="V231" s="75">
        <f>INDEX('Locations'!$E$6:$E$455,MATCH(C231,'Locations'!$A$6:$A$455,0))</f>
        <v>-73.6779245057166</v>
      </c>
      <c r="W231" s="44"/>
    </row>
    <row r="232" ht="23.1" customHeight="1">
      <c r="A232" t="s" s="21">
        <v>842</v>
      </c>
      <c r="B232" t="s" s="45">
        <v>325</v>
      </c>
      <c r="C232" t="s" s="45">
        <v>357</v>
      </c>
      <c r="D232" t="s" s="45">
        <v>614</v>
      </c>
      <c r="E232" s="71">
        <f>2*6371000*ASIN(SQRT(MIN(1,SIN(RADIANS(U232-S232)/2)^2+COS(RADIANS(S232))*COS(RADIANS(U232))*SIN(RADIANS(V232-T232)/2)^2)))</f>
        <v>38.3609652839494</v>
      </c>
      <c r="F232" t="s" s="48">
        <v>70</v>
      </c>
      <c r="G232" t="s" s="48">
        <v>69</v>
      </c>
      <c r="H232" t="s" s="48">
        <v>69</v>
      </c>
      <c r="I232" t="s" s="48">
        <v>69</v>
      </c>
      <c r="J232" t="s" s="48">
        <v>69</v>
      </c>
      <c r="K232" s="72"/>
      <c r="L232" s="72"/>
      <c r="M232" s="50"/>
      <c r="N232" s="49"/>
      <c r="O232" s="50"/>
      <c r="P232" s="50"/>
      <c r="Q232" s="30">
        <v>228</v>
      </c>
      <c r="R232" s="61"/>
      <c r="S232" s="46">
        <f>INDEX('Locations'!$D$6:$D$455,MATCH(B232,'Locations'!$A$6:$A$455,0))</f>
        <v>42.7286672215072</v>
      </c>
      <c r="T232" s="46">
        <f>INDEX('Locations'!$E$6:$E$455,MATCH(B232,'Locations'!$A$6:$A$455,0))</f>
        <v>-73.6798822189009</v>
      </c>
      <c r="U232" s="46">
        <f>INDEX('Locations'!$D$6:$D$455,MATCH(C232,'Locations'!$A$6:$A$455,0))</f>
        <v>42.7284373188822</v>
      </c>
      <c r="V232" s="73">
        <f>INDEX('Locations'!$E$6:$E$455,MATCH(C232,'Locations'!$A$6:$A$455,0))</f>
        <v>-73.68023237898269</v>
      </c>
      <c r="W232" s="44"/>
    </row>
    <row r="233" ht="23.1" customHeight="1">
      <c r="A233" t="s" s="24">
        <v>843</v>
      </c>
      <c r="B233" t="s" s="53">
        <v>358</v>
      </c>
      <c r="C233" t="s" s="53">
        <v>357</v>
      </c>
      <c r="D233" t="s" s="53">
        <v>614</v>
      </c>
      <c r="E233" s="74">
        <f>2*6371000*ASIN(SQRT(MIN(1,SIN(RADIANS(U233-S233)/2)^2+COS(RADIANS(S233))*COS(RADIANS(U233))*SIN(RADIANS(V233-T233)/2)^2)))</f>
        <v>22.0766555141399</v>
      </c>
      <c r="F233" t="s" s="48">
        <v>70</v>
      </c>
      <c r="G233" t="s" s="48">
        <v>69</v>
      </c>
      <c r="H233" t="s" s="48">
        <v>69</v>
      </c>
      <c r="I233" t="s" s="48">
        <v>69</v>
      </c>
      <c r="J233" t="s" s="48">
        <v>69</v>
      </c>
      <c r="K233" s="72"/>
      <c r="L233" s="72"/>
      <c r="M233" s="50"/>
      <c r="N233" s="49"/>
      <c r="O233" s="50"/>
      <c r="P233" s="50"/>
      <c r="Q233" s="32">
        <v>229</v>
      </c>
      <c r="R233" s="64"/>
      <c r="S233" s="54">
        <f>INDEX('Locations'!$D$6:$D$455,MATCH(B233,'Locations'!$A$6:$A$455,0))</f>
        <v>42.7282419016509</v>
      </c>
      <c r="T233" s="54">
        <f>INDEX('Locations'!$E$6:$E$455,MATCH(B233,'Locations'!$A$6:$A$455,0))</f>
        <v>-73.6802801280848</v>
      </c>
      <c r="U233" s="54">
        <f>INDEX('Locations'!$D$6:$D$455,MATCH(C233,'Locations'!$A$6:$A$455,0))</f>
        <v>42.7284373188822</v>
      </c>
      <c r="V233" s="75">
        <f>INDEX('Locations'!$E$6:$E$455,MATCH(C233,'Locations'!$A$6:$A$455,0))</f>
        <v>-73.68023237898269</v>
      </c>
      <c r="W233" s="44"/>
    </row>
    <row r="234" ht="23.1" customHeight="1">
      <c r="A234" t="s" s="21">
        <v>844</v>
      </c>
      <c r="B234" t="s" s="45">
        <v>320</v>
      </c>
      <c r="C234" t="s" s="45">
        <v>358</v>
      </c>
      <c r="D234" t="s" s="45">
        <v>614</v>
      </c>
      <c r="E234" s="71">
        <f>2*6371000*ASIN(SQRT(MIN(1,SIN(RADIANS(U234-S234)/2)^2+COS(RADIANS(S234))*COS(RADIANS(U234))*SIN(RADIANS(V234-T234)/2)^2)))</f>
        <v>39.723612740152</v>
      </c>
      <c r="F234" t="s" s="48">
        <v>70</v>
      </c>
      <c r="G234" t="s" s="48">
        <v>69</v>
      </c>
      <c r="H234" t="s" s="48">
        <v>69</v>
      </c>
      <c r="I234" t="s" s="48">
        <v>69</v>
      </c>
      <c r="J234" t="s" s="48">
        <v>69</v>
      </c>
      <c r="K234" s="72"/>
      <c r="L234" s="72"/>
      <c r="M234" s="50"/>
      <c r="N234" s="49"/>
      <c r="O234" s="50"/>
      <c r="P234" s="50"/>
      <c r="Q234" s="30">
        <v>230</v>
      </c>
      <c r="R234" s="61"/>
      <c r="S234" s="46">
        <f>INDEX('Locations'!$D$6:$D$455,MATCH(B234,'Locations'!$A$6:$A$455,0))</f>
        <v>42.728325816109</v>
      </c>
      <c r="T234" s="46">
        <f>INDEX('Locations'!$E$6:$E$455,MATCH(B234,'Locations'!$A$6:$A$455,0))</f>
        <v>-73.6807528441951</v>
      </c>
      <c r="U234" s="46">
        <f>INDEX('Locations'!$D$6:$D$455,MATCH(C234,'Locations'!$A$6:$A$455,0))</f>
        <v>42.7282419016509</v>
      </c>
      <c r="V234" s="73">
        <f>INDEX('Locations'!$E$6:$E$455,MATCH(C234,'Locations'!$A$6:$A$455,0))</f>
        <v>-73.6802801280848</v>
      </c>
      <c r="W234" s="44"/>
    </row>
    <row r="235" ht="23.1" customHeight="1">
      <c r="A235" t="s" s="24">
        <v>845</v>
      </c>
      <c r="B235" t="s" s="53">
        <v>356</v>
      </c>
      <c r="C235" t="s" s="53">
        <v>73</v>
      </c>
      <c r="D235" t="s" s="53">
        <v>614</v>
      </c>
      <c r="E235" s="74">
        <f>2*6371000*ASIN(SQRT(MIN(1,SIN(RADIANS(U235-S235)/2)^2+COS(RADIANS(S235))*COS(RADIANS(U235))*SIN(RADIANS(V235-T235)/2)^2)))</f>
        <v>47.921611847569</v>
      </c>
      <c r="F235" t="s" s="48">
        <v>70</v>
      </c>
      <c r="G235" t="s" s="48">
        <v>69</v>
      </c>
      <c r="H235" t="s" s="48">
        <v>69</v>
      </c>
      <c r="I235" t="s" s="48">
        <v>69</v>
      </c>
      <c r="J235" t="s" s="48">
        <v>69</v>
      </c>
      <c r="K235" s="72"/>
      <c r="L235" s="72"/>
      <c r="M235" s="50"/>
      <c r="N235" s="49"/>
      <c r="O235" s="50"/>
      <c r="P235" s="50"/>
      <c r="Q235" s="32">
        <v>231</v>
      </c>
      <c r="R235" s="64"/>
      <c r="S235" s="54">
        <f>INDEX('Locations'!$D$6:$D$455,MATCH(B235,'Locations'!$A$6:$A$455,0))</f>
        <v>42.7274062056088</v>
      </c>
      <c r="T235" s="54">
        <f>INDEX('Locations'!$E$6:$E$455,MATCH(B235,'Locations'!$A$6:$A$455,0))</f>
        <v>-73.6780677530227</v>
      </c>
      <c r="U235" s="54">
        <f>INDEX('Locations'!$D$6:$D$455,MATCH(C235,'Locations'!$A$6:$A$455,0))</f>
        <v>42.7274495940891</v>
      </c>
      <c r="V235" s="75">
        <f>INDEX('Locations'!$E$6:$E$455,MATCH(C235,'Locations'!$A$6:$A$455,0))</f>
        <v>-73.6786514525317</v>
      </c>
      <c r="W235" s="44"/>
    </row>
    <row r="236" ht="23.1" customHeight="1">
      <c r="A236" t="s" s="21">
        <v>846</v>
      </c>
      <c r="B236" t="s" s="45">
        <v>311</v>
      </c>
      <c r="C236" t="s" s="45">
        <v>359</v>
      </c>
      <c r="D236" t="s" s="45">
        <v>614</v>
      </c>
      <c r="E236" s="71">
        <f>2*6371000*ASIN(SQRT(MIN(1,SIN(RADIANS(U236-S236)/2)^2+COS(RADIANS(S236))*COS(RADIANS(U236))*SIN(RADIANS(V236-T236)/2)^2)))</f>
        <v>49.2141508101527</v>
      </c>
      <c r="F236" t="s" s="48">
        <v>70</v>
      </c>
      <c r="G236" t="s" s="48">
        <v>69</v>
      </c>
      <c r="H236" t="s" s="48">
        <v>69</v>
      </c>
      <c r="I236" t="s" s="48">
        <v>69</v>
      </c>
      <c r="J236" t="s" s="48">
        <v>69</v>
      </c>
      <c r="K236" s="72"/>
      <c r="L236" s="72"/>
      <c r="M236" s="50"/>
      <c r="N236" s="49"/>
      <c r="O236" s="50"/>
      <c r="P236" s="50"/>
      <c r="Q236" s="30">
        <v>232</v>
      </c>
      <c r="R236" s="61"/>
      <c r="S236" s="46">
        <f>INDEX('Locations'!$D$6:$D$455,MATCH(B236,'Locations'!$A$6:$A$455,0))</f>
        <v>42.7306432345696</v>
      </c>
      <c r="T236" s="46">
        <f>INDEX('Locations'!$E$6:$E$455,MATCH(B236,'Locations'!$A$6:$A$455,0))</f>
        <v>-73.6817683084322</v>
      </c>
      <c r="U236" s="46">
        <f>INDEX('Locations'!$D$6:$D$455,MATCH(C236,'Locations'!$A$6:$A$455,0))</f>
        <v>42.7306673743453</v>
      </c>
      <c r="V236" s="73">
        <f>INDEX('Locations'!$E$6:$E$455,MATCH(C236,'Locations'!$A$6:$A$455,0))</f>
        <v>-73.6823699471182</v>
      </c>
      <c r="W236" s="44"/>
    </row>
    <row r="237" ht="23.1" customHeight="1">
      <c r="A237" t="s" s="24">
        <v>847</v>
      </c>
      <c r="B237" t="s" s="53">
        <v>360</v>
      </c>
      <c r="C237" t="s" s="53">
        <v>359</v>
      </c>
      <c r="D237" t="s" s="53">
        <v>614</v>
      </c>
      <c r="E237" s="74">
        <f>2*6371000*ASIN(SQRT(MIN(1,SIN(RADIANS(U237-S237)/2)^2+COS(RADIANS(S237))*COS(RADIANS(U237))*SIN(RADIANS(V237-T237)/2)^2)))</f>
        <v>22.2435584305459</v>
      </c>
      <c r="F237" t="s" s="48">
        <v>70</v>
      </c>
      <c r="G237" t="s" s="48">
        <v>69</v>
      </c>
      <c r="H237" t="s" s="48">
        <v>69</v>
      </c>
      <c r="I237" t="s" s="48">
        <v>69</v>
      </c>
      <c r="J237" t="s" s="48">
        <v>69</v>
      </c>
      <c r="K237" s="72"/>
      <c r="L237" s="72"/>
      <c r="M237" s="50"/>
      <c r="N237" s="49"/>
      <c r="O237" s="50"/>
      <c r="P237" s="50"/>
      <c r="Q237" s="32">
        <v>233</v>
      </c>
      <c r="R237" s="64"/>
      <c r="S237" s="54">
        <f>INDEX('Locations'!$D$6:$D$455,MATCH(B237,'Locations'!$A$6:$A$455,0))</f>
        <v>42.7306030016103</v>
      </c>
      <c r="T237" s="54">
        <f>INDEX('Locations'!$E$6:$E$455,MATCH(B237,'Locations'!$A$6:$A$455,0))</f>
        <v>-73.6826277922693</v>
      </c>
      <c r="U237" s="54">
        <f>INDEX('Locations'!$D$6:$D$455,MATCH(C237,'Locations'!$A$6:$A$455,0))</f>
        <v>42.7306673743453</v>
      </c>
      <c r="V237" s="75">
        <f>INDEX('Locations'!$E$6:$E$455,MATCH(C237,'Locations'!$A$6:$A$455,0))</f>
        <v>-73.6823699471182</v>
      </c>
      <c r="W237" s="44"/>
    </row>
    <row r="238" ht="23.1" customHeight="1">
      <c r="A238" t="s" s="21">
        <v>848</v>
      </c>
      <c r="B238" t="s" s="45">
        <v>204</v>
      </c>
      <c r="C238" t="s" s="45">
        <v>360</v>
      </c>
      <c r="D238" t="s" s="45">
        <v>614</v>
      </c>
      <c r="E238" s="71">
        <f>2*6371000*ASIN(SQRT(MIN(1,SIN(RADIANS(U238-S238)/2)^2+COS(RADIANS(S238))*COS(RADIANS(U238))*SIN(RADIANS(V238-T238)/2)^2)))</f>
        <v>12.5427515937612</v>
      </c>
      <c r="F238" t="s" s="48">
        <v>70</v>
      </c>
      <c r="G238" t="s" s="48">
        <v>69</v>
      </c>
      <c r="H238" t="s" s="48">
        <v>69</v>
      </c>
      <c r="I238" t="s" s="48">
        <v>69</v>
      </c>
      <c r="J238" t="s" s="48">
        <v>69</v>
      </c>
      <c r="K238" s="72"/>
      <c r="L238" s="72"/>
      <c r="M238" s="50"/>
      <c r="N238" s="49"/>
      <c r="O238" s="50"/>
      <c r="P238" s="50"/>
      <c r="Q238" s="30">
        <v>234</v>
      </c>
      <c r="R238" s="61"/>
      <c r="S238" s="46">
        <f>INDEX('Locations'!$D$6:$D$455,MATCH(B238,'Locations'!$A$6:$A$455,0))</f>
        <v>42.7306888714375</v>
      </c>
      <c r="T238" s="46">
        <f>INDEX('Locations'!$E$6:$E$455,MATCH(B238,'Locations'!$A$6:$A$455,0))</f>
        <v>-73.6827273695237</v>
      </c>
      <c r="U238" s="46">
        <f>INDEX('Locations'!$D$6:$D$455,MATCH(C238,'Locations'!$A$6:$A$455,0))</f>
        <v>42.7306030016103</v>
      </c>
      <c r="V238" s="73">
        <f>INDEX('Locations'!$E$6:$E$455,MATCH(C238,'Locations'!$A$6:$A$455,0))</f>
        <v>-73.6826277922693</v>
      </c>
      <c r="W238" s="44"/>
    </row>
    <row r="239" ht="23.1" customHeight="1">
      <c r="A239" t="s" s="24">
        <v>849</v>
      </c>
      <c r="B239" t="s" s="53">
        <v>362</v>
      </c>
      <c r="C239" t="s" s="53">
        <v>361</v>
      </c>
      <c r="D239" t="s" s="53">
        <v>614</v>
      </c>
      <c r="E239" s="74">
        <f>2*6371000*ASIN(SQRT(MIN(1,SIN(RADIANS(U239-S239)/2)^2+COS(RADIANS(S239))*COS(RADIANS(U239))*SIN(RADIANS(V239-T239)/2)^2)))</f>
        <v>20.697548319535</v>
      </c>
      <c r="F239" t="s" s="48">
        <v>70</v>
      </c>
      <c r="G239" t="s" s="48">
        <v>69</v>
      </c>
      <c r="H239" t="s" s="48">
        <v>69</v>
      </c>
      <c r="I239" t="s" s="48">
        <v>69</v>
      </c>
      <c r="J239" t="s" s="48">
        <v>69</v>
      </c>
      <c r="K239" s="72"/>
      <c r="L239" s="72"/>
      <c r="M239" s="50"/>
      <c r="N239" s="49"/>
      <c r="O239" s="50"/>
      <c r="P239" s="50"/>
      <c r="Q239" s="32">
        <v>235</v>
      </c>
      <c r="R239" s="64"/>
      <c r="S239" s="54">
        <f>INDEX('Locations'!$D$6:$D$455,MATCH(B239,'Locations'!$A$6:$A$455,0))</f>
        <v>42.7304144814577</v>
      </c>
      <c r="T239" s="54">
        <f>INDEX('Locations'!$E$6:$E$455,MATCH(B239,'Locations'!$A$6:$A$455,0))</f>
        <v>-73.6830654923715</v>
      </c>
      <c r="U239" s="54">
        <f>INDEX('Locations'!$D$6:$D$455,MATCH(C239,'Locations'!$A$6:$A$455,0))</f>
        <v>42.7305754132952</v>
      </c>
      <c r="V239" s="75">
        <f>INDEX('Locations'!$E$6:$E$455,MATCH(C239,'Locations'!$A$6:$A$455,0))</f>
        <v>-73.6829381614326</v>
      </c>
      <c r="W239" s="44"/>
    </row>
    <row r="240" ht="23.1" customHeight="1">
      <c r="A240" t="s" s="21">
        <v>850</v>
      </c>
      <c r="B240" t="s" s="45">
        <v>360</v>
      </c>
      <c r="C240" t="s" s="45">
        <v>361</v>
      </c>
      <c r="D240" t="s" s="45">
        <v>614</v>
      </c>
      <c r="E240" s="71">
        <f>2*6371000*ASIN(SQRT(MIN(1,SIN(RADIANS(U240-S240)/2)^2+COS(RADIANS(S240))*COS(RADIANS(U240))*SIN(RADIANS(V240-T240)/2)^2)))</f>
        <v>25.5354254494576</v>
      </c>
      <c r="F240" t="s" s="48">
        <v>70</v>
      </c>
      <c r="G240" t="s" s="48">
        <v>69</v>
      </c>
      <c r="H240" t="s" s="48">
        <v>69</v>
      </c>
      <c r="I240" t="s" s="48">
        <v>69</v>
      </c>
      <c r="J240" t="s" s="48">
        <v>69</v>
      </c>
      <c r="K240" s="72"/>
      <c r="L240" s="72"/>
      <c r="M240" s="50"/>
      <c r="N240" s="49"/>
      <c r="O240" s="50"/>
      <c r="P240" s="50"/>
      <c r="Q240" s="30">
        <v>236</v>
      </c>
      <c r="R240" s="61"/>
      <c r="S240" s="46">
        <f>INDEX('Locations'!$D$6:$D$455,MATCH(B240,'Locations'!$A$6:$A$455,0))</f>
        <v>42.7306030016103</v>
      </c>
      <c r="T240" s="46">
        <f>INDEX('Locations'!$E$6:$E$455,MATCH(B240,'Locations'!$A$6:$A$455,0))</f>
        <v>-73.6826277922693</v>
      </c>
      <c r="U240" s="46">
        <f>INDEX('Locations'!$D$6:$D$455,MATCH(C240,'Locations'!$A$6:$A$455,0))</f>
        <v>42.7305754132952</v>
      </c>
      <c r="V240" s="73">
        <f>INDEX('Locations'!$E$6:$E$455,MATCH(C240,'Locations'!$A$6:$A$455,0))</f>
        <v>-73.6829381614326</v>
      </c>
      <c r="W240" s="44"/>
    </row>
    <row r="241" ht="23.1" customHeight="1">
      <c r="A241" t="s" s="24">
        <v>851</v>
      </c>
      <c r="B241" t="s" s="53">
        <v>99</v>
      </c>
      <c r="C241" t="s" s="53">
        <v>362</v>
      </c>
      <c r="D241" t="s" s="53">
        <v>614</v>
      </c>
      <c r="E241" s="74">
        <f>2*6371000*ASIN(SQRT(MIN(1,SIN(RADIANS(U241-S241)/2)^2+COS(RADIANS(S241))*COS(RADIANS(U241))*SIN(RADIANS(V241-T241)/2)^2)))</f>
        <v>2.10679259415398</v>
      </c>
      <c r="F241" t="s" s="48">
        <v>70</v>
      </c>
      <c r="G241" t="s" s="48">
        <v>69</v>
      </c>
      <c r="H241" t="s" s="48">
        <v>69</v>
      </c>
      <c r="I241" t="s" s="48">
        <v>69</v>
      </c>
      <c r="J241" t="s" s="48">
        <v>69</v>
      </c>
      <c r="K241" s="72"/>
      <c r="L241" s="72"/>
      <c r="M241" s="50"/>
      <c r="N241" s="49"/>
      <c r="O241" s="50"/>
      <c r="P241" s="50"/>
      <c r="Q241" s="32">
        <v>237</v>
      </c>
      <c r="R241" s="64"/>
      <c r="S241" s="54">
        <f>INDEX('Locations'!$D$6:$D$455,MATCH(B241,'Locations'!$A$6:$A$455,0))</f>
        <v>42.7304257060285</v>
      </c>
      <c r="T241" s="54">
        <f>INDEX('Locations'!$E$6:$E$455,MATCH(B241,'Locations'!$A$6:$A$455,0))</f>
        <v>-73.683086272409</v>
      </c>
      <c r="U241" s="54">
        <f>INDEX('Locations'!$D$6:$D$455,MATCH(C241,'Locations'!$A$6:$A$455,0))</f>
        <v>42.7304144814577</v>
      </c>
      <c r="V241" s="75">
        <f>INDEX('Locations'!$E$6:$E$455,MATCH(C241,'Locations'!$A$6:$A$455,0))</f>
        <v>-73.6830654923715</v>
      </c>
      <c r="W241" s="44"/>
    </row>
    <row r="242" ht="23.1" customHeight="1">
      <c r="A242" t="s" s="21">
        <v>852</v>
      </c>
      <c r="B242" t="s" s="45">
        <v>356</v>
      </c>
      <c r="C242" t="s" s="45">
        <v>363</v>
      </c>
      <c r="D242" t="s" s="45">
        <v>614</v>
      </c>
      <c r="E242" s="71">
        <f>2*6371000*ASIN(SQRT(MIN(1,SIN(RADIANS(U242-S242)/2)^2+COS(RADIANS(S242))*COS(RADIANS(U242))*SIN(RADIANS(V242-T242)/2)^2)))</f>
        <v>66.0408191607068</v>
      </c>
      <c r="F242" t="s" s="48">
        <v>70</v>
      </c>
      <c r="G242" t="s" s="48">
        <v>69</v>
      </c>
      <c r="H242" t="s" s="48">
        <v>69</v>
      </c>
      <c r="I242" t="s" s="48">
        <v>69</v>
      </c>
      <c r="J242" t="s" s="48">
        <v>69</v>
      </c>
      <c r="K242" s="72"/>
      <c r="L242" s="72"/>
      <c r="M242" s="50"/>
      <c r="N242" s="49"/>
      <c r="O242" s="50"/>
      <c r="P242" s="50"/>
      <c r="Q242" s="30">
        <v>238</v>
      </c>
      <c r="R242" s="61"/>
      <c r="S242" s="46">
        <f>INDEX('Locations'!$D$6:$D$455,MATCH(B242,'Locations'!$A$6:$A$455,0))</f>
        <v>42.7274062056088</v>
      </c>
      <c r="T242" s="46">
        <f>INDEX('Locations'!$E$6:$E$455,MATCH(B242,'Locations'!$A$6:$A$455,0))</f>
        <v>-73.6780677530227</v>
      </c>
      <c r="U242" s="46">
        <f>INDEX('Locations'!$D$6:$D$455,MATCH(C242,'Locations'!$A$6:$A$455,0))</f>
        <v>42.7271809010362</v>
      </c>
      <c r="V242" s="73">
        <f>INDEX('Locations'!$E$6:$E$455,MATCH(C242,'Locations'!$A$6:$A$455,0))</f>
        <v>-73.6773196837572</v>
      </c>
      <c r="W242" s="44"/>
    </row>
    <row r="243" ht="23.1" customHeight="1">
      <c r="A243" t="s" s="24">
        <v>853</v>
      </c>
      <c r="B243" t="s" s="53">
        <v>364</v>
      </c>
      <c r="C243" t="s" s="53">
        <v>363</v>
      </c>
      <c r="D243" t="s" s="53">
        <v>614</v>
      </c>
      <c r="E243" s="74">
        <f>2*6371000*ASIN(SQRT(MIN(1,SIN(RADIANS(U243-S243)/2)^2+COS(RADIANS(S243))*COS(RADIANS(U243))*SIN(RADIANS(V243-T243)/2)^2)))</f>
        <v>40.703449615350</v>
      </c>
      <c r="F243" t="s" s="48">
        <v>70</v>
      </c>
      <c r="G243" t="s" s="48">
        <v>69</v>
      </c>
      <c r="H243" t="s" s="48">
        <v>69</v>
      </c>
      <c r="I243" t="s" s="48">
        <v>69</v>
      </c>
      <c r="J243" t="s" s="48">
        <v>69</v>
      </c>
      <c r="K243" s="72"/>
      <c r="L243" s="72"/>
      <c r="M243" s="50"/>
      <c r="N243" s="49"/>
      <c r="O243" s="50"/>
      <c r="P243" s="50"/>
      <c r="Q243" s="32">
        <v>239</v>
      </c>
      <c r="R243" s="64"/>
      <c r="S243" s="54">
        <f>INDEX('Locations'!$D$6:$D$455,MATCH(B243,'Locations'!$A$6:$A$455,0))</f>
        <v>42.7270429594612</v>
      </c>
      <c r="T243" s="54">
        <f>INDEX('Locations'!$E$6:$E$455,MATCH(B243,'Locations'!$A$6:$A$455,0))</f>
        <v>-73.6768581091039</v>
      </c>
      <c r="U243" s="54">
        <f>INDEX('Locations'!$D$6:$D$455,MATCH(C243,'Locations'!$A$6:$A$455,0))</f>
        <v>42.7271809010362</v>
      </c>
      <c r="V243" s="75">
        <f>INDEX('Locations'!$E$6:$E$455,MATCH(C243,'Locations'!$A$6:$A$455,0))</f>
        <v>-73.6773196837572</v>
      </c>
      <c r="W243" s="44"/>
    </row>
    <row r="244" ht="23.1" customHeight="1">
      <c r="A244" t="s" s="21">
        <v>854</v>
      </c>
      <c r="B244" t="s" s="45">
        <v>365</v>
      </c>
      <c r="C244" t="s" s="45">
        <v>364</v>
      </c>
      <c r="D244" t="s" s="45">
        <v>614</v>
      </c>
      <c r="E244" s="71">
        <f>2*6371000*ASIN(SQRT(MIN(1,SIN(RADIANS(U244-S244)/2)^2+COS(RADIANS(S244))*COS(RADIANS(U244))*SIN(RADIANS(V244-T244)/2)^2)))</f>
        <v>54.0352301825405</v>
      </c>
      <c r="F244" t="s" s="48">
        <v>70</v>
      </c>
      <c r="G244" t="s" s="48">
        <v>69</v>
      </c>
      <c r="H244" t="s" s="48">
        <v>69</v>
      </c>
      <c r="I244" t="s" s="48">
        <v>69</v>
      </c>
      <c r="J244" t="s" s="48">
        <v>69</v>
      </c>
      <c r="K244" s="72"/>
      <c r="L244" s="72"/>
      <c r="M244" s="50"/>
      <c r="N244" s="49"/>
      <c r="O244" s="50"/>
      <c r="P244" s="50"/>
      <c r="Q244" s="30">
        <v>240</v>
      </c>
      <c r="R244" s="61"/>
      <c r="S244" s="46">
        <f>INDEX('Locations'!$D$6:$D$455,MATCH(B244,'Locations'!$A$6:$A$455,0))</f>
        <v>42.726747534588</v>
      </c>
      <c r="T244" s="46">
        <f>INDEX('Locations'!$E$6:$E$455,MATCH(B244,'Locations'!$A$6:$A$455,0))</f>
        <v>-73.67633286898131</v>
      </c>
      <c r="U244" s="46">
        <f>INDEX('Locations'!$D$6:$D$455,MATCH(C244,'Locations'!$A$6:$A$455,0))</f>
        <v>42.7270429594612</v>
      </c>
      <c r="V244" s="73">
        <f>INDEX('Locations'!$E$6:$E$455,MATCH(C244,'Locations'!$A$6:$A$455,0))</f>
        <v>-73.6768581091039</v>
      </c>
      <c r="W244" s="44"/>
    </row>
    <row r="245" ht="23.1" customHeight="1">
      <c r="A245" t="s" s="24">
        <v>855</v>
      </c>
      <c r="B245" t="s" s="53">
        <v>267</v>
      </c>
      <c r="C245" t="s" s="53">
        <v>368</v>
      </c>
      <c r="D245" t="s" s="53">
        <v>614</v>
      </c>
      <c r="E245" s="74">
        <f>2*6371000*ASIN(SQRT(MIN(1,SIN(RADIANS(U245-S245)/2)^2+COS(RADIANS(S245))*COS(RADIANS(U245))*SIN(RADIANS(V245-T245)/2)^2)))</f>
        <v>53.4642645456432</v>
      </c>
      <c r="F245" t="s" s="48">
        <v>70</v>
      </c>
      <c r="G245" t="s" s="48">
        <v>69</v>
      </c>
      <c r="H245" t="s" s="48">
        <v>69</v>
      </c>
      <c r="I245" t="s" s="48">
        <v>69</v>
      </c>
      <c r="J245" t="s" s="48">
        <v>69</v>
      </c>
      <c r="K245" s="72"/>
      <c r="L245" s="72"/>
      <c r="M245" s="50"/>
      <c r="N245" s="49"/>
      <c r="O245" s="50"/>
      <c r="P245" s="50"/>
      <c r="Q245" s="32">
        <v>241</v>
      </c>
      <c r="R245" s="64"/>
      <c r="S245" s="54">
        <f>INDEX('Locations'!$D$6:$D$455,MATCH(B245,'Locations'!$A$6:$A$455,0))</f>
        <v>42.7271889476281</v>
      </c>
      <c r="T245" s="54">
        <f>INDEX('Locations'!$E$6:$E$455,MATCH(B245,'Locations'!$A$6:$A$455,0))</f>
        <v>-73.67474123224601</v>
      </c>
      <c r="U245" s="54">
        <f>INDEX('Locations'!$D$6:$D$455,MATCH(C245,'Locations'!$A$6:$A$455,0))</f>
        <v>42.7270199691987</v>
      </c>
      <c r="V245" s="75">
        <f>INDEX('Locations'!$E$6:$E$455,MATCH(C245,'Locations'!$A$6:$A$455,0))</f>
        <v>-73.67535401238911</v>
      </c>
      <c r="W245" s="44"/>
    </row>
    <row r="246" ht="23.1" customHeight="1">
      <c r="A246" t="s" s="21">
        <v>856</v>
      </c>
      <c r="B246" t="s" s="45">
        <v>365</v>
      </c>
      <c r="C246" t="s" s="45">
        <v>366</v>
      </c>
      <c r="D246" t="s" s="45">
        <v>614</v>
      </c>
      <c r="E246" s="71">
        <f>2*6371000*ASIN(SQRT(MIN(1,SIN(RADIANS(U246-S246)/2)^2+COS(RADIANS(S246))*COS(RADIANS(U246))*SIN(RADIANS(V246-T246)/2)^2)))</f>
        <v>36.7088929386715</v>
      </c>
      <c r="F246" t="s" s="48">
        <v>70</v>
      </c>
      <c r="G246" t="s" s="48">
        <v>69</v>
      </c>
      <c r="H246" t="s" s="48">
        <v>69</v>
      </c>
      <c r="I246" t="s" s="48">
        <v>69</v>
      </c>
      <c r="J246" t="s" s="48">
        <v>69</v>
      </c>
      <c r="K246" s="72"/>
      <c r="L246" s="72"/>
      <c r="M246" s="50"/>
      <c r="N246" s="49"/>
      <c r="O246" s="50"/>
      <c r="P246" s="50"/>
      <c r="Q246" s="30">
        <v>242</v>
      </c>
      <c r="R246" s="61"/>
      <c r="S246" s="46">
        <f>INDEX('Locations'!$D$6:$D$455,MATCH(B246,'Locations'!$A$6:$A$455,0))</f>
        <v>42.726747534588</v>
      </c>
      <c r="T246" s="46">
        <f>INDEX('Locations'!$E$6:$E$455,MATCH(B246,'Locations'!$A$6:$A$455,0))</f>
        <v>-73.67633286898131</v>
      </c>
      <c r="U246" s="46">
        <f>INDEX('Locations'!$D$6:$D$455,MATCH(C246,'Locations'!$A$6:$A$455,0))</f>
        <v>42.7267050026023</v>
      </c>
      <c r="V246" s="73">
        <f>INDEX('Locations'!$E$6:$E$455,MATCH(C246,'Locations'!$A$6:$A$455,0))</f>
        <v>-73.67588721069539</v>
      </c>
      <c r="W246" s="44"/>
    </row>
    <row r="247" ht="23.1" customHeight="1">
      <c r="A247" t="s" s="24">
        <v>857</v>
      </c>
      <c r="B247" t="s" s="53">
        <v>368</v>
      </c>
      <c r="C247" t="s" s="53">
        <v>367</v>
      </c>
      <c r="D247" t="s" s="53">
        <v>614</v>
      </c>
      <c r="E247" s="74">
        <f>2*6371000*ASIN(SQRT(MIN(1,SIN(RADIANS(U247-S247)/2)^2+COS(RADIANS(S247))*COS(RADIANS(U247))*SIN(RADIANS(V247-T247)/2)^2)))</f>
        <v>24.3859576254953</v>
      </c>
      <c r="F247" t="s" s="48">
        <v>70</v>
      </c>
      <c r="G247" t="s" s="48">
        <v>69</v>
      </c>
      <c r="H247" t="s" s="48">
        <v>69</v>
      </c>
      <c r="I247" t="s" s="48">
        <v>69</v>
      </c>
      <c r="J247" t="s" s="48">
        <v>69</v>
      </c>
      <c r="K247" s="72"/>
      <c r="L247" s="72"/>
      <c r="M247" s="50"/>
      <c r="N247" s="49"/>
      <c r="O247" s="50"/>
      <c r="P247" s="50"/>
      <c r="Q247" s="32">
        <v>243</v>
      </c>
      <c r="R247" s="64"/>
      <c r="S247" s="54">
        <f>INDEX('Locations'!$D$6:$D$455,MATCH(B247,'Locations'!$A$6:$A$455,0))</f>
        <v>42.7270199691987</v>
      </c>
      <c r="T247" s="54">
        <f>INDEX('Locations'!$E$6:$E$455,MATCH(B247,'Locations'!$A$6:$A$455,0))</f>
        <v>-73.67535401238911</v>
      </c>
      <c r="U247" s="54">
        <f>INDEX('Locations'!$D$6:$D$455,MATCH(C247,'Locations'!$A$6:$A$455,0))</f>
        <v>42.7268165053755</v>
      </c>
      <c r="V247" s="75">
        <f>INDEX('Locations'!$E$6:$E$455,MATCH(C247,'Locations'!$A$6:$A$455,0))</f>
        <v>-73.6754654269606</v>
      </c>
      <c r="W247" s="44"/>
    </row>
    <row r="248" ht="23.1" customHeight="1">
      <c r="A248" t="s" s="21">
        <v>858</v>
      </c>
      <c r="B248" t="s" s="45">
        <v>366</v>
      </c>
      <c r="C248" t="s" s="45">
        <v>367</v>
      </c>
      <c r="D248" t="s" s="45">
        <v>614</v>
      </c>
      <c r="E248" s="71">
        <f>2*6371000*ASIN(SQRT(MIN(1,SIN(RADIANS(U248-S248)/2)^2+COS(RADIANS(S248))*COS(RADIANS(U248))*SIN(RADIANS(V248-T248)/2)^2)))</f>
        <v>36.6158252094754</v>
      </c>
      <c r="F248" t="s" s="48">
        <v>70</v>
      </c>
      <c r="G248" t="s" s="48">
        <v>69</v>
      </c>
      <c r="H248" t="s" s="48">
        <v>69</v>
      </c>
      <c r="I248" t="s" s="48">
        <v>69</v>
      </c>
      <c r="J248" t="s" s="48">
        <v>69</v>
      </c>
      <c r="K248" s="72"/>
      <c r="L248" s="72"/>
      <c r="M248" s="50"/>
      <c r="N248" s="49"/>
      <c r="O248" s="50"/>
      <c r="P248" s="50"/>
      <c r="Q248" s="30">
        <v>244</v>
      </c>
      <c r="R248" s="61"/>
      <c r="S248" s="46">
        <f>INDEX('Locations'!$D$6:$D$455,MATCH(B248,'Locations'!$A$6:$A$455,0))</f>
        <v>42.7267050026023</v>
      </c>
      <c r="T248" s="46">
        <f>INDEX('Locations'!$E$6:$E$455,MATCH(B248,'Locations'!$A$6:$A$455,0))</f>
        <v>-73.67588721069539</v>
      </c>
      <c r="U248" s="46">
        <f>INDEX('Locations'!$D$6:$D$455,MATCH(C248,'Locations'!$A$6:$A$455,0))</f>
        <v>42.7268165053755</v>
      </c>
      <c r="V248" s="73">
        <f>INDEX('Locations'!$E$6:$E$455,MATCH(C248,'Locations'!$A$6:$A$455,0))</f>
        <v>-73.6754654269606</v>
      </c>
      <c r="W248" s="44"/>
    </row>
    <row r="249" ht="23.1" customHeight="1">
      <c r="A249" t="s" s="24">
        <v>859</v>
      </c>
      <c r="B249" t="s" s="53">
        <v>365</v>
      </c>
      <c r="C249" t="s" s="53">
        <v>369</v>
      </c>
      <c r="D249" t="s" s="53">
        <v>614</v>
      </c>
      <c r="E249" s="74">
        <f>2*6371000*ASIN(SQRT(MIN(1,SIN(RADIANS(U249-S249)/2)^2+COS(RADIANS(S249))*COS(RADIANS(U249))*SIN(RADIANS(V249-T249)/2)^2)))</f>
        <v>70.5516968805117</v>
      </c>
      <c r="F249" t="s" s="48">
        <v>70</v>
      </c>
      <c r="G249" t="s" s="48">
        <v>69</v>
      </c>
      <c r="H249" t="s" s="48">
        <v>69</v>
      </c>
      <c r="I249" t="s" s="48">
        <v>69</v>
      </c>
      <c r="J249" t="s" s="48">
        <v>69</v>
      </c>
      <c r="K249" s="72"/>
      <c r="L249" s="72"/>
      <c r="M249" s="50"/>
      <c r="N249" s="49"/>
      <c r="O249" s="50"/>
      <c r="P249" s="50"/>
      <c r="Q249" s="32">
        <v>245</v>
      </c>
      <c r="R249" s="64"/>
      <c r="S249" s="54">
        <f>INDEX('Locations'!$D$6:$D$455,MATCH(B249,'Locations'!$A$6:$A$455,0))</f>
        <v>42.726747534588</v>
      </c>
      <c r="T249" s="54">
        <f>INDEX('Locations'!$E$6:$E$455,MATCH(B249,'Locations'!$A$6:$A$455,0))</f>
        <v>-73.67633286898131</v>
      </c>
      <c r="U249" s="54">
        <f>INDEX('Locations'!$D$6:$D$455,MATCH(C249,'Locations'!$A$6:$A$455,0))</f>
        <v>42.7263187661922</v>
      </c>
      <c r="V249" s="75">
        <f>INDEX('Locations'!$E$6:$E$455,MATCH(C249,'Locations'!$A$6:$A$455,0))</f>
        <v>-73.6756962142872</v>
      </c>
      <c r="W249" s="44"/>
    </row>
    <row r="250" ht="23.1" customHeight="1">
      <c r="A250" t="s" s="21">
        <v>860</v>
      </c>
      <c r="B250" t="s" s="45">
        <v>370</v>
      </c>
      <c r="C250" t="s" s="45">
        <v>369</v>
      </c>
      <c r="D250" t="s" s="45">
        <v>614</v>
      </c>
      <c r="E250" s="71">
        <f>2*6371000*ASIN(SQRT(MIN(1,SIN(RADIANS(U250-S250)/2)^2+COS(RADIANS(S250))*COS(RADIANS(U250))*SIN(RADIANS(V250-T250)/2)^2)))</f>
        <v>64.4875673753544</v>
      </c>
      <c r="F250" t="s" s="48">
        <v>70</v>
      </c>
      <c r="G250" t="s" s="48">
        <v>69</v>
      </c>
      <c r="H250" t="s" s="48">
        <v>69</v>
      </c>
      <c r="I250" t="s" s="48">
        <v>69</v>
      </c>
      <c r="J250" t="s" s="48">
        <v>69</v>
      </c>
      <c r="K250" s="72"/>
      <c r="L250" s="72"/>
      <c r="M250" s="50"/>
      <c r="N250" s="49"/>
      <c r="O250" s="50"/>
      <c r="P250" s="50"/>
      <c r="Q250" s="30">
        <v>246</v>
      </c>
      <c r="R250" s="61"/>
      <c r="S250" s="46">
        <f>INDEX('Locations'!$D$6:$D$455,MATCH(B250,'Locations'!$A$6:$A$455,0))</f>
        <v>42.7258049338252</v>
      </c>
      <c r="T250" s="46">
        <f>INDEX('Locations'!$E$6:$E$455,MATCH(B250,'Locations'!$A$6:$A$455,0))</f>
        <v>-73.6753301378381</v>
      </c>
      <c r="U250" s="46">
        <f>INDEX('Locations'!$D$6:$D$455,MATCH(C250,'Locations'!$A$6:$A$455,0))</f>
        <v>42.7263187661922</v>
      </c>
      <c r="V250" s="73">
        <f>INDEX('Locations'!$E$6:$E$455,MATCH(C250,'Locations'!$A$6:$A$455,0))</f>
        <v>-73.6756962142872</v>
      </c>
      <c r="W250" s="44"/>
    </row>
    <row r="251" ht="23.1" customHeight="1">
      <c r="A251" t="s" s="24">
        <v>861</v>
      </c>
      <c r="B251" t="s" s="53">
        <v>370</v>
      </c>
      <c r="C251" t="s" s="53">
        <v>371</v>
      </c>
      <c r="D251" t="s" s="53">
        <v>614</v>
      </c>
      <c r="E251" s="74">
        <f>2*6371000*ASIN(SQRT(MIN(1,SIN(RADIANS(U251-S251)/2)^2+COS(RADIANS(S251))*COS(RADIANS(U251))*SIN(RADIANS(V251-T251)/2)^2)))</f>
        <v>68.1280747362993</v>
      </c>
      <c r="F251" t="s" s="48">
        <v>70</v>
      </c>
      <c r="G251" t="s" s="48">
        <v>69</v>
      </c>
      <c r="H251" t="s" s="48">
        <v>69</v>
      </c>
      <c r="I251" t="s" s="48">
        <v>69</v>
      </c>
      <c r="J251" t="s" s="48">
        <v>69</v>
      </c>
      <c r="K251" s="72"/>
      <c r="L251" s="72"/>
      <c r="M251" s="50"/>
      <c r="N251" s="49"/>
      <c r="O251" s="50"/>
      <c r="P251" s="50"/>
      <c r="Q251" s="32">
        <v>247</v>
      </c>
      <c r="R251" s="64"/>
      <c r="S251" s="54">
        <f>INDEX('Locations'!$D$6:$D$455,MATCH(B251,'Locations'!$A$6:$A$455,0))</f>
        <v>42.7258049338252</v>
      </c>
      <c r="T251" s="54">
        <f>INDEX('Locations'!$E$6:$E$455,MATCH(B251,'Locations'!$A$6:$A$455,0))</f>
        <v>-73.6753301378381</v>
      </c>
      <c r="U251" s="54">
        <f>INDEX('Locations'!$D$6:$D$455,MATCH(C251,'Locations'!$A$6:$A$455,0))</f>
        <v>42.7251922433294</v>
      </c>
      <c r="V251" s="75">
        <f>INDEX('Locations'!$E$6:$E$455,MATCH(C251,'Locations'!$A$6:$A$455,0))</f>
        <v>-73.6753301378381</v>
      </c>
      <c r="W251" s="44"/>
    </row>
    <row r="252" ht="23.1" customHeight="1">
      <c r="A252" t="s" s="21">
        <v>862</v>
      </c>
      <c r="B252" t="s" s="45">
        <v>362</v>
      </c>
      <c r="C252" t="s" s="45">
        <v>372</v>
      </c>
      <c r="D252" t="s" s="45">
        <v>614</v>
      </c>
      <c r="E252" s="71">
        <f>2*6371000*ASIN(SQRT(MIN(1,SIN(RADIANS(U252-S252)/2)^2+COS(RADIANS(S252))*COS(RADIANS(U252))*SIN(RADIANS(V252-T252)/2)^2)))</f>
        <v>28.6797223923003</v>
      </c>
      <c r="F252" t="s" s="48">
        <v>70</v>
      </c>
      <c r="G252" t="s" s="48">
        <v>69</v>
      </c>
      <c r="H252" t="s" s="48">
        <v>69</v>
      </c>
      <c r="I252" t="s" s="48">
        <v>69</v>
      </c>
      <c r="J252" t="s" s="48">
        <v>69</v>
      </c>
      <c r="K252" s="72"/>
      <c r="L252" s="72"/>
      <c r="M252" s="50"/>
      <c r="N252" s="49"/>
      <c r="O252" s="50"/>
      <c r="P252" s="50"/>
      <c r="Q252" s="30">
        <v>248</v>
      </c>
      <c r="R252" s="61"/>
      <c r="S252" s="46">
        <f>INDEX('Locations'!$D$6:$D$455,MATCH(B252,'Locations'!$A$6:$A$455,0))</f>
        <v>42.7304144814577</v>
      </c>
      <c r="T252" s="46">
        <f>INDEX('Locations'!$E$6:$E$455,MATCH(B252,'Locations'!$A$6:$A$455,0))</f>
        <v>-73.6830654923715</v>
      </c>
      <c r="U252" s="46">
        <f>INDEX('Locations'!$D$6:$D$455,MATCH(C252,'Locations'!$A$6:$A$455,0))</f>
        <v>42.7301845788326</v>
      </c>
      <c r="V252" s="73">
        <f>INDEX('Locations'!$E$6:$E$455,MATCH(C252,'Locations'!$A$6:$A$455,0))</f>
        <v>-73.683224656045</v>
      </c>
      <c r="W252" s="44"/>
    </row>
    <row r="253" ht="23.1" customHeight="1">
      <c r="A253" t="s" s="24">
        <v>863</v>
      </c>
      <c r="B253" t="s" s="53">
        <v>376</v>
      </c>
      <c r="C253" t="s" s="53">
        <v>375</v>
      </c>
      <c r="D253" t="s" s="53">
        <v>614</v>
      </c>
      <c r="E253" s="74">
        <f>2*6371000*ASIN(SQRT(MIN(1,SIN(RADIANS(U253-S253)/2)^2+COS(RADIANS(S253))*COS(RADIANS(U253))*SIN(RADIANS(V253-T253)/2)^2)))</f>
        <v>17.8291134423806</v>
      </c>
      <c r="F253" t="s" s="48">
        <v>70</v>
      </c>
      <c r="G253" t="s" s="48">
        <v>69</v>
      </c>
      <c r="H253" t="s" s="48">
        <v>69</v>
      </c>
      <c r="I253" t="s" s="48">
        <v>69</v>
      </c>
      <c r="J253" t="s" s="48">
        <v>69</v>
      </c>
      <c r="K253" s="72"/>
      <c r="L253" s="72"/>
      <c r="M253" s="50"/>
      <c r="N253" s="49"/>
      <c r="O253" s="50"/>
      <c r="P253" s="50"/>
      <c r="Q253" s="32">
        <v>249</v>
      </c>
      <c r="R253" s="64"/>
      <c r="S253" s="54">
        <f>INDEX('Locations'!$D$6:$D$455,MATCH(B253,'Locations'!$A$6:$A$455,0))</f>
        <v>42.7308949779441</v>
      </c>
      <c r="T253" s="54">
        <f>INDEX('Locations'!$E$6:$E$455,MATCH(B253,'Locations'!$A$6:$A$455,0))</f>
        <v>-73.6836225652288</v>
      </c>
      <c r="U253" s="54">
        <f>INDEX('Locations'!$D$6:$D$455,MATCH(C253,'Locations'!$A$6:$A$455,0))</f>
        <v>42.7308076149466</v>
      </c>
      <c r="V253" s="75">
        <f>INDEX('Locations'!$E$6:$E$455,MATCH(C253,'Locations'!$A$6:$A$455,0))</f>
        <v>-73.6834395270043</v>
      </c>
      <c r="W253" s="44"/>
    </row>
    <row r="254" ht="23.1" customHeight="1">
      <c r="A254" t="s" s="21">
        <v>864</v>
      </c>
      <c r="B254" t="s" s="45">
        <v>374</v>
      </c>
      <c r="C254" t="s" s="45">
        <v>373</v>
      </c>
      <c r="D254" t="s" s="45">
        <v>614</v>
      </c>
      <c r="E254" s="71">
        <f>2*6371000*ASIN(SQRT(MIN(1,SIN(RADIANS(U254-S254)/2)^2+COS(RADIANS(S254))*COS(RADIANS(U254))*SIN(RADIANS(V254-T254)/2)^2)))</f>
        <v>42.1746107850969</v>
      </c>
      <c r="F254" t="s" s="48">
        <v>70</v>
      </c>
      <c r="G254" t="s" s="48">
        <v>69</v>
      </c>
      <c r="H254" t="s" s="48">
        <v>69</v>
      </c>
      <c r="I254" t="s" s="48">
        <v>69</v>
      </c>
      <c r="J254" t="s" s="48">
        <v>69</v>
      </c>
      <c r="K254" s="72"/>
      <c r="L254" s="72"/>
      <c r="M254" s="50"/>
      <c r="N254" s="49"/>
      <c r="O254" s="50"/>
      <c r="P254" s="50"/>
      <c r="Q254" s="30">
        <v>250</v>
      </c>
      <c r="R254" s="61"/>
      <c r="S254" s="46">
        <f>INDEX('Locations'!$D$6:$D$455,MATCH(B254,'Locations'!$A$6:$A$455,0))</f>
        <v>42.7305524230327</v>
      </c>
      <c r="T254" s="46">
        <f>INDEX('Locations'!$E$6:$E$455,MATCH(B254,'Locations'!$A$6:$A$455,0))</f>
        <v>-73.68359709904099</v>
      </c>
      <c r="U254" s="46">
        <f>INDEX('Locations'!$D$6:$D$455,MATCH(C254,'Locations'!$A$6:$A$455,0))</f>
        <v>42.730178831267</v>
      </c>
      <c r="V254" s="73">
        <f>INDEX('Locations'!$E$6:$E$455,MATCH(C254,'Locations'!$A$6:$A$455,0))</f>
        <v>-73.6835079673839</v>
      </c>
      <c r="W254" s="44"/>
    </row>
    <row r="255" ht="23.1" customHeight="1">
      <c r="A255" t="s" s="24">
        <v>865</v>
      </c>
      <c r="B255" t="s" s="53">
        <v>372</v>
      </c>
      <c r="C255" t="s" s="53">
        <v>373</v>
      </c>
      <c r="D255" t="s" s="53">
        <v>614</v>
      </c>
      <c r="E255" s="74">
        <f>2*6371000*ASIN(SQRT(MIN(1,SIN(RADIANS(U255-S255)/2)^2+COS(RADIANS(S255))*COS(RADIANS(U255))*SIN(RADIANS(V255-T255)/2)^2)))</f>
        <v>23.1494220253077</v>
      </c>
      <c r="F255" t="s" s="48">
        <v>70</v>
      </c>
      <c r="G255" t="s" s="48">
        <v>69</v>
      </c>
      <c r="H255" t="s" s="48">
        <v>69</v>
      </c>
      <c r="I255" t="s" s="48">
        <v>69</v>
      </c>
      <c r="J255" t="s" s="48">
        <v>69</v>
      </c>
      <c r="K255" s="72"/>
      <c r="L255" s="72"/>
      <c r="M255" s="50"/>
      <c r="N255" s="49"/>
      <c r="O255" s="50"/>
      <c r="P255" s="50"/>
      <c r="Q255" s="32">
        <v>251</v>
      </c>
      <c r="R255" s="64"/>
      <c r="S255" s="54">
        <f>INDEX('Locations'!$D$6:$D$455,MATCH(B255,'Locations'!$A$6:$A$455,0))</f>
        <v>42.7301845788326</v>
      </c>
      <c r="T255" s="54">
        <f>INDEX('Locations'!$E$6:$E$455,MATCH(B255,'Locations'!$A$6:$A$455,0))</f>
        <v>-73.683224656045</v>
      </c>
      <c r="U255" s="54">
        <f>INDEX('Locations'!$D$6:$D$455,MATCH(C255,'Locations'!$A$6:$A$455,0))</f>
        <v>42.730178831267</v>
      </c>
      <c r="V255" s="75">
        <f>INDEX('Locations'!$E$6:$E$455,MATCH(C255,'Locations'!$A$6:$A$455,0))</f>
        <v>-73.6835079673839</v>
      </c>
      <c r="W255" s="44"/>
    </row>
    <row r="256" ht="23.1" customHeight="1">
      <c r="A256" t="s" s="21">
        <v>866</v>
      </c>
      <c r="B256" t="s" s="45">
        <v>374</v>
      </c>
      <c r="C256" t="s" s="45">
        <v>375</v>
      </c>
      <c r="D256" t="s" s="45">
        <v>614</v>
      </c>
      <c r="E256" s="71">
        <f>2*6371000*ASIN(SQRT(MIN(1,SIN(RADIANS(U256-S256)/2)^2+COS(RADIANS(S256))*COS(RADIANS(U256))*SIN(RADIANS(V256-T256)/2)^2)))</f>
        <v>31.1583503885077</v>
      </c>
      <c r="F256" t="s" s="48">
        <v>70</v>
      </c>
      <c r="G256" t="s" s="48">
        <v>69</v>
      </c>
      <c r="H256" t="s" s="48">
        <v>69</v>
      </c>
      <c r="I256" t="s" s="48">
        <v>69</v>
      </c>
      <c r="J256" t="s" s="48">
        <v>69</v>
      </c>
      <c r="K256" s="72"/>
      <c r="L256" s="72"/>
      <c r="M256" s="50"/>
      <c r="N256" s="49"/>
      <c r="O256" s="50"/>
      <c r="P256" s="50"/>
      <c r="Q256" s="30">
        <v>252</v>
      </c>
      <c r="R256" s="61"/>
      <c r="S256" s="46">
        <f>INDEX('Locations'!$D$6:$D$455,MATCH(B256,'Locations'!$A$6:$A$455,0))</f>
        <v>42.7305524230327</v>
      </c>
      <c r="T256" s="46">
        <f>INDEX('Locations'!$E$6:$E$455,MATCH(B256,'Locations'!$A$6:$A$455,0))</f>
        <v>-73.68359709904099</v>
      </c>
      <c r="U256" s="46">
        <f>INDEX('Locations'!$D$6:$D$455,MATCH(C256,'Locations'!$A$6:$A$455,0))</f>
        <v>42.7308076149466</v>
      </c>
      <c r="V256" s="73">
        <f>INDEX('Locations'!$E$6:$E$455,MATCH(C256,'Locations'!$A$6:$A$455,0))</f>
        <v>-73.6834395270043</v>
      </c>
      <c r="W256" s="44"/>
    </row>
    <row r="257" ht="23.1" customHeight="1">
      <c r="A257" t="s" s="24">
        <v>867</v>
      </c>
      <c r="B257" t="s" s="53">
        <v>376</v>
      </c>
      <c r="C257" t="s" s="53">
        <v>163</v>
      </c>
      <c r="D257" t="s" s="53">
        <v>614</v>
      </c>
      <c r="E257" s="74">
        <f>2*6371000*ASIN(SQRT(MIN(1,SIN(RADIANS(U257-S257)/2)^2+COS(RADIANS(S257))*COS(RADIANS(U257))*SIN(RADIANS(V257-T257)/2)^2)))</f>
        <v>28.3598135956358</v>
      </c>
      <c r="F257" t="s" s="48">
        <v>70</v>
      </c>
      <c r="G257" t="s" s="48">
        <v>69</v>
      </c>
      <c r="H257" t="s" s="48">
        <v>69</v>
      </c>
      <c r="I257" t="s" s="48">
        <v>69</v>
      </c>
      <c r="J257" t="s" s="48">
        <v>69</v>
      </c>
      <c r="K257" s="72"/>
      <c r="L257" s="72"/>
      <c r="M257" s="50"/>
      <c r="N257" s="49"/>
      <c r="O257" s="50"/>
      <c r="P257" s="50"/>
      <c r="Q257" s="32">
        <v>253</v>
      </c>
      <c r="R257" s="64"/>
      <c r="S257" s="54">
        <f>INDEX('Locations'!$D$6:$D$455,MATCH(B257,'Locations'!$A$6:$A$455,0))</f>
        <v>42.7308949779441</v>
      </c>
      <c r="T257" s="54">
        <f>INDEX('Locations'!$E$6:$E$455,MATCH(B257,'Locations'!$A$6:$A$455,0))</f>
        <v>-73.6836225652288</v>
      </c>
      <c r="U257" s="54">
        <f>INDEX('Locations'!$D$6:$D$455,MATCH(C257,'Locations'!$A$6:$A$455,0))</f>
        <v>42.731050009323</v>
      </c>
      <c r="V257" s="75">
        <f>INDEX('Locations'!$E$6:$E$455,MATCH(C257,'Locations'!$A$6:$A$455,0))</f>
        <v>-73.6833468604146</v>
      </c>
      <c r="W257" s="44"/>
    </row>
    <row r="258" ht="23.1" customHeight="1">
      <c r="A258" t="s" s="21">
        <v>868</v>
      </c>
      <c r="B258" t="s" s="45">
        <v>376</v>
      </c>
      <c r="C258" t="s" s="45">
        <v>377</v>
      </c>
      <c r="D258" t="s" s="45">
        <v>614</v>
      </c>
      <c r="E258" s="71">
        <f>2*6371000*ASIN(SQRT(MIN(1,SIN(RADIANS(U258-S258)/2)^2+COS(RADIANS(S258))*COS(RADIANS(U258))*SIN(RADIANS(V258-T258)/2)^2)))</f>
        <v>95.131557218057</v>
      </c>
      <c r="F258" t="s" s="48">
        <v>70</v>
      </c>
      <c r="G258" t="s" s="48">
        <v>69</v>
      </c>
      <c r="H258" t="s" s="48">
        <v>69</v>
      </c>
      <c r="I258" t="s" s="48">
        <v>69</v>
      </c>
      <c r="J258" t="s" s="48">
        <v>69</v>
      </c>
      <c r="K258" s="72"/>
      <c r="L258" s="72"/>
      <c r="M258" s="50"/>
      <c r="N258" s="49"/>
      <c r="O258" s="50"/>
      <c r="P258" s="50"/>
      <c r="Q258" s="30">
        <v>254</v>
      </c>
      <c r="R258" s="61"/>
      <c r="S258" s="46">
        <f>INDEX('Locations'!$D$6:$D$455,MATCH(B258,'Locations'!$A$6:$A$455,0))</f>
        <v>42.7308949779441</v>
      </c>
      <c r="T258" s="46">
        <f>INDEX('Locations'!$E$6:$E$455,MATCH(B258,'Locations'!$A$6:$A$455,0))</f>
        <v>-73.6836225652288</v>
      </c>
      <c r="U258" s="46">
        <f>INDEX('Locations'!$D$6:$D$455,MATCH(C258,'Locations'!$A$6:$A$455,0))</f>
        <v>42.7302512505939</v>
      </c>
      <c r="V258" s="73">
        <f>INDEX('Locations'!$E$6:$E$455,MATCH(C258,'Locations'!$A$6:$A$455,0))</f>
        <v>-73.68438973413519</v>
      </c>
      <c r="W258" s="44"/>
    </row>
    <row r="259" ht="23.1" customHeight="1">
      <c r="A259" t="s" s="24">
        <v>869</v>
      </c>
      <c r="B259" t="s" s="53">
        <v>378</v>
      </c>
      <c r="C259" t="s" s="53">
        <v>377</v>
      </c>
      <c r="D259" t="s" s="53">
        <v>614</v>
      </c>
      <c r="E259" s="74">
        <f>2*6371000*ASIN(SQRT(MIN(1,SIN(RADIANS(U259-S259)/2)^2+COS(RADIANS(S259))*COS(RADIANS(U259))*SIN(RADIANS(V259-T259)/2)^2)))</f>
        <v>60.8318570613374</v>
      </c>
      <c r="F259" t="s" s="48">
        <v>70</v>
      </c>
      <c r="G259" t="s" s="48">
        <v>69</v>
      </c>
      <c r="H259" t="s" s="48">
        <v>69</v>
      </c>
      <c r="I259" t="s" s="48">
        <v>69</v>
      </c>
      <c r="J259" t="s" s="48">
        <v>69</v>
      </c>
      <c r="K259" s="72"/>
      <c r="L259" s="72"/>
      <c r="M259" s="50"/>
      <c r="N259" s="49"/>
      <c r="O259" s="50"/>
      <c r="P259" s="50"/>
      <c r="Q259" s="32">
        <v>255</v>
      </c>
      <c r="R259" s="64"/>
      <c r="S259" s="54">
        <f>INDEX('Locations'!$D$6:$D$455,MATCH(B259,'Locations'!$A$6:$A$455,0))</f>
        <v>42.7297132784513</v>
      </c>
      <c r="T259" s="54">
        <f>INDEX('Locations'!$E$6:$E$455,MATCH(B259,'Locations'!$A$6:$A$455,0))</f>
        <v>-73.68452502325771</v>
      </c>
      <c r="U259" s="54">
        <f>INDEX('Locations'!$D$6:$D$455,MATCH(C259,'Locations'!$A$6:$A$455,0))</f>
        <v>42.7302512505939</v>
      </c>
      <c r="V259" s="75">
        <f>INDEX('Locations'!$E$6:$E$455,MATCH(C259,'Locations'!$A$6:$A$455,0))</f>
        <v>-73.68438973413519</v>
      </c>
      <c r="W259" s="44"/>
    </row>
    <row r="260" ht="23.1" customHeight="1">
      <c r="A260" t="s" s="21">
        <v>870</v>
      </c>
      <c r="B260" t="s" s="45">
        <v>382</v>
      </c>
      <c r="C260" t="s" s="45">
        <v>381</v>
      </c>
      <c r="D260" t="s" s="45">
        <v>614</v>
      </c>
      <c r="E260" s="71">
        <f>2*6371000*ASIN(SQRT(MIN(1,SIN(RADIANS(U260-S260)/2)^2+COS(RADIANS(S260))*COS(RADIANS(U260))*SIN(RADIANS(V260-T260)/2)^2)))</f>
        <v>12.6460034832589</v>
      </c>
      <c r="F260" t="s" s="48">
        <v>70</v>
      </c>
      <c r="G260" t="s" s="48">
        <v>69</v>
      </c>
      <c r="H260" t="s" s="48">
        <v>69</v>
      </c>
      <c r="I260" t="s" s="48">
        <v>69</v>
      </c>
      <c r="J260" t="s" s="48">
        <v>69</v>
      </c>
      <c r="K260" s="72"/>
      <c r="L260" s="72"/>
      <c r="M260" s="50"/>
      <c r="N260" s="49"/>
      <c r="O260" s="50"/>
      <c r="P260" s="50"/>
      <c r="Q260" s="30">
        <v>256</v>
      </c>
      <c r="R260" s="61"/>
      <c r="S260" s="46">
        <f>INDEX('Locations'!$D$6:$D$455,MATCH(B260,'Locations'!$A$6:$A$455,0))</f>
        <v>42.7289936832348</v>
      </c>
      <c r="T260" s="46">
        <f>INDEX('Locations'!$E$6:$E$455,MATCH(B260,'Locations'!$A$6:$A$455,0))</f>
        <v>-73.6847367109435</v>
      </c>
      <c r="U260" s="46">
        <f>INDEX('Locations'!$D$6:$D$455,MATCH(C260,'Locations'!$A$6:$A$455,0))</f>
        <v>42.7290270191155</v>
      </c>
      <c r="V260" s="73">
        <f>INDEX('Locations'!$E$6:$E$455,MATCH(C260,'Locations'!$A$6:$A$455,0))</f>
        <v>-73.6845886887271</v>
      </c>
      <c r="W260" s="44"/>
    </row>
    <row r="261" ht="23.1" customHeight="1">
      <c r="A261" t="s" s="24">
        <v>871</v>
      </c>
      <c r="B261" t="s" s="53">
        <v>380</v>
      </c>
      <c r="C261" t="s" s="53">
        <v>381</v>
      </c>
      <c r="D261" t="s" s="53">
        <v>614</v>
      </c>
      <c r="E261" s="74">
        <f>2*6371000*ASIN(SQRT(MIN(1,SIN(RADIANS(U261-S261)/2)^2+COS(RADIANS(S261))*COS(RADIANS(U261))*SIN(RADIANS(V261-T261)/2)^2)))</f>
        <v>18.7795675632017</v>
      </c>
      <c r="F261" t="s" s="48">
        <v>70</v>
      </c>
      <c r="G261" t="s" s="48">
        <v>69</v>
      </c>
      <c r="H261" t="s" s="48">
        <v>69</v>
      </c>
      <c r="I261" t="s" s="48">
        <v>69</v>
      </c>
      <c r="J261" t="s" s="48">
        <v>69</v>
      </c>
      <c r="K261" s="72"/>
      <c r="L261" s="72"/>
      <c r="M261" s="50"/>
      <c r="N261" s="49"/>
      <c r="O261" s="50"/>
      <c r="P261" s="50"/>
      <c r="Q261" s="32">
        <v>257</v>
      </c>
      <c r="R261" s="64"/>
      <c r="S261" s="54">
        <f>INDEX('Locations'!$D$6:$D$455,MATCH(B261,'Locations'!$A$6:$A$455,0))</f>
        <v>42.7291822033874</v>
      </c>
      <c r="T261" s="54">
        <f>INDEX('Locations'!$E$6:$E$455,MATCH(B261,'Locations'!$A$6:$A$455,0))</f>
        <v>-73.6844979654332</v>
      </c>
      <c r="U261" s="54">
        <f>INDEX('Locations'!$D$6:$D$455,MATCH(C261,'Locations'!$A$6:$A$455,0))</f>
        <v>42.7290270191155</v>
      </c>
      <c r="V261" s="75">
        <f>INDEX('Locations'!$E$6:$E$455,MATCH(C261,'Locations'!$A$6:$A$455,0))</f>
        <v>-73.6845886887271</v>
      </c>
      <c r="W261" s="44"/>
    </row>
    <row r="262" ht="23.1" customHeight="1">
      <c r="A262" t="s" s="21">
        <v>872</v>
      </c>
      <c r="B262" t="s" s="45">
        <v>379</v>
      </c>
      <c r="C262" t="s" s="45">
        <v>380</v>
      </c>
      <c r="D262" t="s" s="45">
        <v>614</v>
      </c>
      <c r="E262" s="71">
        <f>2*6371000*ASIN(SQRT(MIN(1,SIN(RADIANS(U262-S262)/2)^2+COS(RADIANS(S262))*COS(RADIANS(U262))*SIN(RADIANS(V262-T262)/2)^2)))</f>
        <v>33.1416746784797</v>
      </c>
      <c r="F262" t="s" s="48">
        <v>70</v>
      </c>
      <c r="G262" t="s" s="48">
        <v>69</v>
      </c>
      <c r="H262" t="s" s="48">
        <v>69</v>
      </c>
      <c r="I262" t="s" s="48">
        <v>69</v>
      </c>
      <c r="J262" t="s" s="48">
        <v>69</v>
      </c>
      <c r="K262" s="72"/>
      <c r="L262" s="72"/>
      <c r="M262" s="50"/>
      <c r="N262" s="49"/>
      <c r="O262" s="50"/>
      <c r="P262" s="50"/>
      <c r="Q262" s="30">
        <v>258</v>
      </c>
      <c r="R262" s="61"/>
      <c r="S262" s="46">
        <f>INDEX('Locations'!$D$6:$D$455,MATCH(B262,'Locations'!$A$6:$A$455,0))</f>
        <v>42.7294718806949</v>
      </c>
      <c r="T262" s="46">
        <f>INDEX('Locations'!$E$6:$E$455,MATCH(B262,'Locations'!$A$6:$A$455,0))</f>
        <v>-73.68440246722911</v>
      </c>
      <c r="U262" s="46">
        <f>INDEX('Locations'!$D$6:$D$455,MATCH(C262,'Locations'!$A$6:$A$455,0))</f>
        <v>42.7291822033874</v>
      </c>
      <c r="V262" s="73">
        <f>INDEX('Locations'!$E$6:$E$455,MATCH(C262,'Locations'!$A$6:$A$455,0))</f>
        <v>-73.6844979654332</v>
      </c>
      <c r="W262" s="44"/>
    </row>
    <row r="263" ht="23.1" customHeight="1">
      <c r="A263" t="s" s="24">
        <v>873</v>
      </c>
      <c r="B263" t="s" s="53">
        <v>378</v>
      </c>
      <c r="C263" t="s" s="53">
        <v>379</v>
      </c>
      <c r="D263" t="s" s="53">
        <v>614</v>
      </c>
      <c r="E263" s="74">
        <f>2*6371000*ASIN(SQRT(MIN(1,SIN(RADIANS(U263-S263)/2)^2+COS(RADIANS(S263))*COS(RADIANS(U263))*SIN(RADIANS(V263-T263)/2)^2)))</f>
        <v>28.6480574964794</v>
      </c>
      <c r="F263" t="s" s="48">
        <v>70</v>
      </c>
      <c r="G263" t="s" s="48">
        <v>69</v>
      </c>
      <c r="H263" t="s" s="48">
        <v>69</v>
      </c>
      <c r="I263" t="s" s="48">
        <v>69</v>
      </c>
      <c r="J263" t="s" s="48">
        <v>69</v>
      </c>
      <c r="K263" s="72"/>
      <c r="L263" s="72"/>
      <c r="M263" s="50"/>
      <c r="N263" s="49"/>
      <c r="O263" s="50"/>
      <c r="P263" s="50"/>
      <c r="Q263" s="32">
        <v>259</v>
      </c>
      <c r="R263" s="64"/>
      <c r="S263" s="54">
        <f>INDEX('Locations'!$D$6:$D$455,MATCH(B263,'Locations'!$A$6:$A$455,0))</f>
        <v>42.7297132784513</v>
      </c>
      <c r="T263" s="54">
        <f>INDEX('Locations'!$E$6:$E$455,MATCH(B263,'Locations'!$A$6:$A$455,0))</f>
        <v>-73.68452502325771</v>
      </c>
      <c r="U263" s="54">
        <f>INDEX('Locations'!$D$6:$D$455,MATCH(C263,'Locations'!$A$6:$A$455,0))</f>
        <v>42.7294718806949</v>
      </c>
      <c r="V263" s="75">
        <f>INDEX('Locations'!$E$6:$E$455,MATCH(C263,'Locations'!$A$6:$A$455,0))</f>
        <v>-73.68440246722911</v>
      </c>
      <c r="W263" s="44"/>
    </row>
    <row r="264" ht="23.1" customHeight="1">
      <c r="A264" t="s" s="21">
        <v>874</v>
      </c>
      <c r="B264" t="s" s="45">
        <v>382</v>
      </c>
      <c r="C264" t="s" s="45">
        <v>378</v>
      </c>
      <c r="D264" t="s" s="45">
        <v>614</v>
      </c>
      <c r="E264" s="71">
        <f>2*6371000*ASIN(SQRT(MIN(1,SIN(RADIANS(U264-S264)/2)^2+COS(RADIANS(S264))*COS(RADIANS(U264))*SIN(RADIANS(V264-T264)/2)^2)))</f>
        <v>81.8622119723817</v>
      </c>
      <c r="F264" t="s" s="48">
        <v>70</v>
      </c>
      <c r="G264" t="s" s="48">
        <v>69</v>
      </c>
      <c r="H264" t="s" s="48">
        <v>69</v>
      </c>
      <c r="I264" t="s" s="48">
        <v>69</v>
      </c>
      <c r="J264" t="s" s="48">
        <v>69</v>
      </c>
      <c r="K264" s="72"/>
      <c r="L264" s="72"/>
      <c r="M264" s="50"/>
      <c r="N264" s="49"/>
      <c r="O264" s="50"/>
      <c r="P264" s="50"/>
      <c r="Q264" s="30">
        <v>260</v>
      </c>
      <c r="R264" s="61"/>
      <c r="S264" s="46">
        <f>INDEX('Locations'!$D$6:$D$455,MATCH(B264,'Locations'!$A$6:$A$455,0))</f>
        <v>42.7289936832348</v>
      </c>
      <c r="T264" s="46">
        <f>INDEX('Locations'!$E$6:$E$455,MATCH(B264,'Locations'!$A$6:$A$455,0))</f>
        <v>-73.6847367109435</v>
      </c>
      <c r="U264" s="46">
        <f>INDEX('Locations'!$D$6:$D$455,MATCH(C264,'Locations'!$A$6:$A$455,0))</f>
        <v>42.7297132784513</v>
      </c>
      <c r="V264" s="73">
        <f>INDEX('Locations'!$E$6:$E$455,MATCH(C264,'Locations'!$A$6:$A$455,0))</f>
        <v>-73.68452502325771</v>
      </c>
      <c r="W264" s="44"/>
    </row>
    <row r="265" ht="23.1" customHeight="1">
      <c r="A265" t="s" s="24">
        <v>875</v>
      </c>
      <c r="B265" t="s" s="53">
        <v>382</v>
      </c>
      <c r="C265" t="s" s="53">
        <v>383</v>
      </c>
      <c r="D265" t="s" s="53">
        <v>614</v>
      </c>
      <c r="E265" s="74">
        <f>2*6371000*ASIN(SQRT(MIN(1,SIN(RADIANS(U265-S265)/2)^2+COS(RADIANS(S265))*COS(RADIANS(U265))*SIN(RADIANS(V265-T265)/2)^2)))</f>
        <v>51.6243965914173</v>
      </c>
      <c r="F265" t="s" s="48">
        <v>70</v>
      </c>
      <c r="G265" t="s" s="48">
        <v>69</v>
      </c>
      <c r="H265" t="s" s="48">
        <v>69</v>
      </c>
      <c r="I265" t="s" s="48">
        <v>69</v>
      </c>
      <c r="J265" t="s" s="48">
        <v>69</v>
      </c>
      <c r="K265" s="72"/>
      <c r="L265" s="72"/>
      <c r="M265" s="50"/>
      <c r="N265" s="49"/>
      <c r="O265" s="50"/>
      <c r="P265" s="50"/>
      <c r="Q265" s="32">
        <v>261</v>
      </c>
      <c r="R265" s="64"/>
      <c r="S265" s="54">
        <f>INDEX('Locations'!$D$6:$D$455,MATCH(B265,'Locations'!$A$6:$A$455,0))</f>
        <v>42.7289936832348</v>
      </c>
      <c r="T265" s="54">
        <f>INDEX('Locations'!$E$6:$E$455,MATCH(B265,'Locations'!$A$6:$A$455,0))</f>
        <v>-73.6847367109435</v>
      </c>
      <c r="U265" s="54">
        <f>INDEX('Locations'!$D$6:$D$455,MATCH(C265,'Locations'!$A$6:$A$455,0))</f>
        <v>42.7285373265241</v>
      </c>
      <c r="V265" s="75">
        <f>INDEX('Locations'!$E$6:$E$455,MATCH(C265,'Locations'!$A$6:$A$455,0))</f>
        <v>-73.6848529004252</v>
      </c>
      <c r="W265" s="44"/>
    </row>
    <row r="266" ht="23.1" customHeight="1">
      <c r="A266" t="s" s="21">
        <v>876</v>
      </c>
      <c r="B266" t="s" s="45">
        <v>385</v>
      </c>
      <c r="C266" t="s" s="45">
        <v>384</v>
      </c>
      <c r="D266" t="s" s="45">
        <v>614</v>
      </c>
      <c r="E266" s="71">
        <f>2*6371000*ASIN(SQRT(MIN(1,SIN(RADIANS(U266-S266)/2)^2+COS(RADIANS(S266))*COS(RADIANS(U266))*SIN(RADIANS(V266-T266)/2)^2)))</f>
        <v>29.4395500620952</v>
      </c>
      <c r="F266" t="s" s="48">
        <v>70</v>
      </c>
      <c r="G266" t="s" s="48">
        <v>69</v>
      </c>
      <c r="H266" t="s" s="48">
        <v>69</v>
      </c>
      <c r="I266" t="s" s="48">
        <v>69</v>
      </c>
      <c r="J266" t="s" s="48">
        <v>69</v>
      </c>
      <c r="K266" s="72"/>
      <c r="L266" s="72"/>
      <c r="M266" s="50"/>
      <c r="N266" s="49"/>
      <c r="O266" s="50"/>
      <c r="P266" s="50"/>
      <c r="Q266" s="30">
        <v>262</v>
      </c>
      <c r="R266" s="61"/>
      <c r="S266" s="46">
        <f>INDEX('Locations'!$D$6:$D$455,MATCH(B266,'Locations'!$A$6:$A$455,0))</f>
        <v>42.7287246971635</v>
      </c>
      <c r="T266" s="46">
        <f>INDEX('Locations'!$E$6:$E$455,MATCH(B266,'Locations'!$A$6:$A$455,0))</f>
        <v>-73.6844661326985</v>
      </c>
      <c r="U266" s="46">
        <f>INDEX('Locations'!$D$6:$D$455,MATCH(C266,'Locations'!$A$6:$A$455,0))</f>
        <v>42.7284832994072</v>
      </c>
      <c r="V266" s="73">
        <f>INDEX('Locations'!$E$6:$E$455,MATCH(C266,'Locations'!$A$6:$A$455,0))</f>
        <v>-73.6846141549149</v>
      </c>
      <c r="W266" s="44"/>
    </row>
    <row r="267" ht="23.1" customHeight="1">
      <c r="A267" t="s" s="24">
        <v>877</v>
      </c>
      <c r="B267" t="s" s="53">
        <v>383</v>
      </c>
      <c r="C267" t="s" s="53">
        <v>384</v>
      </c>
      <c r="D267" t="s" s="53">
        <v>614</v>
      </c>
      <c r="E267" s="74">
        <f>2*6371000*ASIN(SQRT(MIN(1,SIN(RADIANS(U267-S267)/2)^2+COS(RADIANS(S267))*COS(RADIANS(U267))*SIN(RADIANS(V267-T267)/2)^2)))</f>
        <v>20.4054088695379</v>
      </c>
      <c r="F267" t="s" s="48">
        <v>70</v>
      </c>
      <c r="G267" t="s" s="48">
        <v>69</v>
      </c>
      <c r="H267" t="s" s="48">
        <v>69</v>
      </c>
      <c r="I267" t="s" s="48">
        <v>69</v>
      </c>
      <c r="J267" t="s" s="48">
        <v>69</v>
      </c>
      <c r="K267" s="72"/>
      <c r="L267" s="72"/>
      <c r="M267" s="50"/>
      <c r="N267" s="49"/>
      <c r="O267" s="50"/>
      <c r="P267" s="50"/>
      <c r="Q267" s="32">
        <v>263</v>
      </c>
      <c r="R267" s="64"/>
      <c r="S267" s="54">
        <f>INDEX('Locations'!$D$6:$D$455,MATCH(B267,'Locations'!$A$6:$A$455,0))</f>
        <v>42.7285373265241</v>
      </c>
      <c r="T267" s="54">
        <f>INDEX('Locations'!$E$6:$E$455,MATCH(B267,'Locations'!$A$6:$A$455,0))</f>
        <v>-73.6848529004252</v>
      </c>
      <c r="U267" s="54">
        <f>INDEX('Locations'!$D$6:$D$455,MATCH(C267,'Locations'!$A$6:$A$455,0))</f>
        <v>42.7284832994072</v>
      </c>
      <c r="V267" s="75">
        <f>INDEX('Locations'!$E$6:$E$455,MATCH(C267,'Locations'!$A$6:$A$455,0))</f>
        <v>-73.6846141549149</v>
      </c>
      <c r="W267" s="44"/>
    </row>
    <row r="268" ht="23.1" customHeight="1">
      <c r="A268" t="s" s="21">
        <v>878</v>
      </c>
      <c r="B268" t="s" s="45">
        <v>385</v>
      </c>
      <c r="C268" t="s" s="45">
        <v>123</v>
      </c>
      <c r="D268" t="s" s="45">
        <v>614</v>
      </c>
      <c r="E268" s="71">
        <f>2*6371000*ASIN(SQRT(MIN(1,SIN(RADIANS(U268-S268)/2)^2+COS(RADIANS(S268))*COS(RADIANS(U268))*SIN(RADIANS(V268-T268)/2)^2)))</f>
        <v>72.2405150736534</v>
      </c>
      <c r="F268" t="s" s="48">
        <v>70</v>
      </c>
      <c r="G268" t="s" s="48">
        <v>69</v>
      </c>
      <c r="H268" t="s" s="48">
        <v>69</v>
      </c>
      <c r="I268" t="s" s="48">
        <v>69</v>
      </c>
      <c r="J268" t="s" s="48">
        <v>69</v>
      </c>
      <c r="K268" s="72"/>
      <c r="L268" s="72"/>
      <c r="M268" s="50"/>
      <c r="N268" s="49"/>
      <c r="O268" s="50"/>
      <c r="P268" s="50"/>
      <c r="Q268" s="30">
        <v>264</v>
      </c>
      <c r="R268" s="61"/>
      <c r="S268" s="46">
        <f>INDEX('Locations'!$D$6:$D$455,MATCH(B268,'Locations'!$A$6:$A$455,0))</f>
        <v>42.7287246971635</v>
      </c>
      <c r="T268" s="46">
        <f>INDEX('Locations'!$E$6:$E$455,MATCH(B268,'Locations'!$A$6:$A$455,0))</f>
        <v>-73.6844661326985</v>
      </c>
      <c r="U268" s="46">
        <f>INDEX('Locations'!$D$6:$D$455,MATCH(C268,'Locations'!$A$6:$A$455,0))</f>
        <v>42.7288955249045</v>
      </c>
      <c r="V268" s="73">
        <f>INDEX('Locations'!$E$6:$E$455,MATCH(C268,'Locations'!$A$6:$A$455,0))</f>
        <v>-73.6836128303383</v>
      </c>
      <c r="W268" s="44"/>
    </row>
    <row r="269" ht="23.1" customHeight="1">
      <c r="A269" t="s" s="24">
        <v>879</v>
      </c>
      <c r="B269" t="s" s="53">
        <v>315</v>
      </c>
      <c r="C269" t="s" s="53">
        <v>79</v>
      </c>
      <c r="D269" t="s" s="53">
        <v>614</v>
      </c>
      <c r="E269" s="74">
        <f>2*6371000*ASIN(SQRT(MIN(1,SIN(RADIANS(U269-S269)/2)^2+COS(RADIANS(S269))*COS(RADIANS(U269))*SIN(RADIANS(V269-T269)/2)^2)))</f>
        <v>10.4458253540247</v>
      </c>
      <c r="F269" t="s" s="48">
        <v>70</v>
      </c>
      <c r="G269" t="s" s="48">
        <v>69</v>
      </c>
      <c r="H269" t="s" s="48">
        <v>69</v>
      </c>
      <c r="I269" t="s" s="48">
        <v>69</v>
      </c>
      <c r="J269" t="s" s="48">
        <v>69</v>
      </c>
      <c r="K269" s="72"/>
      <c r="L269" s="72"/>
      <c r="M269" s="50"/>
      <c r="N269" s="49"/>
      <c r="O269" s="50"/>
      <c r="P269" s="50"/>
      <c r="Q269" s="32">
        <v>265</v>
      </c>
      <c r="R269" s="64"/>
      <c r="S269" s="54">
        <f>INDEX('Locations'!$D$6:$D$455,MATCH(B269,'Locations'!$A$6:$A$455,0))</f>
        <v>42.7302374564364</v>
      </c>
      <c r="T269" s="54">
        <f>INDEX('Locations'!$E$6:$E$455,MATCH(B269,'Locations'!$A$6:$A$455,0))</f>
        <v>-73.68229195691811</v>
      </c>
      <c r="U269" s="54">
        <f>INDEX('Locations'!$D$6:$D$455,MATCH(C269,'Locations'!$A$6:$A$455,0))</f>
        <v>42.7301435187315</v>
      </c>
      <c r="V269" s="75">
        <f>INDEX('Locations'!$E$6:$E$455,MATCH(C269,'Locations'!$A$6:$A$455,0))</f>
        <v>-73.6822907976733</v>
      </c>
      <c r="W269" s="44"/>
    </row>
    <row r="270" ht="23.1" customHeight="1">
      <c r="A270" t="s" s="21">
        <v>880</v>
      </c>
      <c r="B270" t="s" s="45">
        <v>314</v>
      </c>
      <c r="C270" t="s" s="45">
        <v>79</v>
      </c>
      <c r="D270" t="s" s="45">
        <v>614</v>
      </c>
      <c r="E270" s="71">
        <f>2*6371000*ASIN(SQRT(MIN(1,SIN(RADIANS(U270-S270)/2)^2+COS(RADIANS(S270))*COS(RADIANS(U270))*SIN(RADIANS(V270-T270)/2)^2)))</f>
        <v>46.0961662756937</v>
      </c>
      <c r="F270" t="s" s="48">
        <v>70</v>
      </c>
      <c r="G270" t="s" s="48">
        <v>69</v>
      </c>
      <c r="H270" t="s" s="48">
        <v>69</v>
      </c>
      <c r="I270" t="s" s="48">
        <v>69</v>
      </c>
      <c r="J270" t="s" s="48">
        <v>69</v>
      </c>
      <c r="K270" s="72"/>
      <c r="L270" s="72"/>
      <c r="M270" s="50"/>
      <c r="N270" s="49"/>
      <c r="O270" s="50"/>
      <c r="P270" s="50"/>
      <c r="Q270" s="30">
        <v>266</v>
      </c>
      <c r="R270" s="61"/>
      <c r="S270" s="46">
        <f>INDEX('Locations'!$D$6:$D$455,MATCH(B270,'Locations'!$A$6:$A$455,0))</f>
        <v>42.7304489668515</v>
      </c>
      <c r="T270" s="46">
        <f>INDEX('Locations'!$E$6:$E$455,MATCH(B270,'Locations'!$A$6:$A$455,0))</f>
        <v>-73.6826723580979</v>
      </c>
      <c r="U270" s="46">
        <f>INDEX('Locations'!$D$6:$D$455,MATCH(C270,'Locations'!$A$6:$A$455,0))</f>
        <v>42.7301435187315</v>
      </c>
      <c r="V270" s="73">
        <f>INDEX('Locations'!$E$6:$E$455,MATCH(C270,'Locations'!$A$6:$A$455,0))</f>
        <v>-73.6822907976733</v>
      </c>
      <c r="W270" s="44"/>
    </row>
    <row r="271" ht="23.1" customHeight="1">
      <c r="A271" t="s" s="24">
        <v>881</v>
      </c>
      <c r="B271" t="s" s="53">
        <v>388</v>
      </c>
      <c r="C271" t="s" s="53">
        <v>302</v>
      </c>
      <c r="D271" t="s" s="53">
        <v>614</v>
      </c>
      <c r="E271" s="74">
        <f>2*6371000*ASIN(SQRT(MIN(1,SIN(RADIANS(U271-S271)/2)^2+COS(RADIANS(S271))*COS(RADIANS(U271))*SIN(RADIANS(V271-T271)/2)^2)))</f>
        <v>45.6266845655474</v>
      </c>
      <c r="F271" t="s" s="48">
        <v>70</v>
      </c>
      <c r="G271" t="s" s="48">
        <v>69</v>
      </c>
      <c r="H271" t="s" s="48">
        <v>69</v>
      </c>
      <c r="I271" t="s" s="48">
        <v>69</v>
      </c>
      <c r="J271" t="s" s="48">
        <v>69</v>
      </c>
      <c r="K271" s="72"/>
      <c r="L271" s="72"/>
      <c r="M271" s="50"/>
      <c r="N271" s="49"/>
      <c r="O271" s="50"/>
      <c r="P271" s="50"/>
      <c r="Q271" s="32">
        <v>267</v>
      </c>
      <c r="R271" s="64"/>
      <c r="S271" s="54">
        <f>INDEX('Locations'!$D$6:$D$455,MATCH(B271,'Locations'!$A$6:$A$455,0))</f>
        <v>42.729985713062</v>
      </c>
      <c r="T271" s="54">
        <f>INDEX('Locations'!$E$6:$E$455,MATCH(B271,'Locations'!$A$6:$A$455,0))</f>
        <v>-73.68231423983239</v>
      </c>
      <c r="U271" s="54">
        <f>INDEX('Locations'!$D$6:$D$455,MATCH(C271,'Locations'!$A$6:$A$455,0))</f>
        <v>42.729839724895</v>
      </c>
      <c r="V271" s="75">
        <f>INDEX('Locations'!$E$6:$E$455,MATCH(C271,'Locations'!$A$6:$A$455,0))</f>
        <v>-73.6817921829833</v>
      </c>
      <c r="W271" s="44"/>
    </row>
    <row r="272" ht="23.1" customHeight="1">
      <c r="A272" t="s" s="21">
        <v>882</v>
      </c>
      <c r="B272" t="s" s="45">
        <v>387</v>
      </c>
      <c r="C272" t="s" s="45">
        <v>388</v>
      </c>
      <c r="D272" t="s" s="45">
        <v>614</v>
      </c>
      <c r="E272" s="71">
        <f>2*6371000*ASIN(SQRT(MIN(1,SIN(RADIANS(U272-S272)/2)^2+COS(RADIANS(S272))*COS(RADIANS(U272))*SIN(RADIANS(V272-T272)/2)^2)))</f>
        <v>42.0416941353912</v>
      </c>
      <c r="F272" t="s" s="48">
        <v>70</v>
      </c>
      <c r="G272" t="s" s="48">
        <v>69</v>
      </c>
      <c r="H272" t="s" s="48">
        <v>69</v>
      </c>
      <c r="I272" t="s" s="48">
        <v>69</v>
      </c>
      <c r="J272" t="s" s="48">
        <v>69</v>
      </c>
      <c r="K272" s="72"/>
      <c r="L272" s="72"/>
      <c r="M272" s="50"/>
      <c r="N272" s="49"/>
      <c r="O272" s="50"/>
      <c r="P272" s="50"/>
      <c r="Q272" s="30">
        <v>268</v>
      </c>
      <c r="R272" s="61"/>
      <c r="S272" s="46">
        <f>INDEX('Locations'!$D$6:$D$455,MATCH(B272,'Locations'!$A$6:$A$455,0))</f>
        <v>42.7298282297638</v>
      </c>
      <c r="T272" s="46">
        <f>INDEX('Locations'!$E$6:$E$455,MATCH(B272,'Locations'!$A$6:$A$455,0))</f>
        <v>-73.68278218103259</v>
      </c>
      <c r="U272" s="46">
        <f>INDEX('Locations'!$D$6:$D$455,MATCH(C272,'Locations'!$A$6:$A$455,0))</f>
        <v>42.729985713062</v>
      </c>
      <c r="V272" s="73">
        <f>INDEX('Locations'!$E$6:$E$455,MATCH(C272,'Locations'!$A$6:$A$455,0))</f>
        <v>-73.68231423983239</v>
      </c>
      <c r="W272" s="44"/>
    </row>
    <row r="273" ht="23.1" customHeight="1">
      <c r="A273" t="s" s="24">
        <v>883</v>
      </c>
      <c r="B273" t="s" s="53">
        <v>386</v>
      </c>
      <c r="C273" t="s" s="53">
        <v>387</v>
      </c>
      <c r="D273" t="s" s="53">
        <v>614</v>
      </c>
      <c r="E273" s="74">
        <f>2*6371000*ASIN(SQRT(MIN(1,SIN(RADIANS(U273-S273)/2)^2+COS(RADIANS(S273))*COS(RADIANS(U273))*SIN(RADIANS(V273-T273)/2)^2)))</f>
        <v>26.2855360095412</v>
      </c>
      <c r="F273" t="s" s="48">
        <v>70</v>
      </c>
      <c r="G273" t="s" s="48">
        <v>69</v>
      </c>
      <c r="H273" t="s" s="48">
        <v>69</v>
      </c>
      <c r="I273" t="s" s="48">
        <v>69</v>
      </c>
      <c r="J273" t="s" s="48">
        <v>69</v>
      </c>
      <c r="K273" s="72"/>
      <c r="L273" s="72"/>
      <c r="M273" s="50"/>
      <c r="N273" s="49"/>
      <c r="O273" s="50"/>
      <c r="P273" s="50"/>
      <c r="Q273" s="32">
        <v>269</v>
      </c>
      <c r="R273" s="64"/>
      <c r="S273" s="54">
        <f>INDEX('Locations'!$D$6:$D$455,MATCH(B273,'Locations'!$A$6:$A$455,0))</f>
        <v>42.7300638799545</v>
      </c>
      <c r="T273" s="54">
        <f>INDEX('Locations'!$E$6:$E$455,MATCH(B273,'Locations'!$A$6:$A$455,0))</f>
        <v>-73.6828076472204</v>
      </c>
      <c r="U273" s="54">
        <f>INDEX('Locations'!$D$6:$D$455,MATCH(C273,'Locations'!$A$6:$A$455,0))</f>
        <v>42.7298282297638</v>
      </c>
      <c r="V273" s="75">
        <f>INDEX('Locations'!$E$6:$E$455,MATCH(C273,'Locations'!$A$6:$A$455,0))</f>
        <v>-73.68278218103259</v>
      </c>
      <c r="W273" s="44"/>
    </row>
    <row r="274" ht="23.1" customHeight="1">
      <c r="A274" t="s" s="21">
        <v>884</v>
      </c>
      <c r="B274" t="s" s="45">
        <v>79</v>
      </c>
      <c r="C274" t="s" s="45">
        <v>386</v>
      </c>
      <c r="D274" t="s" s="45">
        <v>614</v>
      </c>
      <c r="E274" s="71">
        <f>2*6371000*ASIN(SQRT(MIN(1,SIN(RADIANS(U274-S274)/2)^2+COS(RADIANS(S274))*COS(RADIANS(U274))*SIN(RADIANS(V274-T274)/2)^2)))</f>
        <v>43.134612026428</v>
      </c>
      <c r="F274" t="s" s="48">
        <v>70</v>
      </c>
      <c r="G274" t="s" s="48">
        <v>69</v>
      </c>
      <c r="H274" t="s" s="48">
        <v>69</v>
      </c>
      <c r="I274" t="s" s="48">
        <v>69</v>
      </c>
      <c r="J274" t="s" s="48">
        <v>69</v>
      </c>
      <c r="K274" s="72"/>
      <c r="L274" s="72"/>
      <c r="M274" s="50"/>
      <c r="N274" s="49"/>
      <c r="O274" s="50"/>
      <c r="P274" s="50"/>
      <c r="Q274" s="30">
        <v>270</v>
      </c>
      <c r="R274" s="61"/>
      <c r="S274" s="46">
        <f>INDEX('Locations'!$D$6:$D$455,MATCH(B274,'Locations'!$A$6:$A$455,0))</f>
        <v>42.7301435187315</v>
      </c>
      <c r="T274" s="46">
        <f>INDEX('Locations'!$E$6:$E$455,MATCH(B274,'Locations'!$A$6:$A$455,0))</f>
        <v>-73.6822907976733</v>
      </c>
      <c r="U274" s="46">
        <f>INDEX('Locations'!$D$6:$D$455,MATCH(C274,'Locations'!$A$6:$A$455,0))</f>
        <v>42.7300638799545</v>
      </c>
      <c r="V274" s="73">
        <f>INDEX('Locations'!$E$6:$E$455,MATCH(C274,'Locations'!$A$6:$A$455,0))</f>
        <v>-73.6828076472204</v>
      </c>
      <c r="W274" s="44"/>
    </row>
    <row r="275" ht="23.1" customHeight="1">
      <c r="A275" t="s" s="24">
        <v>885</v>
      </c>
      <c r="B275" t="s" s="53">
        <v>339</v>
      </c>
      <c r="C275" t="s" s="53">
        <v>392</v>
      </c>
      <c r="D275" t="s" s="53">
        <v>614</v>
      </c>
      <c r="E275" s="74">
        <f>2*6371000*ASIN(SQRT(MIN(1,SIN(RADIANS(U275-S275)/2)^2+COS(RADIANS(S275))*COS(RADIANS(U275))*SIN(RADIANS(V275-T275)/2)^2)))</f>
        <v>35.8027434530119</v>
      </c>
      <c r="F275" t="s" s="48">
        <v>70</v>
      </c>
      <c r="G275" t="s" s="48">
        <v>69</v>
      </c>
      <c r="H275" t="s" s="48">
        <v>69</v>
      </c>
      <c r="I275" t="s" s="48">
        <v>69</v>
      </c>
      <c r="J275" t="s" s="48">
        <v>69</v>
      </c>
      <c r="K275" s="72"/>
      <c r="L275" s="72"/>
      <c r="M275" s="50"/>
      <c r="N275" s="49"/>
      <c r="O275" s="50"/>
      <c r="P275" s="50"/>
      <c r="Q275" s="32">
        <v>271</v>
      </c>
      <c r="R275" s="64"/>
      <c r="S275" s="54">
        <f>INDEX('Locations'!$D$6:$D$455,MATCH(B275,'Locations'!$A$6:$A$455,0))</f>
        <v>42.7287361922948</v>
      </c>
      <c r="T275" s="54">
        <f>INDEX('Locations'!$E$6:$E$455,MATCH(B275,'Locations'!$A$6:$A$455,0))</f>
        <v>-73.68269464101211</v>
      </c>
      <c r="U275" s="54">
        <f>INDEX('Locations'!$D$6:$D$455,MATCH(C275,'Locations'!$A$6:$A$455,0))</f>
        <v>42.7288051630823</v>
      </c>
      <c r="V275" s="75">
        <f>INDEX('Locations'!$E$6:$E$455,MATCH(C275,'Locations'!$A$6:$A$455,0))</f>
        <v>-73.6831227912939</v>
      </c>
      <c r="W275" s="44"/>
    </row>
    <row r="276" ht="23.1" customHeight="1">
      <c r="A276" t="s" s="21">
        <v>886</v>
      </c>
      <c r="B276" t="s" s="45">
        <v>387</v>
      </c>
      <c r="C276" t="s" s="45">
        <v>389</v>
      </c>
      <c r="D276" t="s" s="45">
        <v>614</v>
      </c>
      <c r="E276" s="71">
        <f>2*6371000*ASIN(SQRT(MIN(1,SIN(RADIANS(U276-S276)/2)^2+COS(RADIANS(S276))*COS(RADIANS(U276))*SIN(RADIANS(V276-T276)/2)^2)))</f>
        <v>21.9815045766581</v>
      </c>
      <c r="F276" t="s" s="48">
        <v>70</v>
      </c>
      <c r="G276" t="s" s="48">
        <v>69</v>
      </c>
      <c r="H276" t="s" s="48">
        <v>69</v>
      </c>
      <c r="I276" t="s" s="48">
        <v>69</v>
      </c>
      <c r="J276" t="s" s="48">
        <v>69</v>
      </c>
      <c r="K276" s="72"/>
      <c r="L276" s="72"/>
      <c r="M276" s="50"/>
      <c r="N276" s="49"/>
      <c r="O276" s="50"/>
      <c r="P276" s="50"/>
      <c r="Q276" s="30">
        <v>272</v>
      </c>
      <c r="R276" s="61"/>
      <c r="S276" s="46">
        <f>INDEX('Locations'!$D$6:$D$455,MATCH(B276,'Locations'!$A$6:$A$455,0))</f>
        <v>42.7298282297638</v>
      </c>
      <c r="T276" s="46">
        <f>INDEX('Locations'!$E$6:$E$455,MATCH(B276,'Locations'!$A$6:$A$455,0))</f>
        <v>-73.68278218103259</v>
      </c>
      <c r="U276" s="46">
        <f>INDEX('Locations'!$D$6:$D$455,MATCH(C276,'Locations'!$A$6:$A$455,0))</f>
        <v>42.729692587215</v>
      </c>
      <c r="V276" s="73">
        <f>INDEX('Locations'!$E$6:$E$455,MATCH(C276,'Locations'!$A$6:$A$455,0))</f>
        <v>-73.682977952351</v>
      </c>
      <c r="W276" s="44"/>
    </row>
    <row r="277" ht="23.1" customHeight="1">
      <c r="A277" t="s" s="24">
        <v>887</v>
      </c>
      <c r="B277" t="s" s="53">
        <v>390</v>
      </c>
      <c r="C277" t="s" s="53">
        <v>391</v>
      </c>
      <c r="D277" t="s" s="53">
        <v>614</v>
      </c>
      <c r="E277" s="74">
        <f>2*6371000*ASIN(SQRT(MIN(1,SIN(RADIANS(U277-S277)/2)^2+COS(RADIANS(S277))*COS(RADIANS(U277))*SIN(RADIANS(V277-T277)/2)^2)))</f>
        <v>23.8191517280063</v>
      </c>
      <c r="F277" t="s" s="48">
        <v>70</v>
      </c>
      <c r="G277" t="s" s="48">
        <v>69</v>
      </c>
      <c r="H277" t="s" s="48">
        <v>69</v>
      </c>
      <c r="I277" t="s" s="48">
        <v>69</v>
      </c>
      <c r="J277" t="s" s="48">
        <v>69</v>
      </c>
      <c r="K277" s="72"/>
      <c r="L277" s="72"/>
      <c r="M277" s="50"/>
      <c r="N277" s="49"/>
      <c r="O277" s="50"/>
      <c r="P277" s="50"/>
      <c r="Q277" s="32">
        <v>273</v>
      </c>
      <c r="R277" s="64"/>
      <c r="S277" s="54">
        <f>INDEX('Locations'!$D$6:$D$455,MATCH(B277,'Locations'!$A$6:$A$455,0))</f>
        <v>42.7294190030912</v>
      </c>
      <c r="T277" s="54">
        <f>INDEX('Locations'!$E$6:$E$455,MATCH(B277,'Locations'!$A$6:$A$455,0))</f>
        <v>-73.68305594255099</v>
      </c>
      <c r="U277" s="54">
        <f>INDEX('Locations'!$D$6:$D$455,MATCH(C277,'Locations'!$A$6:$A$455,0))</f>
        <v>42.7292074926761</v>
      </c>
      <c r="V277" s="75">
        <f>INDEX('Locations'!$E$6:$E$455,MATCH(C277,'Locations'!$A$6:$A$455,0))</f>
        <v>-73.6831021000164</v>
      </c>
      <c r="W277" s="44"/>
    </row>
    <row r="278" ht="23.1" customHeight="1">
      <c r="A278" t="s" s="21">
        <v>888</v>
      </c>
      <c r="B278" t="s" s="45">
        <v>389</v>
      </c>
      <c r="C278" t="s" s="45">
        <v>390</v>
      </c>
      <c r="D278" t="s" s="45">
        <v>614</v>
      </c>
      <c r="E278" s="71">
        <f>2*6371000*ASIN(SQRT(MIN(1,SIN(RADIANS(U278-S278)/2)^2+COS(RADIANS(S278))*COS(RADIANS(U278))*SIN(RADIANS(V278-T278)/2)^2)))</f>
        <v>31.0809779974241</v>
      </c>
      <c r="F278" t="s" s="48">
        <v>70</v>
      </c>
      <c r="G278" t="s" s="48">
        <v>69</v>
      </c>
      <c r="H278" t="s" s="48">
        <v>69</v>
      </c>
      <c r="I278" t="s" s="48">
        <v>69</v>
      </c>
      <c r="J278" t="s" s="48">
        <v>69</v>
      </c>
      <c r="K278" s="72"/>
      <c r="L278" s="72"/>
      <c r="M278" s="50"/>
      <c r="N278" s="49"/>
      <c r="O278" s="50"/>
      <c r="P278" s="50"/>
      <c r="Q278" s="30">
        <v>274</v>
      </c>
      <c r="R278" s="61"/>
      <c r="S278" s="46">
        <f>INDEX('Locations'!$D$6:$D$455,MATCH(B278,'Locations'!$A$6:$A$455,0))</f>
        <v>42.729692587215</v>
      </c>
      <c r="T278" s="46">
        <f>INDEX('Locations'!$E$6:$E$455,MATCH(B278,'Locations'!$A$6:$A$455,0))</f>
        <v>-73.682977952351</v>
      </c>
      <c r="U278" s="46">
        <f>INDEX('Locations'!$D$6:$D$455,MATCH(C278,'Locations'!$A$6:$A$455,0))</f>
        <v>42.7294190030912</v>
      </c>
      <c r="V278" s="73">
        <f>INDEX('Locations'!$E$6:$E$455,MATCH(C278,'Locations'!$A$6:$A$455,0))</f>
        <v>-73.68305594255099</v>
      </c>
      <c r="W278" s="44"/>
    </row>
    <row r="279" ht="23.1" customHeight="1">
      <c r="A279" t="s" s="24">
        <v>889</v>
      </c>
      <c r="B279" t="s" s="53">
        <v>125</v>
      </c>
      <c r="C279" t="s" s="53">
        <v>390</v>
      </c>
      <c r="D279" t="s" s="53">
        <v>614</v>
      </c>
      <c r="E279" s="74">
        <f>2*6371000*ASIN(SQRT(MIN(1,SIN(RADIANS(U279-S279)/2)^2+COS(RADIANS(S279))*COS(RADIANS(U279))*SIN(RADIANS(V279-T279)/2)^2)))</f>
        <v>42.2439137557896</v>
      </c>
      <c r="F279" t="s" s="48">
        <v>70</v>
      </c>
      <c r="G279" t="s" s="48">
        <v>69</v>
      </c>
      <c r="H279" t="s" s="48">
        <v>69</v>
      </c>
      <c r="I279" t="s" s="48">
        <v>69</v>
      </c>
      <c r="J279" t="s" s="48">
        <v>69</v>
      </c>
      <c r="K279" s="72"/>
      <c r="L279" s="72"/>
      <c r="M279" s="50"/>
      <c r="N279" s="49"/>
      <c r="O279" s="50"/>
      <c r="P279" s="50"/>
      <c r="Q279" s="32">
        <v>275</v>
      </c>
      <c r="R279" s="64"/>
      <c r="S279" s="54">
        <f>INDEX('Locations'!$D$6:$D$455,MATCH(B279,'Locations'!$A$6:$A$455,0))</f>
        <v>42.7293468233902</v>
      </c>
      <c r="T279" s="54">
        <f>INDEX('Locations'!$E$6:$E$455,MATCH(B279,'Locations'!$A$6:$A$455,0))</f>
        <v>-73.68254817542559</v>
      </c>
      <c r="U279" s="54">
        <f>INDEX('Locations'!$D$6:$D$455,MATCH(C279,'Locations'!$A$6:$A$455,0))</f>
        <v>42.7294190030912</v>
      </c>
      <c r="V279" s="75">
        <f>INDEX('Locations'!$E$6:$E$455,MATCH(C279,'Locations'!$A$6:$A$455,0))</f>
        <v>-73.68305594255099</v>
      </c>
      <c r="W279" s="44"/>
    </row>
    <row r="280" ht="23.1" customHeight="1">
      <c r="A280" t="s" s="21">
        <v>890</v>
      </c>
      <c r="B280" t="s" s="45">
        <v>391</v>
      </c>
      <c r="C280" t="s" s="45">
        <v>392</v>
      </c>
      <c r="D280" t="s" s="45">
        <v>614</v>
      </c>
      <c r="E280" s="71">
        <f>2*6371000*ASIN(SQRT(MIN(1,SIN(RADIANS(U280-S280)/2)^2+COS(RADIANS(S280))*COS(RADIANS(U280))*SIN(RADIANS(V280-T280)/2)^2)))</f>
        <v>44.768922145931</v>
      </c>
      <c r="F280" t="s" s="48">
        <v>70</v>
      </c>
      <c r="G280" t="s" s="48">
        <v>69</v>
      </c>
      <c r="H280" t="s" s="48">
        <v>69</v>
      </c>
      <c r="I280" t="s" s="48">
        <v>69</v>
      </c>
      <c r="J280" t="s" s="48">
        <v>69</v>
      </c>
      <c r="K280" s="72"/>
      <c r="L280" s="72"/>
      <c r="M280" s="50"/>
      <c r="N280" s="49"/>
      <c r="O280" s="50"/>
      <c r="P280" s="50"/>
      <c r="Q280" s="30">
        <v>276</v>
      </c>
      <c r="R280" s="61"/>
      <c r="S280" s="46">
        <f>INDEX('Locations'!$D$6:$D$455,MATCH(B280,'Locations'!$A$6:$A$455,0))</f>
        <v>42.7292074926761</v>
      </c>
      <c r="T280" s="46">
        <f>INDEX('Locations'!$E$6:$E$455,MATCH(B280,'Locations'!$A$6:$A$455,0))</f>
        <v>-73.6831021000164</v>
      </c>
      <c r="U280" s="46">
        <f>INDEX('Locations'!$D$6:$D$455,MATCH(C280,'Locations'!$A$6:$A$455,0))</f>
        <v>42.7288051630823</v>
      </c>
      <c r="V280" s="73">
        <f>INDEX('Locations'!$E$6:$E$455,MATCH(C280,'Locations'!$A$6:$A$455,0))</f>
        <v>-73.6831227912939</v>
      </c>
      <c r="W280" s="44"/>
    </row>
    <row r="281" ht="23.1" customHeight="1">
      <c r="A281" t="s" s="24">
        <v>891</v>
      </c>
      <c r="B281" t="s" s="53">
        <v>336</v>
      </c>
      <c r="C281" t="s" s="53">
        <v>151</v>
      </c>
      <c r="D281" t="s" s="53">
        <v>614</v>
      </c>
      <c r="E281" s="74">
        <f>2*6371000*ASIN(SQRT(MIN(1,SIN(RADIANS(U281-S281)/2)^2+COS(RADIANS(S281))*COS(RADIANS(U281))*SIN(RADIANS(V281-T281)/2)^2)))</f>
        <v>22.5021992660581</v>
      </c>
      <c r="F281" t="s" s="48">
        <v>70</v>
      </c>
      <c r="G281" t="s" s="48">
        <v>69</v>
      </c>
      <c r="H281" t="s" s="48">
        <v>69</v>
      </c>
      <c r="I281" t="s" s="48">
        <v>69</v>
      </c>
      <c r="J281" t="s" s="48">
        <v>69</v>
      </c>
      <c r="K281" s="72"/>
      <c r="L281" s="72"/>
      <c r="M281" s="50"/>
      <c r="N281" s="49"/>
      <c r="O281" s="50"/>
      <c r="P281" s="50"/>
      <c r="Q281" s="32">
        <v>277</v>
      </c>
      <c r="R281" s="64"/>
      <c r="S281" s="54">
        <f>INDEX('Locations'!$D$6:$D$455,MATCH(B281,'Locations'!$A$6:$A$455,0))</f>
        <v>42.7285120372353</v>
      </c>
      <c r="T281" s="54">
        <f>INDEX('Locations'!$E$6:$E$455,MATCH(B281,'Locations'!$A$6:$A$455,0))</f>
        <v>-73.6819163306486</v>
      </c>
      <c r="U281" s="54">
        <f>INDEX('Locations'!$D$6:$D$455,MATCH(C281,'Locations'!$A$6:$A$455,0))</f>
        <v>42.7283133827967</v>
      </c>
      <c r="V281" s="75">
        <f>INDEX('Locations'!$E$6:$E$455,MATCH(C281,'Locations'!$A$6:$A$455,0))</f>
        <v>-73.6819688586443</v>
      </c>
      <c r="W281" s="44"/>
    </row>
    <row r="282" ht="23.1" customHeight="1">
      <c r="A282" t="s" s="21">
        <v>892</v>
      </c>
      <c r="B282" t="s" s="45">
        <v>125</v>
      </c>
      <c r="C282" t="s" s="45">
        <v>393</v>
      </c>
      <c r="D282" t="s" s="45">
        <v>614</v>
      </c>
      <c r="E282" s="71">
        <f>2*6371000*ASIN(SQRT(MIN(1,SIN(RADIANS(U282-S282)/2)^2+COS(RADIANS(S282))*COS(RADIANS(U282))*SIN(RADIANS(V282-T282)/2)^2)))</f>
        <v>29.4780447997247</v>
      </c>
      <c r="F282" t="s" s="48">
        <v>70</v>
      </c>
      <c r="G282" t="s" s="48">
        <v>69</v>
      </c>
      <c r="H282" t="s" s="48">
        <v>69</v>
      </c>
      <c r="I282" t="s" s="48">
        <v>69</v>
      </c>
      <c r="J282" t="s" s="48">
        <v>69</v>
      </c>
      <c r="K282" s="72"/>
      <c r="L282" s="72"/>
      <c r="M282" s="50"/>
      <c r="N282" s="49"/>
      <c r="O282" s="50"/>
      <c r="P282" s="50"/>
      <c r="Q282" s="30">
        <v>278</v>
      </c>
      <c r="R282" s="61"/>
      <c r="S282" s="46">
        <f>INDEX('Locations'!$D$6:$D$455,MATCH(B282,'Locations'!$A$6:$A$455,0))</f>
        <v>42.7293468233902</v>
      </c>
      <c r="T282" s="46">
        <f>INDEX('Locations'!$E$6:$E$455,MATCH(B282,'Locations'!$A$6:$A$455,0))</f>
        <v>-73.68254817542559</v>
      </c>
      <c r="U282" s="46">
        <f>INDEX('Locations'!$D$6:$D$455,MATCH(C282,'Locations'!$A$6:$A$455,0))</f>
        <v>42.7291649606905</v>
      </c>
      <c r="V282" s="73">
        <f>INDEX('Locations'!$E$6:$E$455,MATCH(C282,'Locations'!$A$6:$A$455,0))</f>
        <v>-73.68228559037119</v>
      </c>
      <c r="W282" s="44"/>
    </row>
    <row r="283" ht="23.1" customHeight="1">
      <c r="A283" t="s" s="24">
        <v>893</v>
      </c>
      <c r="B283" t="s" s="53">
        <v>338</v>
      </c>
      <c r="C283" t="s" s="53">
        <v>393</v>
      </c>
      <c r="D283" t="s" s="53">
        <v>614</v>
      </c>
      <c r="E283" s="74">
        <f>2*6371000*ASIN(SQRT(MIN(1,SIN(RADIANS(U283-S283)/2)^2+COS(RADIANS(S283))*COS(RADIANS(U283))*SIN(RADIANS(V283-T283)/2)^2)))</f>
        <v>23.2069080496037</v>
      </c>
      <c r="F283" t="s" s="48">
        <v>70</v>
      </c>
      <c r="G283" t="s" s="48">
        <v>69</v>
      </c>
      <c r="H283" t="s" s="48">
        <v>69</v>
      </c>
      <c r="I283" t="s" s="48">
        <v>69</v>
      </c>
      <c r="J283" t="s" s="48">
        <v>69</v>
      </c>
      <c r="K283" s="72"/>
      <c r="L283" s="72"/>
      <c r="M283" s="50"/>
      <c r="N283" s="49"/>
      <c r="O283" s="50"/>
      <c r="P283" s="50"/>
      <c r="Q283" s="32">
        <v>279</v>
      </c>
      <c r="R283" s="64"/>
      <c r="S283" s="54">
        <f>INDEX('Locations'!$D$6:$D$455,MATCH(B283,'Locations'!$A$6:$A$455,0))</f>
        <v>42.7289568988148</v>
      </c>
      <c r="T283" s="54">
        <f>INDEX('Locations'!$E$6:$E$455,MATCH(B283,'Locations'!$A$6:$A$455,0))</f>
        <v>-73.68226330745691</v>
      </c>
      <c r="U283" s="54">
        <f>INDEX('Locations'!$D$6:$D$455,MATCH(C283,'Locations'!$A$6:$A$455,0))</f>
        <v>42.7291649606905</v>
      </c>
      <c r="V283" s="75">
        <f>INDEX('Locations'!$E$6:$E$455,MATCH(C283,'Locations'!$A$6:$A$455,0))</f>
        <v>-73.68228559037119</v>
      </c>
      <c r="W283" s="44"/>
    </row>
    <row r="284" ht="23.1" customHeight="1">
      <c r="A284" t="s" s="21">
        <v>894</v>
      </c>
      <c r="B284" t="s" s="45">
        <v>151</v>
      </c>
      <c r="C284" t="s" s="45">
        <v>107</v>
      </c>
      <c r="D284" t="s" s="45">
        <v>614</v>
      </c>
      <c r="E284" s="71">
        <f>2*6371000*ASIN(SQRT(MIN(1,SIN(RADIANS(U284-S284)/2)^2+COS(RADIANS(S284))*COS(RADIANS(U284))*SIN(RADIANS(V284-T284)/2)^2)))</f>
        <v>60.4245804996579</v>
      </c>
      <c r="F284" t="s" s="48">
        <v>70</v>
      </c>
      <c r="G284" t="s" s="48">
        <v>69</v>
      </c>
      <c r="H284" t="s" s="48">
        <v>69</v>
      </c>
      <c r="I284" t="s" s="48">
        <v>69</v>
      </c>
      <c r="J284" t="s" s="48">
        <v>69</v>
      </c>
      <c r="K284" s="72"/>
      <c r="L284" s="72"/>
      <c r="M284" s="50"/>
      <c r="N284" s="49"/>
      <c r="O284" s="50"/>
      <c r="P284" s="50"/>
      <c r="Q284" s="30">
        <v>280</v>
      </c>
      <c r="R284" s="61"/>
      <c r="S284" s="46">
        <f>INDEX('Locations'!$D$6:$D$455,MATCH(B284,'Locations'!$A$6:$A$455,0))</f>
        <v>42.7283133827967</v>
      </c>
      <c r="T284" s="46">
        <f>INDEX('Locations'!$E$6:$E$455,MATCH(B284,'Locations'!$A$6:$A$455,0))</f>
        <v>-73.6819688586443</v>
      </c>
      <c r="U284" s="46">
        <f>INDEX('Locations'!$D$6:$D$455,MATCH(C284,'Locations'!$A$6:$A$455,0))</f>
        <v>42.7281819912845</v>
      </c>
      <c r="V284" s="73">
        <f>INDEX('Locations'!$E$6:$E$455,MATCH(C284,'Locations'!$A$6:$A$455,0))</f>
        <v>-73.68125105065241</v>
      </c>
      <c r="W284" s="44"/>
    </row>
    <row r="285" ht="23.1" customHeight="1">
      <c r="A285" t="s" s="24">
        <v>895</v>
      </c>
      <c r="B285" t="s" s="53">
        <v>397</v>
      </c>
      <c r="C285" t="s" s="53">
        <v>107</v>
      </c>
      <c r="D285" t="s" s="53">
        <v>614</v>
      </c>
      <c r="E285" s="74">
        <f>2*6371000*ASIN(SQRT(MIN(1,SIN(RADIANS(U285-S285)/2)^2+COS(RADIANS(S285))*COS(RADIANS(U285))*SIN(RADIANS(V285-T285)/2)^2)))</f>
        <v>31.0312219008011</v>
      </c>
      <c r="F285" t="s" s="48">
        <v>70</v>
      </c>
      <c r="G285" t="s" s="48">
        <v>69</v>
      </c>
      <c r="H285" t="s" s="48">
        <v>69</v>
      </c>
      <c r="I285" t="s" s="48">
        <v>69</v>
      </c>
      <c r="J285" t="s" s="48">
        <v>69</v>
      </c>
      <c r="K285" s="72"/>
      <c r="L285" s="72"/>
      <c r="M285" s="50"/>
      <c r="N285" s="49"/>
      <c r="O285" s="50"/>
      <c r="P285" s="50"/>
      <c r="Q285" s="32">
        <v>281</v>
      </c>
      <c r="R285" s="64"/>
      <c r="S285" s="54">
        <f>INDEX('Locations'!$D$6:$D$455,MATCH(B285,'Locations'!$A$6:$A$455,0))</f>
        <v>42.7280028029208</v>
      </c>
      <c r="T285" s="54">
        <f>INDEX('Locations'!$E$6:$E$455,MATCH(B285,'Locations'!$A$6:$A$455,0))</f>
        <v>-73.68154229601581</v>
      </c>
      <c r="U285" s="54">
        <f>INDEX('Locations'!$D$6:$D$455,MATCH(C285,'Locations'!$A$6:$A$455,0))</f>
        <v>42.7281819912845</v>
      </c>
      <c r="V285" s="75">
        <f>INDEX('Locations'!$E$6:$E$455,MATCH(C285,'Locations'!$A$6:$A$455,0))</f>
        <v>-73.68125105065241</v>
      </c>
      <c r="W285" s="44"/>
    </row>
    <row r="286" ht="23.1" customHeight="1">
      <c r="A286" t="s" s="21">
        <v>896</v>
      </c>
      <c r="B286" t="s" s="45">
        <v>161</v>
      </c>
      <c r="C286" t="s" s="45">
        <v>397</v>
      </c>
      <c r="D286" t="s" s="45">
        <v>614</v>
      </c>
      <c r="E286" s="71">
        <f>2*6371000*ASIN(SQRT(MIN(1,SIN(RADIANS(U286-S286)/2)^2+COS(RADIANS(S286))*COS(RADIANS(U286))*SIN(RADIANS(V286-T286)/2)^2)))</f>
        <v>32.131782011555</v>
      </c>
      <c r="F286" t="s" s="48">
        <v>70</v>
      </c>
      <c r="G286" t="s" s="48">
        <v>69</v>
      </c>
      <c r="H286" t="s" s="48">
        <v>69</v>
      </c>
      <c r="I286" t="s" s="48">
        <v>69</v>
      </c>
      <c r="J286" t="s" s="48">
        <v>69</v>
      </c>
      <c r="K286" s="72"/>
      <c r="L286" s="72"/>
      <c r="M286" s="50"/>
      <c r="N286" s="49"/>
      <c r="O286" s="50"/>
      <c r="P286" s="50"/>
      <c r="Q286" s="30">
        <v>282</v>
      </c>
      <c r="R286" s="61"/>
      <c r="S286" s="46">
        <f>INDEX('Locations'!$D$6:$D$455,MATCH(B286,'Locations'!$A$6:$A$455,0))</f>
        <v>42.7277297315786</v>
      </c>
      <c r="T286" s="46">
        <f>INDEX('Locations'!$E$6:$E$455,MATCH(B286,'Locations'!$A$6:$A$455,0))</f>
        <v>-73.681413620707</v>
      </c>
      <c r="U286" s="46">
        <f>INDEX('Locations'!$D$6:$D$455,MATCH(C286,'Locations'!$A$6:$A$455,0))</f>
        <v>42.7280028029208</v>
      </c>
      <c r="V286" s="73">
        <f>INDEX('Locations'!$E$6:$E$455,MATCH(C286,'Locations'!$A$6:$A$455,0))</f>
        <v>-73.68154229601581</v>
      </c>
      <c r="W286" s="44"/>
    </row>
    <row r="287" ht="23.1" customHeight="1">
      <c r="A287" t="s" s="24">
        <v>897</v>
      </c>
      <c r="B287" t="s" s="53">
        <v>392</v>
      </c>
      <c r="C287" t="s" s="53">
        <v>394</v>
      </c>
      <c r="D287" t="s" s="53">
        <v>614</v>
      </c>
      <c r="E287" s="74">
        <f>2*6371000*ASIN(SQRT(MIN(1,SIN(RADIANS(U287-S287)/2)^2+COS(RADIANS(S287))*COS(RADIANS(U287))*SIN(RADIANS(V287-T287)/2)^2)))</f>
        <v>26.9120043028164</v>
      </c>
      <c r="F287" t="s" s="48">
        <v>70</v>
      </c>
      <c r="G287" t="s" s="48">
        <v>69</v>
      </c>
      <c r="H287" t="s" s="48">
        <v>69</v>
      </c>
      <c r="I287" t="s" s="48">
        <v>69</v>
      </c>
      <c r="J287" t="s" s="48">
        <v>69</v>
      </c>
      <c r="K287" s="72"/>
      <c r="L287" s="72"/>
      <c r="M287" s="50"/>
      <c r="N287" s="49"/>
      <c r="O287" s="50"/>
      <c r="P287" s="50"/>
      <c r="Q287" s="32">
        <v>283</v>
      </c>
      <c r="R287" s="64"/>
      <c r="S287" s="54">
        <f>INDEX('Locations'!$D$6:$D$455,MATCH(B287,'Locations'!$A$6:$A$455,0))</f>
        <v>42.7288051630823</v>
      </c>
      <c r="T287" s="54">
        <f>INDEX('Locations'!$E$6:$E$455,MATCH(B287,'Locations'!$A$6:$A$455,0))</f>
        <v>-73.6831227912939</v>
      </c>
      <c r="U287" s="54">
        <f>INDEX('Locations'!$D$6:$D$455,MATCH(C287,'Locations'!$A$6:$A$455,0))</f>
        <v>42.728591353641</v>
      </c>
      <c r="V287" s="75">
        <f>INDEX('Locations'!$E$6:$E$455,MATCH(C287,'Locations'!$A$6:$A$455,0))</f>
        <v>-73.6832771800573</v>
      </c>
      <c r="W287" s="44"/>
    </row>
    <row r="288" ht="23.1" customHeight="1">
      <c r="A288" t="s" s="21">
        <v>898</v>
      </c>
      <c r="B288" t="s" s="45">
        <v>395</v>
      </c>
      <c r="C288" t="s" s="45">
        <v>394</v>
      </c>
      <c r="D288" t="s" s="45">
        <v>614</v>
      </c>
      <c r="E288" s="71">
        <f>2*6371000*ASIN(SQRT(MIN(1,SIN(RADIANS(U288-S288)/2)^2+COS(RADIANS(S288))*COS(RADIANS(U288))*SIN(RADIANS(V288-T288)/2)^2)))</f>
        <v>23.2320293182504</v>
      </c>
      <c r="F288" t="s" s="48">
        <v>70</v>
      </c>
      <c r="G288" t="s" s="48">
        <v>69</v>
      </c>
      <c r="H288" t="s" s="48">
        <v>69</v>
      </c>
      <c r="I288" t="s" s="48">
        <v>69</v>
      </c>
      <c r="J288" t="s" s="48">
        <v>69</v>
      </c>
      <c r="K288" s="72"/>
      <c r="L288" s="72"/>
      <c r="M288" s="50"/>
      <c r="N288" s="49"/>
      <c r="O288" s="50"/>
      <c r="P288" s="50"/>
      <c r="Q288" s="30">
        <v>284</v>
      </c>
      <c r="R288" s="61"/>
      <c r="S288" s="46">
        <f>INDEX('Locations'!$D$6:$D$455,MATCH(B288,'Locations'!$A$6:$A$455,0))</f>
        <v>42.7283855907915</v>
      </c>
      <c r="T288" s="46">
        <f>INDEX('Locations'!$E$6:$E$455,MATCH(B288,'Locations'!$A$6:$A$455,0))</f>
        <v>-73.683326520796</v>
      </c>
      <c r="U288" s="46">
        <f>INDEX('Locations'!$D$6:$D$455,MATCH(C288,'Locations'!$A$6:$A$455,0))</f>
        <v>42.728591353641</v>
      </c>
      <c r="V288" s="73">
        <f>INDEX('Locations'!$E$6:$E$455,MATCH(C288,'Locations'!$A$6:$A$455,0))</f>
        <v>-73.6832771800573</v>
      </c>
      <c r="W288" s="44"/>
    </row>
    <row r="289" ht="23.1" customHeight="1">
      <c r="A289" t="s" s="24">
        <v>899</v>
      </c>
      <c r="B289" t="s" s="53">
        <v>396</v>
      </c>
      <c r="C289" t="s" s="53">
        <v>395</v>
      </c>
      <c r="D289" t="s" s="53">
        <v>614</v>
      </c>
      <c r="E289" s="74">
        <f>2*6371000*ASIN(SQRT(MIN(1,SIN(RADIANS(U289-S289)/2)^2+COS(RADIANS(S289))*COS(RADIANS(U289))*SIN(RADIANS(V289-T289)/2)^2)))</f>
        <v>104.324434966377</v>
      </c>
      <c r="F289" t="s" s="48">
        <v>70</v>
      </c>
      <c r="G289" t="s" s="48">
        <v>69</v>
      </c>
      <c r="H289" t="s" s="48">
        <v>69</v>
      </c>
      <c r="I289" t="s" s="48">
        <v>69</v>
      </c>
      <c r="J289" t="s" s="48">
        <v>69</v>
      </c>
      <c r="K289" s="72"/>
      <c r="L289" s="72"/>
      <c r="M289" s="50"/>
      <c r="N289" s="49"/>
      <c r="O289" s="50"/>
      <c r="P289" s="50"/>
      <c r="Q289" s="32">
        <v>285</v>
      </c>
      <c r="R289" s="64"/>
      <c r="S289" s="54">
        <f>INDEX('Locations'!$D$6:$D$455,MATCH(B289,'Locations'!$A$6:$A$455,0))</f>
        <v>42.7276958829164</v>
      </c>
      <c r="T289" s="54">
        <f>INDEX('Locations'!$E$6:$E$455,MATCH(B289,'Locations'!$A$6:$A$455,0))</f>
        <v>-73.6824606704121</v>
      </c>
      <c r="U289" s="54">
        <f>INDEX('Locations'!$D$6:$D$455,MATCH(C289,'Locations'!$A$6:$A$455,0))</f>
        <v>42.7283855907915</v>
      </c>
      <c r="V289" s="75">
        <f>INDEX('Locations'!$E$6:$E$455,MATCH(C289,'Locations'!$A$6:$A$455,0))</f>
        <v>-73.683326520796</v>
      </c>
      <c r="W289" s="44"/>
    </row>
    <row r="290" ht="23.1" customHeight="1">
      <c r="A290" t="s" s="21">
        <v>900</v>
      </c>
      <c r="B290" t="s" s="45">
        <v>396</v>
      </c>
      <c r="C290" t="s" s="45">
        <v>181</v>
      </c>
      <c r="D290" t="s" s="45">
        <v>614</v>
      </c>
      <c r="E290" s="71">
        <f>2*6371000*ASIN(SQRT(MIN(1,SIN(RADIANS(U290-S290)/2)^2+COS(RADIANS(S290))*COS(RADIANS(U290))*SIN(RADIANS(V290-T290)/2)^2)))</f>
        <v>156.063398070448</v>
      </c>
      <c r="F290" t="s" s="48">
        <v>70</v>
      </c>
      <c r="G290" t="s" s="48">
        <v>69</v>
      </c>
      <c r="H290" t="s" s="48">
        <v>69</v>
      </c>
      <c r="I290" t="s" s="48">
        <v>69</v>
      </c>
      <c r="J290" t="s" s="48">
        <v>69</v>
      </c>
      <c r="K290" s="72"/>
      <c r="L290" s="72"/>
      <c r="M290" s="50"/>
      <c r="N290" s="49"/>
      <c r="O290" s="50"/>
      <c r="P290" s="50"/>
      <c r="Q290" s="30">
        <v>286</v>
      </c>
      <c r="R290" s="61"/>
      <c r="S290" s="46">
        <f>INDEX('Locations'!$D$6:$D$455,MATCH(B290,'Locations'!$A$6:$A$455,0))</f>
        <v>42.7276958829164</v>
      </c>
      <c r="T290" s="46">
        <f>INDEX('Locations'!$E$6:$E$455,MATCH(B290,'Locations'!$A$6:$A$455,0))</f>
        <v>-73.6824606704121</v>
      </c>
      <c r="U290" s="46">
        <f>INDEX('Locations'!$D$6:$D$455,MATCH(C290,'Locations'!$A$6:$A$455,0))</f>
        <v>42.727225286618</v>
      </c>
      <c r="V290" s="73">
        <f>INDEX('Locations'!$E$6:$E$455,MATCH(C290,'Locations'!$A$6:$A$455,0))</f>
        <v>-73.6806606651005</v>
      </c>
      <c r="W290" s="44"/>
    </row>
    <row r="291" ht="23.1" customHeight="1">
      <c r="A291" t="s" s="24">
        <v>901</v>
      </c>
      <c r="B291" t="s" s="53">
        <v>358</v>
      </c>
      <c r="C291" t="s" s="53">
        <v>398</v>
      </c>
      <c r="D291" t="s" s="53">
        <v>614</v>
      </c>
      <c r="E291" s="74">
        <f>2*6371000*ASIN(SQRT(MIN(1,SIN(RADIANS(U291-S291)/2)^2+COS(RADIANS(S291))*COS(RADIANS(U291))*SIN(RADIANS(V291-T291)/2)^2)))</f>
        <v>12.6734026079926</v>
      </c>
      <c r="F291" t="s" s="48">
        <v>70</v>
      </c>
      <c r="G291" t="s" s="48">
        <v>69</v>
      </c>
      <c r="H291" t="s" s="48">
        <v>69</v>
      </c>
      <c r="I291" t="s" s="48">
        <v>69</v>
      </c>
      <c r="J291" t="s" s="48">
        <v>69</v>
      </c>
      <c r="K291" s="72"/>
      <c r="L291" s="72"/>
      <c r="M291" s="50"/>
      <c r="N291" s="49"/>
      <c r="O291" s="50"/>
      <c r="P291" s="50"/>
      <c r="Q291" s="32">
        <v>287</v>
      </c>
      <c r="R291" s="64"/>
      <c r="S291" s="54">
        <f>INDEX('Locations'!$D$6:$D$455,MATCH(B291,'Locations'!$A$6:$A$455,0))</f>
        <v>42.7282419016509</v>
      </c>
      <c r="T291" s="54">
        <f>INDEX('Locations'!$E$6:$E$455,MATCH(B291,'Locations'!$A$6:$A$455,0))</f>
        <v>-73.6802801280848</v>
      </c>
      <c r="U291" s="54">
        <f>INDEX('Locations'!$D$6:$D$455,MATCH(C291,'Locations'!$A$6:$A$455,0))</f>
        <v>42.7283016763334</v>
      </c>
      <c r="V291" s="75">
        <f>INDEX('Locations'!$E$6:$E$455,MATCH(C291,'Locations'!$A$6:$A$455,0))</f>
        <v>-73.6801480222357</v>
      </c>
      <c r="W291" s="44"/>
    </row>
    <row r="292" ht="23.1" customHeight="1">
      <c r="A292" t="s" s="21">
        <v>902</v>
      </c>
      <c r="B292" t="s" s="45">
        <v>357</v>
      </c>
      <c r="C292" t="s" s="45">
        <v>398</v>
      </c>
      <c r="D292" t="s" s="45">
        <v>614</v>
      </c>
      <c r="E292" s="71">
        <f>2*6371000*ASIN(SQRT(MIN(1,SIN(RADIANS(U292-S292)/2)^2+COS(RADIANS(S292))*COS(RADIANS(U292))*SIN(RADIANS(V292-T292)/2)^2)))</f>
        <v>16.5821312516081</v>
      </c>
      <c r="F292" t="s" s="48">
        <v>70</v>
      </c>
      <c r="G292" t="s" s="48">
        <v>69</v>
      </c>
      <c r="H292" t="s" s="48">
        <v>69</v>
      </c>
      <c r="I292" t="s" s="48">
        <v>69</v>
      </c>
      <c r="J292" t="s" s="48">
        <v>69</v>
      </c>
      <c r="K292" s="72"/>
      <c r="L292" s="72"/>
      <c r="M292" s="50"/>
      <c r="N292" s="49"/>
      <c r="O292" s="50"/>
      <c r="P292" s="50"/>
      <c r="Q292" s="30">
        <v>288</v>
      </c>
      <c r="R292" s="61"/>
      <c r="S292" s="46">
        <f>INDEX('Locations'!$D$6:$D$455,MATCH(B292,'Locations'!$A$6:$A$455,0))</f>
        <v>42.7284373188822</v>
      </c>
      <c r="T292" s="46">
        <f>INDEX('Locations'!$E$6:$E$455,MATCH(B292,'Locations'!$A$6:$A$455,0))</f>
        <v>-73.68023237898269</v>
      </c>
      <c r="U292" s="46">
        <f>INDEX('Locations'!$D$6:$D$455,MATCH(C292,'Locations'!$A$6:$A$455,0))</f>
        <v>42.7283016763334</v>
      </c>
      <c r="V292" s="73">
        <f>INDEX('Locations'!$E$6:$E$455,MATCH(C292,'Locations'!$A$6:$A$455,0))</f>
        <v>-73.6801480222357</v>
      </c>
      <c r="W292" s="44"/>
    </row>
    <row r="293" ht="23.1" customHeight="1">
      <c r="A293" t="s" s="24">
        <v>903</v>
      </c>
      <c r="B293" t="s" s="53">
        <v>399</v>
      </c>
      <c r="C293" t="s" s="53">
        <v>398</v>
      </c>
      <c r="D293" t="s" s="53">
        <v>614</v>
      </c>
      <c r="E293" s="74">
        <f>2*6371000*ASIN(SQRT(MIN(1,SIN(RADIANS(U293-S293)/2)^2+COS(RADIANS(S293))*COS(RADIANS(U293))*SIN(RADIANS(V293-T293)/2)^2)))</f>
        <v>125.032076415968</v>
      </c>
      <c r="F293" t="s" s="48">
        <v>70</v>
      </c>
      <c r="G293" t="s" s="48">
        <v>69</v>
      </c>
      <c r="H293" t="s" s="48">
        <v>69</v>
      </c>
      <c r="I293" t="s" s="48">
        <v>69</v>
      </c>
      <c r="J293" t="s" s="48">
        <v>69</v>
      </c>
      <c r="K293" s="72"/>
      <c r="L293" s="72"/>
      <c r="M293" s="50"/>
      <c r="N293" s="49"/>
      <c r="O293" s="50"/>
      <c r="P293" s="50"/>
      <c r="Q293" s="32">
        <v>289</v>
      </c>
      <c r="R293" s="64"/>
      <c r="S293" s="54">
        <f>INDEX('Locations'!$D$6:$D$455,MATCH(B293,'Locations'!$A$6:$A$455,0))</f>
        <v>42.7280694746821</v>
      </c>
      <c r="T293" s="54">
        <f>INDEX('Locations'!$E$6:$E$455,MATCH(B293,'Locations'!$A$6:$A$455,0))</f>
        <v>-73.6786502920678</v>
      </c>
      <c r="U293" s="54">
        <f>INDEX('Locations'!$D$6:$D$455,MATCH(C293,'Locations'!$A$6:$A$455,0))</f>
        <v>42.7283016763334</v>
      </c>
      <c r="V293" s="75">
        <f>INDEX('Locations'!$E$6:$E$455,MATCH(C293,'Locations'!$A$6:$A$455,0))</f>
        <v>-73.6801480222357</v>
      </c>
      <c r="W293" s="44"/>
    </row>
    <row r="294" ht="23.1" customHeight="1">
      <c r="A294" t="s" s="21">
        <v>904</v>
      </c>
      <c r="B294" t="s" s="45">
        <v>401</v>
      </c>
      <c r="C294" t="s" s="45">
        <v>400</v>
      </c>
      <c r="D294" t="s" s="45">
        <v>614</v>
      </c>
      <c r="E294" s="71">
        <f>2*6371000*ASIN(SQRT(MIN(1,SIN(RADIANS(U294-S294)/2)^2+COS(RADIANS(S294))*COS(RADIANS(U294))*SIN(RADIANS(V294-T294)/2)^2)))</f>
        <v>15.1429417231257</v>
      </c>
      <c r="F294" t="s" s="48">
        <v>70</v>
      </c>
      <c r="G294" t="s" s="48">
        <v>69</v>
      </c>
      <c r="H294" t="s" s="48">
        <v>69</v>
      </c>
      <c r="I294" t="s" s="48">
        <v>69</v>
      </c>
      <c r="J294" t="s" s="48">
        <v>69</v>
      </c>
      <c r="K294" s="72"/>
      <c r="L294" s="72"/>
      <c r="M294" s="50"/>
      <c r="N294" s="49"/>
      <c r="O294" s="50"/>
      <c r="P294" s="50"/>
      <c r="Q294" s="30">
        <v>290</v>
      </c>
      <c r="R294" s="61"/>
      <c r="S294" s="46">
        <f>INDEX('Locations'!$D$6:$D$455,MATCH(B294,'Locations'!$A$6:$A$455,0))</f>
        <v>42.7277706012695</v>
      </c>
      <c r="T294" s="46">
        <f>INDEX('Locations'!$E$6:$E$455,MATCH(B294,'Locations'!$A$6:$A$455,0))</f>
        <v>-73.6787680731863</v>
      </c>
      <c r="U294" s="46">
        <f>INDEX('Locations'!$D$6:$D$455,MATCH(C294,'Locations'!$A$6:$A$455,0))</f>
        <v>42.7278935991739</v>
      </c>
      <c r="V294" s="73">
        <f>INDEX('Locations'!$E$6:$E$455,MATCH(C294,'Locations'!$A$6:$A$455,0))</f>
        <v>-73.6786884913495</v>
      </c>
      <c r="W294" s="44"/>
    </row>
    <row r="295" ht="23.1" customHeight="1">
      <c r="A295" t="s" s="24">
        <v>905</v>
      </c>
      <c r="B295" t="s" s="53">
        <v>399</v>
      </c>
      <c r="C295" t="s" s="53">
        <v>400</v>
      </c>
      <c r="D295" t="s" s="53">
        <v>614</v>
      </c>
      <c r="E295" s="74">
        <f>2*6371000*ASIN(SQRT(MIN(1,SIN(RADIANS(U295-S295)/2)^2+COS(RADIANS(S295))*COS(RADIANS(U295))*SIN(RADIANS(V295-T295)/2)^2)))</f>
        <v>19.8038099203745</v>
      </c>
      <c r="F295" t="s" s="48">
        <v>70</v>
      </c>
      <c r="G295" t="s" s="48">
        <v>69</v>
      </c>
      <c r="H295" t="s" s="48">
        <v>69</v>
      </c>
      <c r="I295" t="s" s="48">
        <v>69</v>
      </c>
      <c r="J295" t="s" s="48">
        <v>69</v>
      </c>
      <c r="K295" s="72"/>
      <c r="L295" s="72"/>
      <c r="M295" s="50"/>
      <c r="N295" s="49"/>
      <c r="O295" s="50"/>
      <c r="P295" s="50"/>
      <c r="Q295" s="32">
        <v>291</v>
      </c>
      <c r="R295" s="64"/>
      <c r="S295" s="54">
        <f>INDEX('Locations'!$D$6:$D$455,MATCH(B295,'Locations'!$A$6:$A$455,0))</f>
        <v>42.7280694746821</v>
      </c>
      <c r="T295" s="54">
        <f>INDEX('Locations'!$E$6:$E$455,MATCH(B295,'Locations'!$A$6:$A$455,0))</f>
        <v>-73.6786502920678</v>
      </c>
      <c r="U295" s="54">
        <f>INDEX('Locations'!$D$6:$D$455,MATCH(C295,'Locations'!$A$6:$A$455,0))</f>
        <v>42.7278935991739</v>
      </c>
      <c r="V295" s="75">
        <f>INDEX('Locations'!$E$6:$E$455,MATCH(C295,'Locations'!$A$6:$A$455,0))</f>
        <v>-73.6786884913495</v>
      </c>
      <c r="W295" s="44"/>
    </row>
    <row r="296" ht="23.1" customHeight="1">
      <c r="A296" t="s" s="21">
        <v>906</v>
      </c>
      <c r="B296" t="s" s="45">
        <v>401</v>
      </c>
      <c r="C296" t="s" s="45">
        <v>402</v>
      </c>
      <c r="D296" t="s" s="45">
        <v>614</v>
      </c>
      <c r="E296" s="71">
        <f>2*6371000*ASIN(SQRT(MIN(1,SIN(RADIANS(U296-S296)/2)^2+COS(RADIANS(S296))*COS(RADIANS(U296))*SIN(RADIANS(V296-T296)/2)^2)))</f>
        <v>69.4540970891567</v>
      </c>
      <c r="F296" t="s" s="48">
        <v>70</v>
      </c>
      <c r="G296" t="s" s="48">
        <v>69</v>
      </c>
      <c r="H296" t="s" s="48">
        <v>69</v>
      </c>
      <c r="I296" t="s" s="48">
        <v>69</v>
      </c>
      <c r="J296" t="s" s="48">
        <v>69</v>
      </c>
      <c r="K296" s="72"/>
      <c r="L296" s="72"/>
      <c r="M296" s="50"/>
      <c r="N296" s="49"/>
      <c r="O296" s="50"/>
      <c r="P296" s="50"/>
      <c r="Q296" s="30">
        <v>292</v>
      </c>
      <c r="R296" s="61"/>
      <c r="S296" s="46">
        <f>INDEX('Locations'!$D$6:$D$455,MATCH(B296,'Locations'!$A$6:$A$455,0))</f>
        <v>42.7277706012695</v>
      </c>
      <c r="T296" s="46">
        <f>INDEX('Locations'!$E$6:$E$455,MATCH(B296,'Locations'!$A$6:$A$455,0))</f>
        <v>-73.6787680731863</v>
      </c>
      <c r="U296" s="46">
        <f>INDEX('Locations'!$D$6:$D$455,MATCH(C296,'Locations'!$A$6:$A$455,0))</f>
        <v>42.7278798050164</v>
      </c>
      <c r="V296" s="73">
        <f>INDEX('Locations'!$E$6:$E$455,MATCH(C296,'Locations'!$A$6:$A$455,0))</f>
        <v>-73.67960527410899</v>
      </c>
      <c r="W296" s="44"/>
    </row>
    <row r="297" ht="23.1" customHeight="1">
      <c r="A297" t="s" s="24">
        <v>907</v>
      </c>
      <c r="B297" t="s" s="53">
        <v>403</v>
      </c>
      <c r="C297" t="s" s="53">
        <v>402</v>
      </c>
      <c r="D297" t="s" s="53">
        <v>614</v>
      </c>
      <c r="E297" s="74">
        <f>2*6371000*ASIN(SQRT(MIN(1,SIN(RADIANS(U297-S297)/2)^2+COS(RADIANS(S297))*COS(RADIANS(U297))*SIN(RADIANS(V297-T297)/2)^2)))</f>
        <v>32.0725140018377</v>
      </c>
      <c r="F297" t="s" s="48">
        <v>70</v>
      </c>
      <c r="G297" t="s" s="48">
        <v>69</v>
      </c>
      <c r="H297" t="s" s="48">
        <v>69</v>
      </c>
      <c r="I297" t="s" s="48">
        <v>69</v>
      </c>
      <c r="J297" t="s" s="48">
        <v>69</v>
      </c>
      <c r="K297" s="72"/>
      <c r="L297" s="72"/>
      <c r="M297" s="50"/>
      <c r="N297" s="49"/>
      <c r="O297" s="50"/>
      <c r="P297" s="50"/>
      <c r="Q297" s="32">
        <v>293</v>
      </c>
      <c r="R297" s="64"/>
      <c r="S297" s="54">
        <f>INDEX('Locations'!$D$6:$D$455,MATCH(B297,'Locations'!$A$6:$A$455,0))</f>
        <v>42.7280579795508</v>
      </c>
      <c r="T297" s="54">
        <f>INDEX('Locations'!$E$6:$E$455,MATCH(B297,'Locations'!$A$6:$A$455,0))</f>
        <v>-73.67991405163561</v>
      </c>
      <c r="U297" s="54">
        <f>INDEX('Locations'!$D$6:$D$455,MATCH(C297,'Locations'!$A$6:$A$455,0))</f>
        <v>42.7278798050164</v>
      </c>
      <c r="V297" s="75">
        <f>INDEX('Locations'!$E$6:$E$455,MATCH(C297,'Locations'!$A$6:$A$455,0))</f>
        <v>-73.67960527410899</v>
      </c>
      <c r="W297" s="44"/>
    </row>
    <row r="298" ht="23.1" customHeight="1">
      <c r="A298" t="s" s="21">
        <v>908</v>
      </c>
      <c r="B298" t="s" s="45">
        <v>404</v>
      </c>
      <c r="C298" t="s" s="45">
        <v>403</v>
      </c>
      <c r="D298" t="s" s="45">
        <v>614</v>
      </c>
      <c r="E298" s="71">
        <f>2*6371000*ASIN(SQRT(MIN(1,SIN(RADIANS(U298-S298)/2)^2+COS(RADIANS(S298))*COS(RADIANS(U298))*SIN(RADIANS(V298-T298)/2)^2)))</f>
        <v>36.5106325452621</v>
      </c>
      <c r="F298" t="s" s="48">
        <v>70</v>
      </c>
      <c r="G298" t="s" s="48">
        <v>69</v>
      </c>
      <c r="H298" t="s" s="48">
        <v>69</v>
      </c>
      <c r="I298" t="s" s="48">
        <v>69</v>
      </c>
      <c r="J298" t="s" s="48">
        <v>69</v>
      </c>
      <c r="K298" s="72"/>
      <c r="L298" s="72"/>
      <c r="M298" s="50"/>
      <c r="N298" s="49"/>
      <c r="O298" s="50"/>
      <c r="P298" s="50"/>
      <c r="Q298" s="30">
        <v>294</v>
      </c>
      <c r="R298" s="61"/>
      <c r="S298" s="46">
        <f>INDEX('Locations'!$D$6:$D$455,MATCH(B298,'Locations'!$A$6:$A$455,0))</f>
        <v>42.7280832688396</v>
      </c>
      <c r="T298" s="46">
        <f>INDEX('Locations'!$E$6:$E$455,MATCH(B298,'Locations'!$A$6:$A$455,0))</f>
        <v>-73.6803597099215</v>
      </c>
      <c r="U298" s="46">
        <f>INDEX('Locations'!$D$6:$D$455,MATCH(C298,'Locations'!$A$6:$A$455,0))</f>
        <v>42.7280579795508</v>
      </c>
      <c r="V298" s="73">
        <f>INDEX('Locations'!$E$6:$E$455,MATCH(C298,'Locations'!$A$6:$A$455,0))</f>
        <v>-73.67991405163561</v>
      </c>
      <c r="W298" s="44"/>
    </row>
    <row r="299" ht="23.1" customHeight="1">
      <c r="A299" t="s" s="24">
        <v>909</v>
      </c>
      <c r="B299" t="s" s="53">
        <v>358</v>
      </c>
      <c r="C299" t="s" s="53">
        <v>404</v>
      </c>
      <c r="D299" t="s" s="53">
        <v>614</v>
      </c>
      <c r="E299" s="74">
        <f>2*6371000*ASIN(SQRT(MIN(1,SIN(RADIANS(U299-S299)/2)^2+COS(RADIANS(S299))*COS(RADIANS(U299))*SIN(RADIANS(V299-T299)/2)^2)))</f>
        <v>18.7988041075847</v>
      </c>
      <c r="F299" t="s" s="48">
        <v>70</v>
      </c>
      <c r="G299" t="s" s="48">
        <v>69</v>
      </c>
      <c r="H299" t="s" s="48">
        <v>69</v>
      </c>
      <c r="I299" t="s" s="48">
        <v>69</v>
      </c>
      <c r="J299" t="s" s="48">
        <v>69</v>
      </c>
      <c r="K299" s="72"/>
      <c r="L299" s="72"/>
      <c r="M299" s="50"/>
      <c r="N299" s="49"/>
      <c r="O299" s="50"/>
      <c r="P299" s="50"/>
      <c r="Q299" s="32">
        <v>295</v>
      </c>
      <c r="R299" s="64"/>
      <c r="S299" s="54">
        <f>INDEX('Locations'!$D$6:$D$455,MATCH(B299,'Locations'!$A$6:$A$455,0))</f>
        <v>42.7282419016509</v>
      </c>
      <c r="T299" s="54">
        <f>INDEX('Locations'!$E$6:$E$455,MATCH(B299,'Locations'!$A$6:$A$455,0))</f>
        <v>-73.6802801280848</v>
      </c>
      <c r="U299" s="54">
        <f>INDEX('Locations'!$D$6:$D$455,MATCH(C299,'Locations'!$A$6:$A$455,0))</f>
        <v>42.7280832688396</v>
      </c>
      <c r="V299" s="75">
        <f>INDEX('Locations'!$E$6:$E$455,MATCH(C299,'Locations'!$A$6:$A$455,0))</f>
        <v>-73.6803597099215</v>
      </c>
      <c r="W299" s="44"/>
    </row>
    <row r="300" ht="23.1" customHeight="1">
      <c r="A300" t="s" s="21">
        <v>910</v>
      </c>
      <c r="B300" t="s" s="45">
        <v>181</v>
      </c>
      <c r="C300" t="s" s="45">
        <v>404</v>
      </c>
      <c r="D300" t="s" s="45">
        <v>614</v>
      </c>
      <c r="E300" s="71">
        <f>2*6371000*ASIN(SQRT(MIN(1,SIN(RADIANS(U300-S300)/2)^2+COS(RADIANS(S300))*COS(RADIANS(U300))*SIN(RADIANS(V300-T300)/2)^2)))</f>
        <v>98.5195141650576</v>
      </c>
      <c r="F300" t="s" s="48">
        <v>70</v>
      </c>
      <c r="G300" t="s" s="48">
        <v>69</v>
      </c>
      <c r="H300" t="s" s="48">
        <v>69</v>
      </c>
      <c r="I300" t="s" s="48">
        <v>69</v>
      </c>
      <c r="J300" t="s" s="48">
        <v>69</v>
      </c>
      <c r="K300" s="72"/>
      <c r="L300" s="72"/>
      <c r="M300" s="50"/>
      <c r="N300" s="49"/>
      <c r="O300" s="50"/>
      <c r="P300" s="50"/>
      <c r="Q300" s="30">
        <v>296</v>
      </c>
      <c r="R300" s="61"/>
      <c r="S300" s="46">
        <f>INDEX('Locations'!$D$6:$D$455,MATCH(B300,'Locations'!$A$6:$A$455,0))</f>
        <v>42.727225286618</v>
      </c>
      <c r="T300" s="46">
        <f>INDEX('Locations'!$E$6:$E$455,MATCH(B300,'Locations'!$A$6:$A$455,0))</f>
        <v>-73.6806606651005</v>
      </c>
      <c r="U300" s="46">
        <f>INDEX('Locations'!$D$6:$D$455,MATCH(C300,'Locations'!$A$6:$A$455,0))</f>
        <v>42.7280832688396</v>
      </c>
      <c r="V300" s="73">
        <f>INDEX('Locations'!$E$6:$E$455,MATCH(C300,'Locations'!$A$6:$A$455,0))</f>
        <v>-73.6803597099215</v>
      </c>
      <c r="W300" s="44"/>
    </row>
    <row r="301" ht="23.1" customHeight="1">
      <c r="A301" t="s" s="24">
        <v>911</v>
      </c>
      <c r="B301" t="s" s="53">
        <v>405</v>
      </c>
      <c r="C301" t="s" s="53">
        <v>181</v>
      </c>
      <c r="D301" t="s" s="53">
        <v>614</v>
      </c>
      <c r="E301" s="74">
        <f>2*6371000*ASIN(SQRT(MIN(1,SIN(RADIANS(U301-S301)/2)^2+COS(RADIANS(S301))*COS(RADIANS(U301))*SIN(RADIANS(V301-T301)/2)^2)))</f>
        <v>210.747453894942</v>
      </c>
      <c r="F301" t="s" s="48">
        <v>70</v>
      </c>
      <c r="G301" t="s" s="48">
        <v>69</v>
      </c>
      <c r="H301" t="s" s="48">
        <v>69</v>
      </c>
      <c r="I301" t="s" s="48">
        <v>69</v>
      </c>
      <c r="J301" t="s" s="48">
        <v>69</v>
      </c>
      <c r="K301" s="72"/>
      <c r="L301" s="72"/>
      <c r="M301" s="50"/>
      <c r="N301" s="49"/>
      <c r="O301" s="50"/>
      <c r="P301" s="50"/>
      <c r="Q301" s="32">
        <v>297</v>
      </c>
      <c r="R301" s="64"/>
      <c r="S301" s="54">
        <f>INDEX('Locations'!$D$6:$D$455,MATCH(B301,'Locations'!$A$6:$A$455,0))</f>
        <v>42.7268509907693</v>
      </c>
      <c r="T301" s="54">
        <f>INDEX('Locations'!$E$6:$E$455,MATCH(B301,'Locations'!$A$6:$A$455,0))</f>
        <v>-73.6781314184922</v>
      </c>
      <c r="U301" s="54">
        <f>INDEX('Locations'!$D$6:$D$455,MATCH(C301,'Locations'!$A$6:$A$455,0))</f>
        <v>42.727225286618</v>
      </c>
      <c r="V301" s="75">
        <f>INDEX('Locations'!$E$6:$E$455,MATCH(C301,'Locations'!$A$6:$A$455,0))</f>
        <v>-73.6806606651005</v>
      </c>
      <c r="W301" s="44"/>
    </row>
    <row r="302" ht="23.1" customHeight="1">
      <c r="A302" t="s" s="21">
        <v>912</v>
      </c>
      <c r="B302" t="s" s="45">
        <v>363</v>
      </c>
      <c r="C302" t="s" s="45">
        <v>406</v>
      </c>
      <c r="D302" t="s" s="45">
        <v>614</v>
      </c>
      <c r="E302" s="71">
        <f>2*6371000*ASIN(SQRT(MIN(1,SIN(RADIANS(U302-S302)/2)^2+COS(RADIANS(S302))*COS(RADIANS(U302))*SIN(RADIANS(V302-T302)/2)^2)))</f>
        <v>20.3591236102893</v>
      </c>
      <c r="F302" t="s" s="48">
        <v>70</v>
      </c>
      <c r="G302" t="s" s="48">
        <v>69</v>
      </c>
      <c r="H302" t="s" s="48">
        <v>69</v>
      </c>
      <c r="I302" t="s" s="48">
        <v>69</v>
      </c>
      <c r="J302" t="s" s="48">
        <v>69</v>
      </c>
      <c r="K302" s="72"/>
      <c r="L302" s="72"/>
      <c r="M302" s="50"/>
      <c r="N302" s="49"/>
      <c r="O302" s="50"/>
      <c r="P302" s="50"/>
      <c r="Q302" s="30">
        <v>298</v>
      </c>
      <c r="R302" s="61"/>
      <c r="S302" s="46">
        <f>INDEX('Locations'!$D$6:$D$455,MATCH(B302,'Locations'!$A$6:$A$455,0))</f>
        <v>42.7271809010362</v>
      </c>
      <c r="T302" s="46">
        <f>INDEX('Locations'!$E$6:$E$455,MATCH(B302,'Locations'!$A$6:$A$455,0))</f>
        <v>-73.6773196837572</v>
      </c>
      <c r="U302" s="46">
        <f>INDEX('Locations'!$D$6:$D$455,MATCH(C302,'Locations'!$A$6:$A$455,0))</f>
        <v>42.7270579031318</v>
      </c>
      <c r="V302" s="73">
        <f>INDEX('Locations'!$E$6:$E$455,MATCH(C302,'Locations'!$A$6:$A$455,0))</f>
        <v>-73.6775043136185</v>
      </c>
      <c r="W302" s="44"/>
    </row>
    <row r="303" ht="23.1" customHeight="1">
      <c r="A303" t="s" s="24">
        <v>913</v>
      </c>
      <c r="B303" t="s" s="53">
        <v>356</v>
      </c>
      <c r="C303" t="s" s="53">
        <v>407</v>
      </c>
      <c r="D303" t="s" s="53">
        <v>614</v>
      </c>
      <c r="E303" s="74">
        <f>2*6371000*ASIN(SQRT(MIN(1,SIN(RADIANS(U303-S303)/2)^2+COS(RADIANS(S303))*COS(RADIANS(U303))*SIN(RADIANS(V303-T303)/2)^2)))</f>
        <v>36.4741503381077</v>
      </c>
      <c r="F303" t="s" s="48">
        <v>70</v>
      </c>
      <c r="G303" t="s" s="48">
        <v>69</v>
      </c>
      <c r="H303" t="s" s="48">
        <v>69</v>
      </c>
      <c r="I303" t="s" s="48">
        <v>69</v>
      </c>
      <c r="J303" t="s" s="48">
        <v>69</v>
      </c>
      <c r="K303" s="72"/>
      <c r="L303" s="72"/>
      <c r="M303" s="50"/>
      <c r="N303" s="49"/>
      <c r="O303" s="50"/>
      <c r="P303" s="50"/>
      <c r="Q303" s="32">
        <v>299</v>
      </c>
      <c r="R303" s="64"/>
      <c r="S303" s="54">
        <f>INDEX('Locations'!$D$6:$D$455,MATCH(B303,'Locations'!$A$6:$A$455,0))</f>
        <v>42.7274062056088</v>
      </c>
      <c r="T303" s="54">
        <f>INDEX('Locations'!$E$6:$E$455,MATCH(B303,'Locations'!$A$6:$A$455,0))</f>
        <v>-73.6780677530227</v>
      </c>
      <c r="U303" s="54">
        <f>INDEX('Locations'!$D$6:$D$455,MATCH(C303,'Locations'!$A$6:$A$455,0))</f>
        <v>42.7270785943681</v>
      </c>
      <c r="V303" s="75">
        <f>INDEX('Locations'!$E$6:$E$455,MATCH(C303,'Locations'!$A$6:$A$455,0))</f>
        <v>-73.678090035937</v>
      </c>
      <c r="W303" s="44"/>
    </row>
    <row r="304" ht="23.1" customHeight="1">
      <c r="A304" t="s" s="21">
        <v>914</v>
      </c>
      <c r="B304" t="s" s="45">
        <v>405</v>
      </c>
      <c r="C304" t="s" s="45">
        <v>407</v>
      </c>
      <c r="D304" t="s" s="45">
        <v>614</v>
      </c>
      <c r="E304" s="71">
        <f>2*6371000*ASIN(SQRT(MIN(1,SIN(RADIANS(U304-S304)/2)^2+COS(RADIANS(S304))*COS(RADIANS(U304))*SIN(RADIANS(V304-T304)/2)^2)))</f>
        <v>25.5331067214131</v>
      </c>
      <c r="F304" t="s" s="48">
        <v>70</v>
      </c>
      <c r="G304" t="s" s="48">
        <v>69</v>
      </c>
      <c r="H304" t="s" s="48">
        <v>69</v>
      </c>
      <c r="I304" t="s" s="48">
        <v>69</v>
      </c>
      <c r="J304" t="s" s="48">
        <v>69</v>
      </c>
      <c r="K304" s="72"/>
      <c r="L304" s="72"/>
      <c r="M304" s="50"/>
      <c r="N304" s="49"/>
      <c r="O304" s="50"/>
      <c r="P304" s="50"/>
      <c r="Q304" s="30">
        <v>300</v>
      </c>
      <c r="R304" s="61"/>
      <c r="S304" s="46">
        <f>INDEX('Locations'!$D$6:$D$455,MATCH(B304,'Locations'!$A$6:$A$455,0))</f>
        <v>42.7268509907693</v>
      </c>
      <c r="T304" s="46">
        <f>INDEX('Locations'!$E$6:$E$455,MATCH(B304,'Locations'!$A$6:$A$455,0))</f>
        <v>-73.6781314184922</v>
      </c>
      <c r="U304" s="46">
        <f>INDEX('Locations'!$D$6:$D$455,MATCH(C304,'Locations'!$A$6:$A$455,0))</f>
        <v>42.7270785943681</v>
      </c>
      <c r="V304" s="73">
        <f>INDEX('Locations'!$E$6:$E$455,MATCH(C304,'Locations'!$A$6:$A$455,0))</f>
        <v>-73.678090035937</v>
      </c>
      <c r="W304" s="44"/>
    </row>
    <row r="305" ht="23.1" customHeight="1">
      <c r="A305" t="s" s="24">
        <v>915</v>
      </c>
      <c r="B305" t="s" s="53">
        <v>406</v>
      </c>
      <c r="C305" t="s" s="53">
        <v>407</v>
      </c>
      <c r="D305" t="s" s="53">
        <v>614</v>
      </c>
      <c r="E305" s="74">
        <f>2*6371000*ASIN(SQRT(MIN(1,SIN(RADIANS(U305-S305)/2)^2+COS(RADIANS(S305))*COS(RADIANS(U305))*SIN(RADIANS(V305-T305)/2)^2)))</f>
        <v>47.8989272618895</v>
      </c>
      <c r="F305" t="s" s="48">
        <v>70</v>
      </c>
      <c r="G305" t="s" s="48">
        <v>69</v>
      </c>
      <c r="H305" t="s" s="48">
        <v>69</v>
      </c>
      <c r="I305" t="s" s="48">
        <v>69</v>
      </c>
      <c r="J305" t="s" s="48">
        <v>69</v>
      </c>
      <c r="K305" s="72"/>
      <c r="L305" s="72"/>
      <c r="M305" s="50"/>
      <c r="N305" s="49"/>
      <c r="O305" s="50"/>
      <c r="P305" s="50"/>
      <c r="Q305" s="32">
        <v>301</v>
      </c>
      <c r="R305" s="64"/>
      <c r="S305" s="54">
        <f>INDEX('Locations'!$D$6:$D$455,MATCH(B305,'Locations'!$A$6:$A$455,0))</f>
        <v>42.7270579031318</v>
      </c>
      <c r="T305" s="54">
        <f>INDEX('Locations'!$E$6:$E$455,MATCH(B305,'Locations'!$A$6:$A$455,0))</f>
        <v>-73.6775043136185</v>
      </c>
      <c r="U305" s="54">
        <f>INDEX('Locations'!$D$6:$D$455,MATCH(C305,'Locations'!$A$6:$A$455,0))</f>
        <v>42.7270785943681</v>
      </c>
      <c r="V305" s="75">
        <f>INDEX('Locations'!$E$6:$E$455,MATCH(C305,'Locations'!$A$6:$A$455,0))</f>
        <v>-73.678090035937</v>
      </c>
      <c r="W305" s="44"/>
    </row>
    <row r="306" ht="23.1" customHeight="1">
      <c r="A306" t="s" s="21">
        <v>916</v>
      </c>
      <c r="B306" t="s" s="45">
        <v>405</v>
      </c>
      <c r="C306" t="s" s="45">
        <v>408</v>
      </c>
      <c r="D306" t="s" s="45">
        <v>614</v>
      </c>
      <c r="E306" s="71">
        <f>2*6371000*ASIN(SQRT(MIN(1,SIN(RADIANS(U306-S306)/2)^2+COS(RADIANS(S306))*COS(RADIANS(U306))*SIN(RADIANS(V306-T306)/2)^2)))</f>
        <v>124.264088125446</v>
      </c>
      <c r="F306" t="s" s="48">
        <v>70</v>
      </c>
      <c r="G306" t="s" s="48">
        <v>69</v>
      </c>
      <c r="H306" t="s" s="48">
        <v>69</v>
      </c>
      <c r="I306" t="s" s="48">
        <v>69</v>
      </c>
      <c r="J306" t="s" s="48">
        <v>69</v>
      </c>
      <c r="K306" s="72"/>
      <c r="L306" s="72"/>
      <c r="M306" s="50"/>
      <c r="N306" s="49"/>
      <c r="O306" s="50"/>
      <c r="P306" s="50"/>
      <c r="Q306" s="30">
        <v>302</v>
      </c>
      <c r="R306" s="61"/>
      <c r="S306" s="46">
        <f>INDEX('Locations'!$D$6:$D$455,MATCH(B306,'Locations'!$A$6:$A$455,0))</f>
        <v>42.7268509907693</v>
      </c>
      <c r="T306" s="46">
        <f>INDEX('Locations'!$E$6:$E$455,MATCH(B306,'Locations'!$A$6:$A$455,0))</f>
        <v>-73.6781314184922</v>
      </c>
      <c r="U306" s="46">
        <f>INDEX('Locations'!$D$6:$D$455,MATCH(C306,'Locations'!$A$6:$A$455,0))</f>
        <v>42.7257589533002</v>
      </c>
      <c r="V306" s="73">
        <f>INDEX('Locations'!$E$6:$E$455,MATCH(C306,'Locations'!$A$6:$A$455,0))</f>
        <v>-73.6784545207494</v>
      </c>
      <c r="W306" s="44"/>
    </row>
    <row r="307" ht="23.1" customHeight="1">
      <c r="A307" t="s" s="24">
        <v>917</v>
      </c>
      <c r="B307" t="s" s="53">
        <v>371</v>
      </c>
      <c r="C307" t="s" s="53">
        <v>408</v>
      </c>
      <c r="D307" t="s" s="53">
        <v>614</v>
      </c>
      <c r="E307" s="74">
        <f>2*6371000*ASIN(SQRT(MIN(1,SIN(RADIANS(U307-S307)/2)^2+COS(RADIANS(S307))*COS(RADIANS(U307))*SIN(RADIANS(V307-T307)/2)^2)))</f>
        <v>262.880412214680</v>
      </c>
      <c r="F307" t="s" s="48">
        <v>70</v>
      </c>
      <c r="G307" t="s" s="48">
        <v>69</v>
      </c>
      <c r="H307" t="s" s="48">
        <v>69</v>
      </c>
      <c r="I307" t="s" s="48">
        <v>69</v>
      </c>
      <c r="J307" t="s" s="48">
        <v>69</v>
      </c>
      <c r="K307" s="72"/>
      <c r="L307" s="72"/>
      <c r="M307" s="50"/>
      <c r="N307" s="49"/>
      <c r="O307" s="50"/>
      <c r="P307" s="50"/>
      <c r="Q307" s="32">
        <v>303</v>
      </c>
      <c r="R307" s="64"/>
      <c r="S307" s="54">
        <f>INDEX('Locations'!$D$6:$D$455,MATCH(B307,'Locations'!$A$6:$A$455,0))</f>
        <v>42.7251922433294</v>
      </c>
      <c r="T307" s="54">
        <f>INDEX('Locations'!$E$6:$E$455,MATCH(B307,'Locations'!$A$6:$A$455,0))</f>
        <v>-73.6753301378381</v>
      </c>
      <c r="U307" s="54">
        <f>INDEX('Locations'!$D$6:$D$455,MATCH(C307,'Locations'!$A$6:$A$455,0))</f>
        <v>42.7257589533002</v>
      </c>
      <c r="V307" s="75">
        <f>INDEX('Locations'!$E$6:$E$455,MATCH(C307,'Locations'!$A$6:$A$455,0))</f>
        <v>-73.6784545207494</v>
      </c>
      <c r="W307" s="44"/>
    </row>
    <row r="308" ht="23.1" customHeight="1">
      <c r="A308" t="s" s="21">
        <v>918</v>
      </c>
      <c r="B308" t="s" s="45">
        <v>257</v>
      </c>
      <c r="C308" t="s" s="45">
        <v>411</v>
      </c>
      <c r="D308" t="s" s="45">
        <v>614</v>
      </c>
      <c r="E308" s="71">
        <f>2*6371000*ASIN(SQRT(MIN(1,SIN(RADIANS(U308-S308)/2)^2+COS(RADIANS(S308))*COS(RADIANS(U308))*SIN(RADIANS(V308-T308)/2)^2)))</f>
        <v>132.424045438431</v>
      </c>
      <c r="F308" t="s" s="48">
        <v>70</v>
      </c>
      <c r="G308" t="s" s="48">
        <v>69</v>
      </c>
      <c r="H308" t="s" s="48">
        <v>69</v>
      </c>
      <c r="I308" t="s" s="48">
        <v>69</v>
      </c>
      <c r="J308" t="s" s="48">
        <v>69</v>
      </c>
      <c r="K308" s="72"/>
      <c r="L308" s="72"/>
      <c r="M308" s="50"/>
      <c r="N308" s="49"/>
      <c r="O308" s="50"/>
      <c r="P308" s="50"/>
      <c r="Q308" s="30">
        <v>304</v>
      </c>
      <c r="R308" s="61"/>
      <c r="S308" s="46">
        <f>INDEX('Locations'!$D$6:$D$455,MATCH(B308,'Locations'!$A$6:$A$455,0))</f>
        <v>42.7280005038946</v>
      </c>
      <c r="T308" s="46">
        <f>INDEX('Locations'!$E$6:$E$455,MATCH(B308,'Locations'!$A$6:$A$455,0))</f>
        <v>-73.6728790172658</v>
      </c>
      <c r="U308" s="46">
        <f>INDEX('Locations'!$D$6:$D$455,MATCH(C308,'Locations'!$A$6:$A$455,0))</f>
        <v>42.7268257014805</v>
      </c>
      <c r="V308" s="73">
        <f>INDEX('Locations'!$E$6:$E$455,MATCH(C308,'Locations'!$A$6:$A$455,0))</f>
        <v>-73.6731448206006</v>
      </c>
      <c r="W308" s="44"/>
    </row>
    <row r="309" ht="23.1" customHeight="1">
      <c r="A309" t="s" s="24">
        <v>919</v>
      </c>
      <c r="B309" t="s" s="53">
        <v>410</v>
      </c>
      <c r="C309" t="s" s="53">
        <v>411</v>
      </c>
      <c r="D309" t="s" s="53">
        <v>614</v>
      </c>
      <c r="E309" s="74">
        <f>2*6371000*ASIN(SQRT(MIN(1,SIN(RADIANS(U309-S309)/2)^2+COS(RADIANS(S309))*COS(RADIANS(U309))*SIN(RADIANS(V309-T309)/2)^2)))</f>
        <v>31.3118651397634</v>
      </c>
      <c r="F309" t="s" s="48">
        <v>70</v>
      </c>
      <c r="G309" t="s" s="48">
        <v>69</v>
      </c>
      <c r="H309" t="s" s="48">
        <v>69</v>
      </c>
      <c r="I309" t="s" s="48">
        <v>69</v>
      </c>
      <c r="J309" t="s" s="48">
        <v>69</v>
      </c>
      <c r="K309" s="72"/>
      <c r="L309" s="72"/>
      <c r="M309" s="50"/>
      <c r="N309" s="49"/>
      <c r="O309" s="50"/>
      <c r="P309" s="50"/>
      <c r="Q309" s="32">
        <v>305</v>
      </c>
      <c r="R309" s="64"/>
      <c r="S309" s="54">
        <f>INDEX('Locations'!$D$6:$D$455,MATCH(B309,'Locations'!$A$6:$A$455,0))</f>
        <v>42.7268969712943</v>
      </c>
      <c r="T309" s="54">
        <f>INDEX('Locations'!$E$6:$E$455,MATCH(B309,'Locations'!$A$6:$A$455,0))</f>
        <v>-73.6735156719599</v>
      </c>
      <c r="U309" s="54">
        <f>INDEX('Locations'!$D$6:$D$455,MATCH(C309,'Locations'!$A$6:$A$455,0))</f>
        <v>42.7268257014805</v>
      </c>
      <c r="V309" s="75">
        <f>INDEX('Locations'!$E$6:$E$455,MATCH(C309,'Locations'!$A$6:$A$455,0))</f>
        <v>-73.6731448206006</v>
      </c>
      <c r="W309" s="44"/>
    </row>
    <row r="310" ht="23.1" customHeight="1">
      <c r="A310" t="s" s="21">
        <v>920</v>
      </c>
      <c r="B310" t="s" s="45">
        <v>409</v>
      </c>
      <c r="C310" t="s" s="45">
        <v>411</v>
      </c>
      <c r="D310" t="s" s="45">
        <v>614</v>
      </c>
      <c r="E310" s="71">
        <f>2*6371000*ASIN(SQRT(MIN(1,SIN(RADIANS(U310-S310)/2)^2+COS(RADIANS(S310))*COS(RADIANS(U310))*SIN(RADIANS(V310-T310)/2)^2)))</f>
        <v>219.662885687408</v>
      </c>
      <c r="F310" t="s" s="48">
        <v>70</v>
      </c>
      <c r="G310" t="s" s="48">
        <v>69</v>
      </c>
      <c r="H310" t="s" s="48">
        <v>69</v>
      </c>
      <c r="I310" t="s" s="48">
        <v>69</v>
      </c>
      <c r="J310" t="s" s="48">
        <v>69</v>
      </c>
      <c r="K310" s="72"/>
      <c r="L310" s="72"/>
      <c r="M310" s="50"/>
      <c r="N310" s="49"/>
      <c r="O310" s="50"/>
      <c r="P310" s="50"/>
      <c r="Q310" s="30">
        <v>306</v>
      </c>
      <c r="R310" s="61"/>
      <c r="S310" s="46">
        <f>INDEX('Locations'!$D$6:$D$455,MATCH(B310,'Locations'!$A$6:$A$455,0))</f>
        <v>42.7248899213775</v>
      </c>
      <c r="T310" s="46">
        <f>INDEX('Locations'!$E$6:$E$455,MATCH(B310,'Locations'!$A$6:$A$455,0))</f>
        <v>-73.6736812021804</v>
      </c>
      <c r="U310" s="46">
        <f>INDEX('Locations'!$D$6:$D$455,MATCH(C310,'Locations'!$A$6:$A$455,0))</f>
        <v>42.7268257014805</v>
      </c>
      <c r="V310" s="73">
        <f>INDEX('Locations'!$E$6:$E$455,MATCH(C310,'Locations'!$A$6:$A$455,0))</f>
        <v>-73.6731448206006</v>
      </c>
      <c r="W310" s="44"/>
    </row>
    <row r="311" ht="23.1" customHeight="1">
      <c r="A311" t="s" s="24">
        <v>921</v>
      </c>
      <c r="B311" t="s" s="53">
        <v>371</v>
      </c>
      <c r="C311" t="s" s="53">
        <v>409</v>
      </c>
      <c r="D311" t="s" s="53">
        <v>614</v>
      </c>
      <c r="E311" s="74">
        <f>2*6371000*ASIN(SQRT(MIN(1,SIN(RADIANS(U311-S311)/2)^2+COS(RADIANS(S311))*COS(RADIANS(U311))*SIN(RADIANS(V311-T311)/2)^2)))</f>
        <v>138.826249457709</v>
      </c>
      <c r="F311" t="s" s="48">
        <v>70</v>
      </c>
      <c r="G311" t="s" s="48">
        <v>69</v>
      </c>
      <c r="H311" t="s" s="48">
        <v>69</v>
      </c>
      <c r="I311" t="s" s="48">
        <v>69</v>
      </c>
      <c r="J311" t="s" s="48">
        <v>69</v>
      </c>
      <c r="K311" s="72"/>
      <c r="L311" s="72"/>
      <c r="M311" s="50"/>
      <c r="N311" s="49"/>
      <c r="O311" s="50"/>
      <c r="P311" s="50"/>
      <c r="Q311" s="32">
        <v>307</v>
      </c>
      <c r="R311" s="64"/>
      <c r="S311" s="54">
        <f>INDEX('Locations'!$D$6:$D$455,MATCH(B311,'Locations'!$A$6:$A$455,0))</f>
        <v>42.7251922433294</v>
      </c>
      <c r="T311" s="54">
        <f>INDEX('Locations'!$E$6:$E$455,MATCH(B311,'Locations'!$A$6:$A$455,0))</f>
        <v>-73.6753301378381</v>
      </c>
      <c r="U311" s="54">
        <f>INDEX('Locations'!$D$6:$D$455,MATCH(C311,'Locations'!$A$6:$A$455,0))</f>
        <v>42.7248899213775</v>
      </c>
      <c r="V311" s="75">
        <f>INDEX('Locations'!$E$6:$E$455,MATCH(C311,'Locations'!$A$6:$A$455,0))</f>
        <v>-73.6736812021804</v>
      </c>
      <c r="W311" s="44"/>
    </row>
    <row r="312" ht="23.1" customHeight="1">
      <c r="A312" t="s" s="21">
        <v>922</v>
      </c>
      <c r="B312" t="s" s="45">
        <v>268</v>
      </c>
      <c r="C312" t="s" s="45">
        <v>412</v>
      </c>
      <c r="D312" t="s" s="45">
        <v>614</v>
      </c>
      <c r="E312" s="71">
        <f>2*6371000*ASIN(SQRT(MIN(1,SIN(RADIANS(U312-S312)/2)^2+COS(RADIANS(S312))*COS(RADIANS(U312))*SIN(RADIANS(V312-T312)/2)^2)))</f>
        <v>33.8888562146964</v>
      </c>
      <c r="F312" t="s" s="48">
        <v>70</v>
      </c>
      <c r="G312" t="s" s="48">
        <v>69</v>
      </c>
      <c r="H312" t="s" s="48">
        <v>69</v>
      </c>
      <c r="I312" t="s" s="48">
        <v>69</v>
      </c>
      <c r="J312" t="s" s="48">
        <v>69</v>
      </c>
      <c r="K312" s="72"/>
      <c r="L312" s="72"/>
      <c r="M312" s="50"/>
      <c r="N312" s="49"/>
      <c r="O312" s="50"/>
      <c r="P312" s="50"/>
      <c r="Q312" s="30">
        <v>308</v>
      </c>
      <c r="R312" s="61"/>
      <c r="S312" s="46">
        <f>INDEX('Locations'!$D$6:$D$455,MATCH(B312,'Locations'!$A$6:$A$455,0))</f>
        <v>42.7271429671031</v>
      </c>
      <c r="T312" s="46">
        <f>INDEX('Locations'!$E$6:$E$455,MATCH(B312,'Locations'!$A$6:$A$455,0))</f>
        <v>-73.6742860241398</v>
      </c>
      <c r="U312" s="46">
        <f>INDEX('Locations'!$D$6:$D$455,MATCH(C312,'Locations'!$A$6:$A$455,0))</f>
        <v>42.7268889247024</v>
      </c>
      <c r="V312" s="73">
        <f>INDEX('Locations'!$E$6:$E$455,MATCH(C312,'Locations'!$A$6:$A$455,0))</f>
        <v>-73.67405682844991</v>
      </c>
      <c r="W312" s="44"/>
    </row>
    <row r="313" ht="23.1" customHeight="1">
      <c r="A313" t="s" s="24">
        <v>923</v>
      </c>
      <c r="B313" t="s" s="53">
        <v>368</v>
      </c>
      <c r="C313" t="s" s="53">
        <v>413</v>
      </c>
      <c r="D313" t="s" s="53">
        <v>614</v>
      </c>
      <c r="E313" s="74">
        <f>2*6371000*ASIN(SQRT(MIN(1,SIN(RADIANS(U313-S313)/2)^2+COS(RADIANS(S313))*COS(RADIANS(U313))*SIN(RADIANS(V313-T313)/2)^2)))</f>
        <v>83.343267849434</v>
      </c>
      <c r="F313" t="s" s="48">
        <v>70</v>
      </c>
      <c r="G313" t="s" s="48">
        <v>69</v>
      </c>
      <c r="H313" t="s" s="48">
        <v>69</v>
      </c>
      <c r="I313" t="s" s="48">
        <v>69</v>
      </c>
      <c r="J313" t="s" s="48">
        <v>69</v>
      </c>
      <c r="K313" s="72"/>
      <c r="L313" s="72"/>
      <c r="M313" s="50"/>
      <c r="N313" s="49"/>
      <c r="O313" s="50"/>
      <c r="P313" s="50"/>
      <c r="Q313" s="32">
        <v>309</v>
      </c>
      <c r="R313" s="64"/>
      <c r="S313" s="54">
        <f>INDEX('Locations'!$D$6:$D$455,MATCH(B313,'Locations'!$A$6:$A$455,0))</f>
        <v>42.7270199691987</v>
      </c>
      <c r="T313" s="54">
        <f>INDEX('Locations'!$E$6:$E$455,MATCH(B313,'Locations'!$A$6:$A$455,0))</f>
        <v>-73.67535401238911</v>
      </c>
      <c r="U313" s="54">
        <f>INDEX('Locations'!$D$6:$D$455,MATCH(C313,'Locations'!$A$6:$A$455,0))</f>
        <v>42.7268532897955</v>
      </c>
      <c r="V313" s="75">
        <f>INDEX('Locations'!$E$6:$E$455,MATCH(C313,'Locations'!$A$6:$A$455,0))</f>
        <v>-73.67435923942961</v>
      </c>
      <c r="W313" s="44"/>
    </row>
    <row r="314" ht="23.1" customHeight="1">
      <c r="A314" t="s" s="21">
        <v>924</v>
      </c>
      <c r="B314" t="s" s="45">
        <v>412</v>
      </c>
      <c r="C314" t="s" s="45">
        <v>413</v>
      </c>
      <c r="D314" t="s" s="45">
        <v>614</v>
      </c>
      <c r="E314" s="71">
        <f>2*6371000*ASIN(SQRT(MIN(1,SIN(RADIANS(U314-S314)/2)^2+COS(RADIANS(S314))*COS(RADIANS(U314))*SIN(RADIANS(V314-T314)/2)^2)))</f>
        <v>25.0177428987465</v>
      </c>
      <c r="F314" t="s" s="48">
        <v>70</v>
      </c>
      <c r="G314" t="s" s="48">
        <v>69</v>
      </c>
      <c r="H314" t="s" s="48">
        <v>69</v>
      </c>
      <c r="I314" t="s" s="48">
        <v>69</v>
      </c>
      <c r="J314" t="s" s="48">
        <v>69</v>
      </c>
      <c r="K314" s="72"/>
      <c r="L314" s="72"/>
      <c r="M314" s="50"/>
      <c r="N314" s="49"/>
      <c r="O314" s="50"/>
      <c r="P314" s="50"/>
      <c r="Q314" s="30">
        <v>310</v>
      </c>
      <c r="R314" s="61"/>
      <c r="S314" s="46">
        <f>INDEX('Locations'!$D$6:$D$455,MATCH(B314,'Locations'!$A$6:$A$455,0))</f>
        <v>42.7268889247024</v>
      </c>
      <c r="T314" s="46">
        <f>INDEX('Locations'!$E$6:$E$455,MATCH(B314,'Locations'!$A$6:$A$455,0))</f>
        <v>-73.67405682844991</v>
      </c>
      <c r="U314" s="46">
        <f>INDEX('Locations'!$D$6:$D$455,MATCH(C314,'Locations'!$A$6:$A$455,0))</f>
        <v>42.7268532897955</v>
      </c>
      <c r="V314" s="73">
        <f>INDEX('Locations'!$E$6:$E$455,MATCH(C314,'Locations'!$A$6:$A$455,0))</f>
        <v>-73.67435923942961</v>
      </c>
      <c r="W314" s="44"/>
    </row>
    <row r="315" ht="23.1" customHeight="1">
      <c r="A315" t="s" s="24">
        <v>925</v>
      </c>
      <c r="B315" t="s" s="53">
        <v>263</v>
      </c>
      <c r="C315" t="s" s="53">
        <v>417</v>
      </c>
      <c r="D315" t="s" s="53">
        <v>614</v>
      </c>
      <c r="E315" s="74">
        <f>2*6371000*ASIN(SQRT(MIN(1,SIN(RADIANS(U315-S315)/2)^2+COS(RADIANS(S315))*COS(RADIANS(U315))*SIN(RADIANS(V315-T315)/2)^2)))</f>
        <v>8.3042871223704</v>
      </c>
      <c r="F315" t="s" s="48">
        <v>70</v>
      </c>
      <c r="G315" t="s" s="48">
        <v>69</v>
      </c>
      <c r="H315" t="s" s="48">
        <v>69</v>
      </c>
      <c r="I315" t="s" s="48">
        <v>69</v>
      </c>
      <c r="J315" t="s" s="48">
        <v>69</v>
      </c>
      <c r="K315" s="72"/>
      <c r="L315" s="72"/>
      <c r="M315" s="50"/>
      <c r="N315" s="49"/>
      <c r="O315" s="50"/>
      <c r="P315" s="50"/>
      <c r="Q315" s="32">
        <v>311</v>
      </c>
      <c r="R315" s="64"/>
      <c r="S315" s="54">
        <f>INDEX('Locations'!$D$6:$D$455,MATCH(B315,'Locations'!$A$6:$A$455,0))</f>
        <v>42.7279165894364</v>
      </c>
      <c r="T315" s="54">
        <f>INDEX('Locations'!$E$6:$E$455,MATCH(B315,'Locations'!$A$6:$A$455,0))</f>
        <v>-73.6747030329644</v>
      </c>
      <c r="U315" s="54">
        <f>INDEX('Locations'!$D$6:$D$455,MATCH(C315,'Locations'!$A$6:$A$455,0))</f>
        <v>42.7278533662145</v>
      </c>
      <c r="V315" s="75">
        <f>INDEX('Locations'!$E$6:$E$455,MATCH(C315,'Locations'!$A$6:$A$455,0))</f>
        <v>-73.67464891731539</v>
      </c>
      <c r="W315" s="44"/>
    </row>
    <row r="316" ht="23.1" customHeight="1">
      <c r="A316" t="s" s="21">
        <v>926</v>
      </c>
      <c r="B316" t="s" s="45">
        <v>415</v>
      </c>
      <c r="C316" t="s" s="45">
        <v>417</v>
      </c>
      <c r="D316" t="s" s="45">
        <v>614</v>
      </c>
      <c r="E316" s="71">
        <f>2*6371000*ASIN(SQRT(MIN(1,SIN(RADIANS(U316-S316)/2)^2+COS(RADIANS(S316))*COS(RADIANS(U316))*SIN(RADIANS(V316-T316)/2)^2)))</f>
        <v>75.4814146220327</v>
      </c>
      <c r="F316" t="s" s="48">
        <v>70</v>
      </c>
      <c r="G316" t="s" s="48">
        <v>69</v>
      </c>
      <c r="H316" t="s" s="48">
        <v>69</v>
      </c>
      <c r="I316" t="s" s="48">
        <v>69</v>
      </c>
      <c r="J316" t="s" s="48">
        <v>69</v>
      </c>
      <c r="K316" s="72"/>
      <c r="L316" s="72"/>
      <c r="M316" s="50"/>
      <c r="N316" s="49"/>
      <c r="O316" s="50"/>
      <c r="P316" s="50"/>
      <c r="Q316" s="30">
        <v>312</v>
      </c>
      <c r="R316" s="61"/>
      <c r="S316" s="46">
        <f>INDEX('Locations'!$D$6:$D$455,MATCH(B316,'Locations'!$A$6:$A$455,0))</f>
        <v>42.7275981743007</v>
      </c>
      <c r="T316" s="46">
        <f>INDEX('Locations'!$E$6:$E$455,MATCH(B316,'Locations'!$A$6:$A$455,0))</f>
        <v>-73.67550521787901</v>
      </c>
      <c r="U316" s="46">
        <f>INDEX('Locations'!$D$6:$D$455,MATCH(C316,'Locations'!$A$6:$A$455,0))</f>
        <v>42.7278533662145</v>
      </c>
      <c r="V316" s="73">
        <f>INDEX('Locations'!$E$6:$E$455,MATCH(C316,'Locations'!$A$6:$A$455,0))</f>
        <v>-73.67464891731539</v>
      </c>
      <c r="W316" s="44"/>
    </row>
    <row r="317" ht="23.1" customHeight="1">
      <c r="A317" t="s" s="24">
        <v>927</v>
      </c>
      <c r="B317" t="s" s="53">
        <v>266</v>
      </c>
      <c r="C317" t="s" s="53">
        <v>417</v>
      </c>
      <c r="D317" t="s" s="53">
        <v>614</v>
      </c>
      <c r="E317" s="74">
        <f>2*6371000*ASIN(SQRT(MIN(1,SIN(RADIANS(U317-S317)/2)^2+COS(RADIANS(S317))*COS(RADIANS(U317))*SIN(RADIANS(V317-T317)/2)^2)))</f>
        <v>45.7057347163517</v>
      </c>
      <c r="F317" t="s" s="48">
        <v>70</v>
      </c>
      <c r="G317" t="s" s="48">
        <v>69</v>
      </c>
      <c r="H317" t="s" s="48">
        <v>69</v>
      </c>
      <c r="I317" t="s" s="48">
        <v>69</v>
      </c>
      <c r="J317" t="s" s="48">
        <v>69</v>
      </c>
      <c r="K317" s="72"/>
      <c r="L317" s="72"/>
      <c r="M317" s="50"/>
      <c r="N317" s="49"/>
      <c r="O317" s="50"/>
      <c r="P317" s="50"/>
      <c r="Q317" s="32">
        <v>313</v>
      </c>
      <c r="R317" s="64"/>
      <c r="S317" s="54">
        <f>INDEX('Locations'!$D$6:$D$455,MATCH(B317,'Locations'!$A$6:$A$455,0))</f>
        <v>42.7274441395419</v>
      </c>
      <c r="T317" s="54">
        <f>INDEX('Locations'!$E$6:$E$455,MATCH(B317,'Locations'!$A$6:$A$455,0))</f>
        <v>-73.6747014413277</v>
      </c>
      <c r="U317" s="54">
        <f>INDEX('Locations'!$D$6:$D$455,MATCH(C317,'Locations'!$A$6:$A$455,0))</f>
        <v>42.7278533662145</v>
      </c>
      <c r="V317" s="75">
        <f>INDEX('Locations'!$E$6:$E$455,MATCH(C317,'Locations'!$A$6:$A$455,0))</f>
        <v>-73.67464891731539</v>
      </c>
      <c r="W317" s="44"/>
    </row>
    <row r="318" ht="23.1" customHeight="1">
      <c r="A318" t="s" s="21">
        <v>928</v>
      </c>
      <c r="B318" t="s" s="45">
        <v>415</v>
      </c>
      <c r="C318" t="s" s="45">
        <v>416</v>
      </c>
      <c r="D318" t="s" s="45">
        <v>614</v>
      </c>
      <c r="E318" s="71">
        <f>2*6371000*ASIN(SQRT(MIN(1,SIN(RADIANS(U318-S318)/2)^2+COS(RADIANS(S318))*COS(RADIANS(U318))*SIN(RADIANS(V318-T318)/2)^2)))</f>
        <v>60.3000757295558</v>
      </c>
      <c r="F318" t="s" s="48">
        <v>70</v>
      </c>
      <c r="G318" t="s" s="48">
        <v>69</v>
      </c>
      <c r="H318" t="s" s="48">
        <v>69</v>
      </c>
      <c r="I318" t="s" s="48">
        <v>69</v>
      </c>
      <c r="J318" t="s" s="48">
        <v>69</v>
      </c>
      <c r="K318" s="72"/>
      <c r="L318" s="72"/>
      <c r="M318" s="50"/>
      <c r="N318" s="49"/>
      <c r="O318" s="50"/>
      <c r="P318" s="50"/>
      <c r="Q318" s="30">
        <v>314</v>
      </c>
      <c r="R318" s="61"/>
      <c r="S318" s="46">
        <f>INDEX('Locations'!$D$6:$D$455,MATCH(B318,'Locations'!$A$6:$A$455,0))</f>
        <v>42.7275981743007</v>
      </c>
      <c r="T318" s="46">
        <f>INDEX('Locations'!$E$6:$E$455,MATCH(B318,'Locations'!$A$6:$A$455,0))</f>
        <v>-73.67550521787901</v>
      </c>
      <c r="U318" s="46">
        <f>INDEX('Locations'!$D$6:$D$455,MATCH(C318,'Locations'!$A$6:$A$455,0))</f>
        <v>42.7270579031318</v>
      </c>
      <c r="V318" s="73">
        <f>INDEX('Locations'!$E$6:$E$455,MATCH(C318,'Locations'!$A$6:$A$455,0))</f>
        <v>-73.6755688833484</v>
      </c>
      <c r="W318" s="44"/>
    </row>
    <row r="319" ht="23.1" customHeight="1">
      <c r="A319" t="s" s="24">
        <v>929</v>
      </c>
      <c r="B319" t="s" s="53">
        <v>368</v>
      </c>
      <c r="C319" t="s" s="53">
        <v>416</v>
      </c>
      <c r="D319" t="s" s="53">
        <v>614</v>
      </c>
      <c r="E319" s="74">
        <f>2*6371000*ASIN(SQRT(MIN(1,SIN(RADIANS(U319-S319)/2)^2+COS(RADIANS(S319))*COS(RADIANS(U319))*SIN(RADIANS(V319-T319)/2)^2)))</f>
        <v>18.051085288413</v>
      </c>
      <c r="F319" t="s" s="48">
        <v>70</v>
      </c>
      <c r="G319" t="s" s="48">
        <v>69</v>
      </c>
      <c r="H319" t="s" s="48">
        <v>69</v>
      </c>
      <c r="I319" t="s" s="48">
        <v>69</v>
      </c>
      <c r="J319" t="s" s="48">
        <v>69</v>
      </c>
      <c r="K319" s="72"/>
      <c r="L319" s="72"/>
      <c r="M319" s="50"/>
      <c r="N319" s="49"/>
      <c r="O319" s="50"/>
      <c r="P319" s="50"/>
      <c r="Q319" s="32">
        <v>315</v>
      </c>
      <c r="R319" s="64"/>
      <c r="S319" s="54">
        <f>INDEX('Locations'!$D$6:$D$455,MATCH(B319,'Locations'!$A$6:$A$455,0))</f>
        <v>42.7270199691987</v>
      </c>
      <c r="T319" s="54">
        <f>INDEX('Locations'!$E$6:$E$455,MATCH(B319,'Locations'!$A$6:$A$455,0))</f>
        <v>-73.67535401238911</v>
      </c>
      <c r="U319" s="54">
        <f>INDEX('Locations'!$D$6:$D$455,MATCH(C319,'Locations'!$A$6:$A$455,0))</f>
        <v>42.7270579031318</v>
      </c>
      <c r="V319" s="75">
        <f>INDEX('Locations'!$E$6:$E$455,MATCH(C319,'Locations'!$A$6:$A$455,0))</f>
        <v>-73.6755688833484</v>
      </c>
      <c r="W319" s="44"/>
    </row>
    <row r="320" ht="23.1" customHeight="1">
      <c r="A320" t="s" s="21">
        <v>930</v>
      </c>
      <c r="B320" t="s" s="45">
        <v>418</v>
      </c>
      <c r="C320" t="s" s="45">
        <v>415</v>
      </c>
      <c r="D320" t="s" s="45">
        <v>669</v>
      </c>
      <c r="E320" s="71">
        <f>2*6371000*ASIN(SQRT(MIN(1,SIN(RADIANS(U320-S320)/2)^2+COS(RADIANS(S320))*COS(RADIANS(U320))*SIN(RADIANS(V320-T320)/2)^2)))</f>
        <v>31.1351514681614</v>
      </c>
      <c r="F320" t="s" s="48">
        <v>70</v>
      </c>
      <c r="G320" t="s" s="48">
        <v>69</v>
      </c>
      <c r="H320" t="s" s="48">
        <v>69</v>
      </c>
      <c r="I320" t="s" s="48">
        <v>69</v>
      </c>
      <c r="J320" t="s" s="48">
        <v>69</v>
      </c>
      <c r="K320" s="72"/>
      <c r="L320" s="72"/>
      <c r="M320" s="50"/>
      <c r="N320" s="49"/>
      <c r="O320" s="50"/>
      <c r="P320" s="50"/>
      <c r="Q320" s="30">
        <v>316</v>
      </c>
      <c r="R320" s="61"/>
      <c r="S320" s="46">
        <f>INDEX('Locations'!$D$6:$D$455,MATCH(B320,'Locations'!$A$6:$A$455,0))</f>
        <v>42.7276384072601</v>
      </c>
      <c r="T320" s="46">
        <f>INDEX('Locations'!$E$6:$E$455,MATCH(B320,'Locations'!$A$6:$A$455,0))</f>
        <v>-73.6758824357852</v>
      </c>
      <c r="U320" s="46">
        <f>INDEX('Locations'!$D$6:$D$455,MATCH(C320,'Locations'!$A$6:$A$455,0))</f>
        <v>42.7275981743007</v>
      </c>
      <c r="V320" s="73">
        <f>INDEX('Locations'!$E$6:$E$455,MATCH(C320,'Locations'!$A$6:$A$455,0))</f>
        <v>-73.67550521787901</v>
      </c>
      <c r="W320" s="44"/>
    </row>
    <row r="321" ht="23.1" customHeight="1">
      <c r="A321" t="s" s="24">
        <v>931</v>
      </c>
      <c r="B321" t="s" s="53">
        <v>418</v>
      </c>
      <c r="C321" t="s" s="53">
        <v>414</v>
      </c>
      <c r="D321" t="s" s="53">
        <v>614</v>
      </c>
      <c r="E321" s="74">
        <f>2*6371000*ASIN(SQRT(MIN(1,SIN(RADIANS(U321-S321)/2)^2+COS(RADIANS(S321))*COS(RADIANS(U321))*SIN(RADIANS(V321-T321)/2)^2)))</f>
        <v>76.86629408265669</v>
      </c>
      <c r="F321" t="s" s="48">
        <v>70</v>
      </c>
      <c r="G321" t="s" s="48">
        <v>69</v>
      </c>
      <c r="H321" t="s" s="48">
        <v>69</v>
      </c>
      <c r="I321" t="s" s="48">
        <v>69</v>
      </c>
      <c r="J321" t="s" s="48">
        <v>69</v>
      </c>
      <c r="K321" s="72"/>
      <c r="L321" s="72"/>
      <c r="M321" s="50"/>
      <c r="N321" s="49"/>
      <c r="O321" s="50"/>
      <c r="P321" s="50"/>
      <c r="Q321" s="32">
        <v>317</v>
      </c>
      <c r="R321" s="64"/>
      <c r="S321" s="54">
        <f>INDEX('Locations'!$D$6:$D$455,MATCH(B321,'Locations'!$A$6:$A$455,0))</f>
        <v>42.7276384072601</v>
      </c>
      <c r="T321" s="54">
        <f>INDEX('Locations'!$E$6:$E$455,MATCH(B321,'Locations'!$A$6:$A$455,0))</f>
        <v>-73.6758824357852</v>
      </c>
      <c r="U321" s="54">
        <f>INDEX('Locations'!$D$6:$D$455,MATCH(C321,'Locations'!$A$6:$A$455,0))</f>
        <v>42.7282901812021</v>
      </c>
      <c r="V321" s="75">
        <f>INDEX('Locations'!$E$6:$E$455,MATCH(C321,'Locations'!$A$6:$A$455,0))</f>
        <v>-73.6761959882221</v>
      </c>
      <c r="W321" s="44"/>
    </row>
    <row r="322" ht="23.1" customHeight="1">
      <c r="A322" t="s" s="21">
        <v>932</v>
      </c>
      <c r="B322" t="s" s="45">
        <v>351</v>
      </c>
      <c r="C322" t="s" s="45">
        <v>414</v>
      </c>
      <c r="D322" t="s" s="45">
        <v>614</v>
      </c>
      <c r="E322" s="71">
        <f>2*6371000*ASIN(SQRT(MIN(1,SIN(RADIANS(U322-S322)/2)^2+COS(RADIANS(S322))*COS(RADIANS(U322))*SIN(RADIANS(V322-T322)/2)^2)))</f>
        <v>45.802306867909</v>
      </c>
      <c r="F322" t="s" s="48">
        <v>70</v>
      </c>
      <c r="G322" t="s" s="48">
        <v>69</v>
      </c>
      <c r="H322" t="s" s="48">
        <v>69</v>
      </c>
      <c r="I322" t="s" s="48">
        <v>69</v>
      </c>
      <c r="J322" t="s" s="48">
        <v>69</v>
      </c>
      <c r="K322" s="72"/>
      <c r="L322" s="72"/>
      <c r="M322" s="50"/>
      <c r="N322" s="49"/>
      <c r="O322" s="50"/>
      <c r="P322" s="50"/>
      <c r="Q322" s="30">
        <v>318</v>
      </c>
      <c r="R322" s="61"/>
      <c r="S322" s="46">
        <f>INDEX('Locations'!$D$6:$D$455,MATCH(B322,'Locations'!$A$6:$A$455,0))</f>
        <v>42.7286902117697</v>
      </c>
      <c r="T322" s="46">
        <f>INDEX('Locations'!$E$6:$E$455,MATCH(B322,'Locations'!$A$6:$A$455,0))</f>
        <v>-73.6760622907363</v>
      </c>
      <c r="U322" s="46">
        <f>INDEX('Locations'!$D$6:$D$455,MATCH(C322,'Locations'!$A$6:$A$455,0))</f>
        <v>42.7282901812021</v>
      </c>
      <c r="V322" s="73">
        <f>INDEX('Locations'!$E$6:$E$455,MATCH(C322,'Locations'!$A$6:$A$455,0))</f>
        <v>-73.6761959882221</v>
      </c>
      <c r="W322" s="44"/>
    </row>
    <row r="323" ht="23.1" customHeight="1">
      <c r="A323" t="s" s="24">
        <v>933</v>
      </c>
      <c r="B323" t="s" s="53">
        <v>420</v>
      </c>
      <c r="C323" t="s" s="53">
        <v>421</v>
      </c>
      <c r="D323" t="s" s="53">
        <v>614</v>
      </c>
      <c r="E323" s="74">
        <f>2*6371000*ASIN(SQRT(MIN(1,SIN(RADIANS(U323-S323)/2)^2+COS(RADIANS(S323))*COS(RADIANS(U323))*SIN(RADIANS(V323-T323)/2)^2)))</f>
        <v>50.7172082509539</v>
      </c>
      <c r="F323" t="s" s="48">
        <v>70</v>
      </c>
      <c r="G323" t="s" s="48">
        <v>69</v>
      </c>
      <c r="H323" t="s" s="48">
        <v>69</v>
      </c>
      <c r="I323" t="s" s="48">
        <v>69</v>
      </c>
      <c r="J323" t="s" s="48">
        <v>69</v>
      </c>
      <c r="K323" s="72"/>
      <c r="L323" s="72"/>
      <c r="M323" s="50"/>
      <c r="N323" s="49"/>
      <c r="O323" s="50"/>
      <c r="P323" s="50"/>
      <c r="Q323" s="32">
        <v>319</v>
      </c>
      <c r="R323" s="64"/>
      <c r="S323" s="54">
        <f>INDEX('Locations'!$D$6:$D$455,MATCH(B323,'Locations'!$A$6:$A$455,0))</f>
        <v>42.7321157608832</v>
      </c>
      <c r="T323" s="54">
        <f>INDEX('Locations'!$E$6:$E$455,MATCH(B323,'Locations'!$A$6:$A$455,0))</f>
        <v>-73.6818335655384</v>
      </c>
      <c r="U323" s="54">
        <f>INDEX('Locations'!$D$6:$D$455,MATCH(C323,'Locations'!$A$6:$A$455,0))</f>
        <v>42.7316961885924</v>
      </c>
      <c r="V323" s="75">
        <f>INDEX('Locations'!$E$6:$E$455,MATCH(C323,'Locations'!$A$6:$A$455,0))</f>
        <v>-73.6815900451179</v>
      </c>
      <c r="W323" s="44"/>
    </row>
    <row r="324" ht="23.1" customHeight="1">
      <c r="A324" t="s" s="21">
        <v>934</v>
      </c>
      <c r="B324" t="s" s="45">
        <v>419</v>
      </c>
      <c r="C324" t="s" s="45">
        <v>422</v>
      </c>
      <c r="D324" t="s" s="45">
        <v>614</v>
      </c>
      <c r="E324" s="71">
        <f>2*6371000*ASIN(SQRT(MIN(1,SIN(RADIANS(U324-S324)/2)^2+COS(RADIANS(S324))*COS(RADIANS(U324))*SIN(RADIANS(V324-T324)/2)^2)))</f>
        <v>22.5668559174874</v>
      </c>
      <c r="F324" t="s" s="48">
        <v>70</v>
      </c>
      <c r="G324" t="s" s="48">
        <v>69</v>
      </c>
      <c r="H324" t="s" s="48">
        <v>69</v>
      </c>
      <c r="I324" t="s" s="48">
        <v>69</v>
      </c>
      <c r="J324" t="s" s="48">
        <v>69</v>
      </c>
      <c r="K324" s="72"/>
      <c r="L324" s="72"/>
      <c r="M324" s="50"/>
      <c r="N324" s="49"/>
      <c r="O324" s="50"/>
      <c r="P324" s="50"/>
      <c r="Q324" s="30">
        <v>320</v>
      </c>
      <c r="R324" s="61"/>
      <c r="S324" s="46">
        <f>INDEX('Locations'!$D$6:$D$455,MATCH(B324,'Locations'!$A$6:$A$455,0))</f>
        <v>42.7314295015473</v>
      </c>
      <c r="T324" s="46">
        <f>INDEX('Locations'!$E$6:$E$455,MATCH(B324,'Locations'!$A$6:$A$455,0))</f>
        <v>-73.6812669428606</v>
      </c>
      <c r="U324" s="46">
        <f>INDEX('Locations'!$D$6:$D$455,MATCH(C324,'Locations'!$A$6:$A$455,0))</f>
        <v>42.731563994583</v>
      </c>
      <c r="V324" s="73">
        <f>INDEX('Locations'!$E$6:$E$455,MATCH(C324,'Locations'!$A$6:$A$455,0))</f>
        <v>-73.6814738556362</v>
      </c>
      <c r="W324" s="44"/>
    </row>
    <row r="325" ht="23.1" customHeight="1">
      <c r="A325" t="s" s="24">
        <v>935</v>
      </c>
      <c r="B325" t="s" s="53">
        <v>421</v>
      </c>
      <c r="C325" t="s" s="53">
        <v>422</v>
      </c>
      <c r="D325" t="s" s="53">
        <v>614</v>
      </c>
      <c r="E325" s="74">
        <f>2*6371000*ASIN(SQRT(MIN(1,SIN(RADIANS(U325-S325)/2)^2+COS(RADIANS(S325))*COS(RADIANS(U325))*SIN(RADIANS(V325-T325)/2)^2)))</f>
        <v>17.4965729519185</v>
      </c>
      <c r="F325" t="s" s="48">
        <v>70</v>
      </c>
      <c r="G325" t="s" s="48">
        <v>69</v>
      </c>
      <c r="H325" t="s" s="48">
        <v>69</v>
      </c>
      <c r="I325" t="s" s="48">
        <v>69</v>
      </c>
      <c r="J325" t="s" s="48">
        <v>69</v>
      </c>
      <c r="K325" s="72"/>
      <c r="L325" s="72"/>
      <c r="M325" s="50"/>
      <c r="N325" s="49"/>
      <c r="O325" s="50"/>
      <c r="P325" s="50"/>
      <c r="Q325" s="32">
        <v>321</v>
      </c>
      <c r="R325" s="64"/>
      <c r="S325" s="54">
        <f>INDEX('Locations'!$D$6:$D$455,MATCH(B325,'Locations'!$A$6:$A$455,0))</f>
        <v>42.7316961885924</v>
      </c>
      <c r="T325" s="54">
        <f>INDEX('Locations'!$E$6:$E$455,MATCH(B325,'Locations'!$A$6:$A$455,0))</f>
        <v>-73.6815900451179</v>
      </c>
      <c r="U325" s="54">
        <f>INDEX('Locations'!$D$6:$D$455,MATCH(C325,'Locations'!$A$6:$A$455,0))</f>
        <v>42.731563994583</v>
      </c>
      <c r="V325" s="75">
        <f>INDEX('Locations'!$E$6:$E$455,MATCH(C325,'Locations'!$A$6:$A$455,0))</f>
        <v>-73.6814738556362</v>
      </c>
      <c r="W325" s="44"/>
    </row>
    <row r="326" ht="23.1" customHeight="1">
      <c r="A326" t="s" s="21">
        <v>936</v>
      </c>
      <c r="B326" t="s" s="45">
        <v>423</v>
      </c>
      <c r="C326" t="s" s="45">
        <v>422</v>
      </c>
      <c r="D326" t="s" s="45">
        <v>614</v>
      </c>
      <c r="E326" s="71">
        <f>2*6371000*ASIN(SQRT(MIN(1,SIN(RADIANS(U326-S326)/2)^2+COS(RADIANS(S326))*COS(RADIANS(U326))*SIN(RADIANS(V326-T326)/2)^2)))</f>
        <v>12.3262208146677</v>
      </c>
      <c r="F326" t="s" s="48">
        <v>70</v>
      </c>
      <c r="G326" t="s" s="48">
        <v>69</v>
      </c>
      <c r="H326" t="s" s="48">
        <v>69</v>
      </c>
      <c r="I326" t="s" s="48">
        <v>69</v>
      </c>
      <c r="J326" t="s" s="48">
        <v>69</v>
      </c>
      <c r="K326" s="72"/>
      <c r="L326" s="72"/>
      <c r="M326" s="50"/>
      <c r="N326" s="49"/>
      <c r="O326" s="50"/>
      <c r="P326" s="50"/>
      <c r="Q326" s="30">
        <v>322</v>
      </c>
      <c r="R326" s="61"/>
      <c r="S326" s="46">
        <f>INDEX('Locations'!$D$6:$D$455,MATCH(B326,'Locations'!$A$6:$A$455,0))</f>
        <v>42.7314961733086</v>
      </c>
      <c r="T326" s="46">
        <f>INDEX('Locations'!$E$6:$E$455,MATCH(B326,'Locations'!$A$6:$A$455,0))</f>
        <v>-73.68159322839131</v>
      </c>
      <c r="U326" s="46">
        <f>INDEX('Locations'!$D$6:$D$455,MATCH(C326,'Locations'!$A$6:$A$455,0))</f>
        <v>42.731563994583</v>
      </c>
      <c r="V326" s="73">
        <f>INDEX('Locations'!$E$6:$E$455,MATCH(C326,'Locations'!$A$6:$A$455,0))</f>
        <v>-73.6814738556362</v>
      </c>
      <c r="W326" s="44"/>
    </row>
    <row r="327" ht="23.1" customHeight="1">
      <c r="A327" t="s" s="24">
        <v>937</v>
      </c>
      <c r="B327" t="s" s="53">
        <v>89</v>
      </c>
      <c r="C327" t="s" s="53">
        <v>424</v>
      </c>
      <c r="D327" t="s" s="53">
        <v>614</v>
      </c>
      <c r="E327" s="74">
        <f>2*6371000*ASIN(SQRT(MIN(1,SIN(RADIANS(U327-S327)/2)^2+COS(RADIANS(S327))*COS(RADIANS(U327))*SIN(RADIANS(V327-T327)/2)^2)))</f>
        <v>12.2540946386249</v>
      </c>
      <c r="F327" t="s" s="48">
        <v>70</v>
      </c>
      <c r="G327" t="s" s="48">
        <v>69</v>
      </c>
      <c r="H327" t="s" s="48">
        <v>69</v>
      </c>
      <c r="I327" t="s" s="48">
        <v>69</v>
      </c>
      <c r="J327" t="s" s="48">
        <v>69</v>
      </c>
      <c r="K327" s="72"/>
      <c r="L327" s="72"/>
      <c r="M327" s="50"/>
      <c r="N327" s="49"/>
      <c r="O327" s="50"/>
      <c r="P327" s="50"/>
      <c r="Q327" s="32">
        <v>323</v>
      </c>
      <c r="R327" s="64"/>
      <c r="S327" s="54">
        <f>INDEX('Locations'!$D$6:$D$455,MATCH(B327,'Locations'!$A$6:$A$455,0))</f>
        <v>42.7312253105997</v>
      </c>
      <c r="T327" s="54">
        <f>INDEX('Locations'!$E$6:$E$455,MATCH(B327,'Locations'!$A$6:$A$455,0))</f>
        <v>-73.68176230139279</v>
      </c>
      <c r="U327" s="54">
        <f>INDEX('Locations'!$D$6:$D$455,MATCH(C327,'Locations'!$A$6:$A$455,0))</f>
        <v>42.7312283367504</v>
      </c>
      <c r="V327" s="75">
        <f>INDEX('Locations'!$E$6:$E$455,MATCH(C327,'Locations'!$A$6:$A$455,0))</f>
        <v>-73.6816123280322</v>
      </c>
      <c r="W327" s="44"/>
    </row>
    <row r="328" ht="23.1" customHeight="1">
      <c r="A328" t="s" s="21">
        <v>938</v>
      </c>
      <c r="B328" t="s" s="45">
        <v>423</v>
      </c>
      <c r="C328" t="s" s="45">
        <v>424</v>
      </c>
      <c r="D328" t="s" s="45">
        <v>614</v>
      </c>
      <c r="E328" s="71">
        <f>2*6371000*ASIN(SQRT(MIN(1,SIN(RADIANS(U328-S328)/2)^2+COS(RADIANS(S328))*COS(RADIANS(U328))*SIN(RADIANS(V328-T328)/2)^2)))</f>
        <v>29.8228958146326</v>
      </c>
      <c r="F328" t="s" s="48">
        <v>70</v>
      </c>
      <c r="G328" t="s" s="48">
        <v>69</v>
      </c>
      <c r="H328" t="s" s="48">
        <v>69</v>
      </c>
      <c r="I328" t="s" s="48">
        <v>69</v>
      </c>
      <c r="J328" t="s" s="48">
        <v>69</v>
      </c>
      <c r="K328" s="72"/>
      <c r="L328" s="72"/>
      <c r="M328" s="50"/>
      <c r="N328" s="49"/>
      <c r="O328" s="50"/>
      <c r="P328" s="50"/>
      <c r="Q328" s="30">
        <v>324</v>
      </c>
      <c r="R328" s="61"/>
      <c r="S328" s="46">
        <f>INDEX('Locations'!$D$6:$D$455,MATCH(B328,'Locations'!$A$6:$A$455,0))</f>
        <v>42.7314961733086</v>
      </c>
      <c r="T328" s="46">
        <f>INDEX('Locations'!$E$6:$E$455,MATCH(B328,'Locations'!$A$6:$A$455,0))</f>
        <v>-73.68159322839131</v>
      </c>
      <c r="U328" s="46">
        <f>INDEX('Locations'!$D$6:$D$455,MATCH(C328,'Locations'!$A$6:$A$455,0))</f>
        <v>42.7312283367504</v>
      </c>
      <c r="V328" s="73">
        <f>INDEX('Locations'!$E$6:$E$455,MATCH(C328,'Locations'!$A$6:$A$455,0))</f>
        <v>-73.6816123280322</v>
      </c>
      <c r="W328" s="44"/>
    </row>
    <row r="329" ht="23.1" customHeight="1">
      <c r="A329" t="s" s="24">
        <v>939</v>
      </c>
      <c r="B329" t="s" s="53">
        <v>420</v>
      </c>
      <c r="C329" t="s" s="53">
        <v>425</v>
      </c>
      <c r="D329" t="s" s="53">
        <v>614</v>
      </c>
      <c r="E329" s="74">
        <f>2*6371000*ASIN(SQRT(MIN(1,SIN(RADIANS(U329-S329)/2)^2+COS(RADIANS(S329))*COS(RADIANS(U329))*SIN(RADIANS(V329-T329)/2)^2)))</f>
        <v>71.2437524864761</v>
      </c>
      <c r="F329" t="s" s="48">
        <v>70</v>
      </c>
      <c r="G329" t="s" s="48">
        <v>69</v>
      </c>
      <c r="H329" t="s" s="48">
        <v>69</v>
      </c>
      <c r="I329" t="s" s="48">
        <v>69</v>
      </c>
      <c r="J329" t="s" s="48">
        <v>69</v>
      </c>
      <c r="K329" s="72"/>
      <c r="L329" s="72"/>
      <c r="M329" s="50"/>
      <c r="N329" s="49"/>
      <c r="O329" s="50"/>
      <c r="P329" s="50"/>
      <c r="Q329" s="32">
        <v>325</v>
      </c>
      <c r="R329" s="64"/>
      <c r="S329" s="54">
        <f>INDEX('Locations'!$D$6:$D$455,MATCH(B329,'Locations'!$A$6:$A$455,0))</f>
        <v>42.7321157608832</v>
      </c>
      <c r="T329" s="54">
        <f>INDEX('Locations'!$E$6:$E$455,MATCH(B329,'Locations'!$A$6:$A$455,0))</f>
        <v>-73.6818335655384</v>
      </c>
      <c r="U329" s="54">
        <f>INDEX('Locations'!$D$6:$D$455,MATCH(C329,'Locations'!$A$6:$A$455,0))</f>
        <v>42.7321088638044</v>
      </c>
      <c r="V329" s="75">
        <f>INDEX('Locations'!$E$6:$E$455,MATCH(C329,'Locations'!$A$6:$A$455,0))</f>
        <v>-73.6827057824693</v>
      </c>
      <c r="W329" s="44"/>
    </row>
    <row r="330" ht="23.1" customHeight="1">
      <c r="A330" t="s" s="21">
        <v>940</v>
      </c>
      <c r="B330" t="s" s="45">
        <v>426</v>
      </c>
      <c r="C330" t="s" s="45">
        <v>425</v>
      </c>
      <c r="D330" t="s" s="45">
        <v>614</v>
      </c>
      <c r="E330" s="71">
        <f>2*6371000*ASIN(SQRT(MIN(1,SIN(RADIANS(U330-S330)/2)^2+COS(RADIANS(S330))*COS(RADIANS(U330))*SIN(RADIANS(V330-T330)/2)^2)))</f>
        <v>45.903592143291</v>
      </c>
      <c r="F330" t="s" s="48">
        <v>70</v>
      </c>
      <c r="G330" t="s" s="48">
        <v>69</v>
      </c>
      <c r="H330" t="s" s="48">
        <v>69</v>
      </c>
      <c r="I330" t="s" s="48">
        <v>69</v>
      </c>
      <c r="J330" t="s" s="48">
        <v>69</v>
      </c>
      <c r="K330" s="72"/>
      <c r="L330" s="72"/>
      <c r="M330" s="50"/>
      <c r="N330" s="49"/>
      <c r="O330" s="50"/>
      <c r="P330" s="50"/>
      <c r="Q330" s="30">
        <v>326</v>
      </c>
      <c r="R330" s="61"/>
      <c r="S330" s="46">
        <f>INDEX('Locations'!$D$6:$D$455,MATCH(B330,'Locations'!$A$6:$A$455,0))</f>
        <v>42.7318513728643</v>
      </c>
      <c r="T330" s="46">
        <f>INDEX('Locations'!$E$6:$E$455,MATCH(B330,'Locations'!$A$6:$A$455,0))</f>
        <v>-73.6831450742082</v>
      </c>
      <c r="U330" s="46">
        <f>INDEX('Locations'!$D$6:$D$455,MATCH(C330,'Locations'!$A$6:$A$455,0))</f>
        <v>42.7321088638044</v>
      </c>
      <c r="V330" s="73">
        <f>INDEX('Locations'!$E$6:$E$455,MATCH(C330,'Locations'!$A$6:$A$455,0))</f>
        <v>-73.6827057824693</v>
      </c>
      <c r="W330" s="44"/>
    </row>
    <row r="331" ht="23.1" customHeight="1">
      <c r="A331" t="s" s="24">
        <v>941</v>
      </c>
      <c r="B331" t="s" s="53">
        <v>426</v>
      </c>
      <c r="C331" t="s" s="53">
        <v>427</v>
      </c>
      <c r="D331" t="s" s="53">
        <v>614</v>
      </c>
      <c r="E331" s="74">
        <f>2*6371000*ASIN(SQRT(MIN(1,SIN(RADIANS(U331-S331)/2)^2+COS(RADIANS(S331))*COS(RADIANS(U331))*SIN(RADIANS(V331-T331)/2)^2)))</f>
        <v>45.4999516137247</v>
      </c>
      <c r="F331" t="s" s="48">
        <v>70</v>
      </c>
      <c r="G331" t="s" s="48">
        <v>69</v>
      </c>
      <c r="H331" t="s" s="48">
        <v>69</v>
      </c>
      <c r="I331" t="s" s="48">
        <v>69</v>
      </c>
      <c r="J331" t="s" s="48">
        <v>69</v>
      </c>
      <c r="K331" s="72"/>
      <c r="L331" s="72"/>
      <c r="M331" s="50"/>
      <c r="N331" s="49"/>
      <c r="O331" s="50"/>
      <c r="P331" s="50"/>
      <c r="Q331" s="32">
        <v>327</v>
      </c>
      <c r="R331" s="64"/>
      <c r="S331" s="54">
        <f>INDEX('Locations'!$D$6:$D$455,MATCH(B331,'Locations'!$A$6:$A$455,0))</f>
        <v>42.7318513728643</v>
      </c>
      <c r="T331" s="54">
        <f>INDEX('Locations'!$E$6:$E$455,MATCH(B331,'Locations'!$A$6:$A$455,0))</f>
        <v>-73.6831450742082</v>
      </c>
      <c r="U331" s="54">
        <f>INDEX('Locations'!$D$6:$D$455,MATCH(C331,'Locations'!$A$6:$A$455,0))</f>
        <v>42.7318513728643</v>
      </c>
      <c r="V331" s="75">
        <f>INDEX('Locations'!$E$6:$E$455,MATCH(C331,'Locations'!$A$6:$A$455,0))</f>
        <v>-73.68258800135089</v>
      </c>
      <c r="W331" s="44"/>
    </row>
    <row r="332" ht="23.1" customHeight="1">
      <c r="A332" t="s" s="21">
        <v>942</v>
      </c>
      <c r="B332" t="s" s="45">
        <v>423</v>
      </c>
      <c r="C332" t="s" s="45">
        <v>427</v>
      </c>
      <c r="D332" t="s" s="45">
        <v>614</v>
      </c>
      <c r="E332" s="71">
        <f>2*6371000*ASIN(SQRT(MIN(1,SIN(RADIANS(U332-S332)/2)^2+COS(RADIANS(S332))*COS(RADIANS(U332))*SIN(RADIANS(V332-T332)/2)^2)))</f>
        <v>90.3413027135567</v>
      </c>
      <c r="F332" t="s" s="48">
        <v>70</v>
      </c>
      <c r="G332" t="s" s="48">
        <v>69</v>
      </c>
      <c r="H332" t="s" s="48">
        <v>69</v>
      </c>
      <c r="I332" t="s" s="48">
        <v>69</v>
      </c>
      <c r="J332" t="s" s="48">
        <v>69</v>
      </c>
      <c r="K332" s="72"/>
      <c r="L332" s="72"/>
      <c r="M332" s="50"/>
      <c r="N332" s="49"/>
      <c r="O332" s="50"/>
      <c r="P332" s="50"/>
      <c r="Q332" s="30">
        <v>328</v>
      </c>
      <c r="R332" s="61"/>
      <c r="S332" s="46">
        <f>INDEX('Locations'!$D$6:$D$455,MATCH(B332,'Locations'!$A$6:$A$455,0))</f>
        <v>42.7314961733086</v>
      </c>
      <c r="T332" s="46">
        <f>INDEX('Locations'!$E$6:$E$455,MATCH(B332,'Locations'!$A$6:$A$455,0))</f>
        <v>-73.68159322839131</v>
      </c>
      <c r="U332" s="46">
        <f>INDEX('Locations'!$D$6:$D$455,MATCH(C332,'Locations'!$A$6:$A$455,0))</f>
        <v>42.7318513728643</v>
      </c>
      <c r="V332" s="73">
        <f>INDEX('Locations'!$E$6:$E$455,MATCH(C332,'Locations'!$A$6:$A$455,0))</f>
        <v>-73.68258800135089</v>
      </c>
      <c r="W332" s="44"/>
    </row>
    <row r="333" ht="23.1" customHeight="1">
      <c r="A333" t="s" s="24">
        <v>943</v>
      </c>
      <c r="B333" t="s" s="53">
        <v>426</v>
      </c>
      <c r="C333" t="s" s="53">
        <v>209</v>
      </c>
      <c r="D333" t="s" s="53">
        <v>614</v>
      </c>
      <c r="E333" s="74">
        <f>2*6371000*ASIN(SQRT(MIN(1,SIN(RADIANS(U333-S333)/2)^2+COS(RADIANS(S333))*COS(RADIANS(U333))*SIN(RADIANS(V333-T333)/2)^2)))</f>
        <v>16.5364062171384</v>
      </c>
      <c r="F333" t="s" s="48">
        <v>70</v>
      </c>
      <c r="G333" t="s" s="48">
        <v>69</v>
      </c>
      <c r="H333" t="s" s="48">
        <v>69</v>
      </c>
      <c r="I333" t="s" s="48">
        <v>69</v>
      </c>
      <c r="J333" t="s" s="48">
        <v>69</v>
      </c>
      <c r="K333" s="72"/>
      <c r="L333" s="72"/>
      <c r="M333" s="50"/>
      <c r="N333" s="49"/>
      <c r="O333" s="50"/>
      <c r="P333" s="50"/>
      <c r="Q333" s="32">
        <v>329</v>
      </c>
      <c r="R333" s="64"/>
      <c r="S333" s="54">
        <f>INDEX('Locations'!$D$6:$D$455,MATCH(B333,'Locations'!$A$6:$A$455,0))</f>
        <v>42.7318513728643</v>
      </c>
      <c r="T333" s="54">
        <f>INDEX('Locations'!$E$6:$E$455,MATCH(B333,'Locations'!$A$6:$A$455,0))</f>
        <v>-73.6831450742082</v>
      </c>
      <c r="U333" s="54">
        <f>INDEX('Locations'!$D$6:$D$455,MATCH(C333,'Locations'!$A$6:$A$455,0))</f>
        <v>42.7317041350482</v>
      </c>
      <c r="V333" s="75">
        <f>INDEX('Locations'!$E$6:$E$455,MATCH(C333,'Locations'!$A$6:$A$455,0))</f>
        <v>-73.6831166044322</v>
      </c>
      <c r="W333" s="44"/>
    </row>
    <row r="334" ht="23.1" customHeight="1">
      <c r="A334" t="s" s="21">
        <v>944</v>
      </c>
      <c r="B334" t="s" s="45">
        <v>428</v>
      </c>
      <c r="C334" t="s" s="45">
        <v>427</v>
      </c>
      <c r="D334" t="s" s="45">
        <v>614</v>
      </c>
      <c r="E334" s="71">
        <f>2*6371000*ASIN(SQRT(MIN(1,SIN(RADIANS(U334-S334)/2)^2+COS(RADIANS(S334))*COS(RADIANS(U334))*SIN(RADIANS(V334-T334)/2)^2)))</f>
        <v>45.1842083067433</v>
      </c>
      <c r="F334" t="s" s="48">
        <v>70</v>
      </c>
      <c r="G334" t="s" s="48">
        <v>69</v>
      </c>
      <c r="H334" t="s" s="48">
        <v>69</v>
      </c>
      <c r="I334" t="s" s="48">
        <v>69</v>
      </c>
      <c r="J334" t="s" s="48">
        <v>69</v>
      </c>
      <c r="K334" s="72"/>
      <c r="L334" s="72"/>
      <c r="M334" s="50"/>
      <c r="N334" s="49"/>
      <c r="O334" s="50"/>
      <c r="P334" s="50"/>
      <c r="Q334" s="30">
        <v>330</v>
      </c>
      <c r="R334" s="61"/>
      <c r="S334" s="46">
        <f>INDEX('Locations'!$D$6:$D$455,MATCH(B334,'Locations'!$A$6:$A$455,0))</f>
        <v>42.7314651364542</v>
      </c>
      <c r="T334" s="46">
        <f>INDEX('Locations'!$E$6:$E$455,MATCH(B334,'Locations'!$A$6:$A$455,0))</f>
        <v>-73.68275989811831</v>
      </c>
      <c r="U334" s="46">
        <f>INDEX('Locations'!$D$6:$D$455,MATCH(C334,'Locations'!$A$6:$A$455,0))</f>
        <v>42.7318513728643</v>
      </c>
      <c r="V334" s="73">
        <f>INDEX('Locations'!$E$6:$E$455,MATCH(C334,'Locations'!$A$6:$A$455,0))</f>
        <v>-73.68258800135089</v>
      </c>
      <c r="W334" s="44"/>
    </row>
    <row r="335" ht="23.1" customHeight="1">
      <c r="A335" t="s" s="24">
        <v>945</v>
      </c>
      <c r="B335" t="s" s="53">
        <v>423</v>
      </c>
      <c r="C335" t="s" s="53">
        <v>428</v>
      </c>
      <c r="D335" t="s" s="53">
        <v>614</v>
      </c>
      <c r="E335" s="74">
        <f>2*6371000*ASIN(SQRT(MIN(1,SIN(RADIANS(U335-S335)/2)^2+COS(RADIANS(S335))*COS(RADIANS(U335))*SIN(RADIANS(V335-T335)/2)^2)))</f>
        <v>95.352942852998</v>
      </c>
      <c r="F335" t="s" s="48">
        <v>70</v>
      </c>
      <c r="G335" t="s" s="48">
        <v>69</v>
      </c>
      <c r="H335" t="s" s="48">
        <v>69</v>
      </c>
      <c r="I335" t="s" s="48">
        <v>69</v>
      </c>
      <c r="J335" t="s" s="48">
        <v>69</v>
      </c>
      <c r="K335" s="72"/>
      <c r="L335" s="72"/>
      <c r="M335" s="50"/>
      <c r="N335" s="49"/>
      <c r="O335" s="50"/>
      <c r="P335" s="50"/>
      <c r="Q335" s="32">
        <v>331</v>
      </c>
      <c r="R335" s="64"/>
      <c r="S335" s="54">
        <f>INDEX('Locations'!$D$6:$D$455,MATCH(B335,'Locations'!$A$6:$A$455,0))</f>
        <v>42.7314961733086</v>
      </c>
      <c r="T335" s="54">
        <f>INDEX('Locations'!$E$6:$E$455,MATCH(B335,'Locations'!$A$6:$A$455,0))</f>
        <v>-73.68159322839131</v>
      </c>
      <c r="U335" s="54">
        <f>INDEX('Locations'!$D$6:$D$455,MATCH(C335,'Locations'!$A$6:$A$455,0))</f>
        <v>42.7314651364542</v>
      </c>
      <c r="V335" s="75">
        <f>INDEX('Locations'!$E$6:$E$455,MATCH(C335,'Locations'!$A$6:$A$455,0))</f>
        <v>-73.68275989811831</v>
      </c>
      <c r="W335" s="44"/>
    </row>
    <row r="336" ht="23.1" customHeight="1">
      <c r="A336" t="s" s="21">
        <v>946</v>
      </c>
      <c r="B336" t="s" s="45">
        <v>432</v>
      </c>
      <c r="C336" t="s" s="45">
        <v>375</v>
      </c>
      <c r="D336" t="s" s="45">
        <v>614</v>
      </c>
      <c r="E336" s="71">
        <f>2*6371000*ASIN(SQRT(MIN(1,SIN(RADIANS(U336-S336)/2)^2+COS(RADIANS(S336))*COS(RADIANS(U336))*SIN(RADIANS(V336-T336)/2)^2)))</f>
        <v>18.3663435880614</v>
      </c>
      <c r="F336" t="s" s="48">
        <v>70</v>
      </c>
      <c r="G336" t="s" s="48">
        <v>69</v>
      </c>
      <c r="H336" t="s" s="48">
        <v>69</v>
      </c>
      <c r="I336" t="s" s="48">
        <v>69</v>
      </c>
      <c r="J336" t="s" s="48">
        <v>69</v>
      </c>
      <c r="K336" s="72"/>
      <c r="L336" s="72"/>
      <c r="M336" s="50"/>
      <c r="N336" s="49"/>
      <c r="O336" s="50"/>
      <c r="P336" s="50"/>
      <c r="Q336" s="30">
        <v>332</v>
      </c>
      <c r="R336" s="61"/>
      <c r="S336" s="46">
        <f>INDEX('Locations'!$D$6:$D$455,MATCH(B336,'Locations'!$A$6:$A$455,0))</f>
        <v>42.7309616497053</v>
      </c>
      <c r="T336" s="46">
        <f>INDEX('Locations'!$E$6:$E$455,MATCH(B336,'Locations'!$A$6:$A$455,0))</f>
        <v>-73.68335835353071</v>
      </c>
      <c r="U336" s="46">
        <f>INDEX('Locations'!$D$6:$D$455,MATCH(C336,'Locations'!$A$6:$A$455,0))</f>
        <v>42.7308076149466</v>
      </c>
      <c r="V336" s="73">
        <f>INDEX('Locations'!$E$6:$E$455,MATCH(C336,'Locations'!$A$6:$A$455,0))</f>
        <v>-73.6834395270043</v>
      </c>
      <c r="W336" s="44"/>
    </row>
    <row r="337" ht="23.1" customHeight="1">
      <c r="A337" t="s" s="24">
        <v>947</v>
      </c>
      <c r="B337" t="s" s="53">
        <v>163</v>
      </c>
      <c r="C337" t="s" s="53">
        <v>432</v>
      </c>
      <c r="D337" t="s" s="53">
        <v>614</v>
      </c>
      <c r="E337" s="74">
        <f>2*6371000*ASIN(SQRT(MIN(1,SIN(RADIANS(U337-S337)/2)^2+COS(RADIANS(S337))*COS(RADIANS(U337))*SIN(RADIANS(V337-T337)/2)^2)))</f>
        <v>9.869884584299349</v>
      </c>
      <c r="F337" t="s" s="48">
        <v>70</v>
      </c>
      <c r="G337" t="s" s="48">
        <v>69</v>
      </c>
      <c r="H337" t="s" s="48">
        <v>69</v>
      </c>
      <c r="I337" t="s" s="48">
        <v>69</v>
      </c>
      <c r="J337" t="s" s="48">
        <v>69</v>
      </c>
      <c r="K337" s="72"/>
      <c r="L337" s="72"/>
      <c r="M337" s="50"/>
      <c r="N337" s="49"/>
      <c r="O337" s="50"/>
      <c r="P337" s="50"/>
      <c r="Q337" s="32">
        <v>333</v>
      </c>
      <c r="R337" s="64"/>
      <c r="S337" s="54">
        <f>INDEX('Locations'!$D$6:$D$455,MATCH(B337,'Locations'!$A$6:$A$455,0))</f>
        <v>42.731050009323</v>
      </c>
      <c r="T337" s="54">
        <f>INDEX('Locations'!$E$6:$E$455,MATCH(B337,'Locations'!$A$6:$A$455,0))</f>
        <v>-73.6833468604146</v>
      </c>
      <c r="U337" s="54">
        <f>INDEX('Locations'!$D$6:$D$455,MATCH(C337,'Locations'!$A$6:$A$455,0))</f>
        <v>42.7309616497053</v>
      </c>
      <c r="V337" s="75">
        <f>INDEX('Locations'!$E$6:$E$455,MATCH(C337,'Locations'!$A$6:$A$455,0))</f>
        <v>-73.68335835353071</v>
      </c>
      <c r="W337" s="44"/>
    </row>
    <row r="338" ht="23.1" customHeight="1">
      <c r="A338" t="s" s="21">
        <v>948</v>
      </c>
      <c r="B338" t="s" s="45">
        <v>431</v>
      </c>
      <c r="C338" t="s" s="45">
        <v>432</v>
      </c>
      <c r="D338" t="s" s="45">
        <v>614</v>
      </c>
      <c r="E338" s="71">
        <f>2*6371000*ASIN(SQRT(MIN(1,SIN(RADIANS(U338-S338)/2)^2+COS(RADIANS(S338))*COS(RADIANS(U338))*SIN(RADIANS(V338-T338)/2)^2)))</f>
        <v>21.064086607873</v>
      </c>
      <c r="F338" t="s" s="48">
        <v>70</v>
      </c>
      <c r="G338" t="s" s="48">
        <v>69</v>
      </c>
      <c r="H338" t="s" s="48">
        <v>69</v>
      </c>
      <c r="I338" t="s" s="48">
        <v>69</v>
      </c>
      <c r="J338" t="s" s="48">
        <v>69</v>
      </c>
      <c r="K338" s="72"/>
      <c r="L338" s="72"/>
      <c r="M338" s="50"/>
      <c r="N338" s="49"/>
      <c r="O338" s="50"/>
      <c r="P338" s="50"/>
      <c r="Q338" s="30">
        <v>334</v>
      </c>
      <c r="R338" s="61"/>
      <c r="S338" s="46">
        <f>INDEX('Locations'!$D$6:$D$455,MATCH(B338,'Locations'!$A$6:$A$455,0))</f>
        <v>42.7309915370466</v>
      </c>
      <c r="T338" s="46">
        <f>INDEX('Locations'!$E$6:$E$455,MATCH(B338,'Locations'!$A$6:$A$455,0))</f>
        <v>-73.6831036916531</v>
      </c>
      <c r="U338" s="46">
        <f>INDEX('Locations'!$D$6:$D$455,MATCH(C338,'Locations'!$A$6:$A$455,0))</f>
        <v>42.7309616497053</v>
      </c>
      <c r="V338" s="73">
        <f>INDEX('Locations'!$E$6:$E$455,MATCH(C338,'Locations'!$A$6:$A$455,0))</f>
        <v>-73.68335835353071</v>
      </c>
      <c r="W338" s="44"/>
    </row>
    <row r="339" ht="23.1" customHeight="1">
      <c r="A339" t="s" s="24">
        <v>949</v>
      </c>
      <c r="B339" t="s" s="53">
        <v>430</v>
      </c>
      <c r="C339" t="s" s="53">
        <v>431</v>
      </c>
      <c r="D339" t="s" s="53">
        <v>614</v>
      </c>
      <c r="E339" s="74">
        <f>2*6371000*ASIN(SQRT(MIN(1,SIN(RADIANS(U339-S339)/2)^2+COS(RADIANS(S339))*COS(RADIANS(U339))*SIN(RADIANS(V339-T339)/2)^2)))</f>
        <v>24.8541144195084</v>
      </c>
      <c r="F339" t="s" s="48">
        <v>70</v>
      </c>
      <c r="G339" t="s" s="48">
        <v>69</v>
      </c>
      <c r="H339" t="s" s="48">
        <v>69</v>
      </c>
      <c r="I339" t="s" s="48">
        <v>69</v>
      </c>
      <c r="J339" t="s" s="48">
        <v>69</v>
      </c>
      <c r="K339" s="72"/>
      <c r="L339" s="72"/>
      <c r="M339" s="50"/>
      <c r="N339" s="49"/>
      <c r="O339" s="50"/>
      <c r="P339" s="50"/>
      <c r="Q339" s="32">
        <v>335</v>
      </c>
      <c r="R339" s="64"/>
      <c r="S339" s="54">
        <f>INDEX('Locations'!$D$6:$D$455,MATCH(B339,'Locations'!$A$6:$A$455,0))</f>
        <v>42.7311616649891</v>
      </c>
      <c r="T339" s="54">
        <f>INDEX('Locations'!$E$6:$E$455,MATCH(B339,'Locations'!$A$6:$A$455,0))</f>
        <v>-73.6829063286979</v>
      </c>
      <c r="U339" s="54">
        <f>INDEX('Locations'!$D$6:$D$455,MATCH(C339,'Locations'!$A$6:$A$455,0))</f>
        <v>42.7309915370466</v>
      </c>
      <c r="V339" s="75">
        <f>INDEX('Locations'!$E$6:$E$455,MATCH(C339,'Locations'!$A$6:$A$455,0))</f>
        <v>-73.6831036916531</v>
      </c>
      <c r="W339" s="44"/>
    </row>
    <row r="340" ht="23.1" customHeight="1">
      <c r="A340" t="s" s="21">
        <v>950</v>
      </c>
      <c r="B340" t="s" s="45">
        <v>428</v>
      </c>
      <c r="C340" t="s" s="45">
        <v>430</v>
      </c>
      <c r="D340" t="s" s="45">
        <v>614</v>
      </c>
      <c r="E340" s="71">
        <f>2*6371000*ASIN(SQRT(MIN(1,SIN(RADIANS(U340-S340)/2)^2+COS(RADIANS(S340))*COS(RADIANS(U340))*SIN(RADIANS(V340-T340)/2)^2)))</f>
        <v>35.801315623046</v>
      </c>
      <c r="F340" t="s" s="48">
        <v>70</v>
      </c>
      <c r="G340" t="s" s="48">
        <v>69</v>
      </c>
      <c r="H340" t="s" s="48">
        <v>69</v>
      </c>
      <c r="I340" t="s" s="48">
        <v>69</v>
      </c>
      <c r="J340" t="s" s="48">
        <v>69</v>
      </c>
      <c r="K340" s="72"/>
      <c r="L340" s="72"/>
      <c r="M340" s="50"/>
      <c r="N340" s="49"/>
      <c r="O340" s="50"/>
      <c r="P340" s="50"/>
      <c r="Q340" s="30">
        <v>336</v>
      </c>
      <c r="R340" s="61"/>
      <c r="S340" s="46">
        <f>INDEX('Locations'!$D$6:$D$455,MATCH(B340,'Locations'!$A$6:$A$455,0))</f>
        <v>42.7314651364542</v>
      </c>
      <c r="T340" s="46">
        <f>INDEX('Locations'!$E$6:$E$455,MATCH(B340,'Locations'!$A$6:$A$455,0))</f>
        <v>-73.68275989811831</v>
      </c>
      <c r="U340" s="46">
        <f>INDEX('Locations'!$D$6:$D$455,MATCH(C340,'Locations'!$A$6:$A$455,0))</f>
        <v>42.7311616649891</v>
      </c>
      <c r="V340" s="73">
        <f>INDEX('Locations'!$E$6:$E$455,MATCH(C340,'Locations'!$A$6:$A$455,0))</f>
        <v>-73.6829063286979</v>
      </c>
      <c r="W340" s="44"/>
    </row>
    <row r="341" ht="23.1" customHeight="1">
      <c r="A341" t="s" s="24">
        <v>951</v>
      </c>
      <c r="B341" t="s" s="53">
        <v>429</v>
      </c>
      <c r="C341" t="s" s="53">
        <v>428</v>
      </c>
      <c r="D341" t="s" s="53">
        <v>614</v>
      </c>
      <c r="E341" s="74">
        <f>2*6371000*ASIN(SQRT(MIN(1,SIN(RADIANS(U341-S341)/2)^2+COS(RADIANS(S341))*COS(RADIANS(U341))*SIN(RADIANS(V341-T341)/2)^2)))</f>
        <v>56.8880438394752</v>
      </c>
      <c r="F341" t="s" s="48">
        <v>70</v>
      </c>
      <c r="G341" t="s" s="48">
        <v>69</v>
      </c>
      <c r="H341" t="s" s="48">
        <v>69</v>
      </c>
      <c r="I341" t="s" s="48">
        <v>69</v>
      </c>
      <c r="J341" t="s" s="48">
        <v>69</v>
      </c>
      <c r="K341" s="72"/>
      <c r="L341" s="72"/>
      <c r="M341" s="50"/>
      <c r="N341" s="49"/>
      <c r="O341" s="50"/>
      <c r="P341" s="50"/>
      <c r="Q341" s="32">
        <v>337</v>
      </c>
      <c r="R341" s="64"/>
      <c r="S341" s="54">
        <f>INDEX('Locations'!$D$6:$D$455,MATCH(B341,'Locations'!$A$6:$A$455,0))</f>
        <v>42.7310306204929</v>
      </c>
      <c r="T341" s="54">
        <f>INDEX('Locations'!$E$6:$E$455,MATCH(B341,'Locations'!$A$6:$A$455,0))</f>
        <v>-73.68239223003241</v>
      </c>
      <c r="U341" s="54">
        <f>INDEX('Locations'!$D$6:$D$455,MATCH(C341,'Locations'!$A$6:$A$455,0))</f>
        <v>42.7314651364542</v>
      </c>
      <c r="V341" s="75">
        <f>INDEX('Locations'!$E$6:$E$455,MATCH(C341,'Locations'!$A$6:$A$455,0))</f>
        <v>-73.68275989811831</v>
      </c>
      <c r="W341" s="44"/>
    </row>
    <row r="342" ht="23.1" customHeight="1">
      <c r="A342" t="s" s="21">
        <v>952</v>
      </c>
      <c r="B342" t="s" s="45">
        <v>429</v>
      </c>
      <c r="C342" t="s" s="45">
        <v>433</v>
      </c>
      <c r="D342" t="s" s="45">
        <v>669</v>
      </c>
      <c r="E342" s="71">
        <f>2*6371000*ASIN(SQRT(MIN(1,SIN(RADIANS(U342-S342)/2)^2+COS(RADIANS(S342))*COS(RADIANS(U342))*SIN(RADIANS(V342-T342)/2)^2)))</f>
        <v>14.4066932426349</v>
      </c>
      <c r="F342" t="s" s="48">
        <v>70</v>
      </c>
      <c r="G342" t="s" s="48">
        <v>69</v>
      </c>
      <c r="H342" t="s" s="48">
        <v>69</v>
      </c>
      <c r="I342" t="s" s="48">
        <v>69</v>
      </c>
      <c r="J342" t="s" s="48">
        <v>69</v>
      </c>
      <c r="K342" s="72"/>
      <c r="L342" s="72"/>
      <c r="M342" s="50"/>
      <c r="N342" s="49"/>
      <c r="O342" s="50"/>
      <c r="P342" s="50"/>
      <c r="Q342" s="30">
        <v>338</v>
      </c>
      <c r="R342" s="61"/>
      <c r="S342" s="46">
        <f>INDEX('Locations'!$D$6:$D$455,MATCH(B342,'Locations'!$A$6:$A$455,0))</f>
        <v>42.7310306204929</v>
      </c>
      <c r="T342" s="46">
        <f>INDEX('Locations'!$E$6:$E$455,MATCH(B342,'Locations'!$A$6:$A$455,0))</f>
        <v>-73.68239223003241</v>
      </c>
      <c r="U342" s="46">
        <f>INDEX('Locations'!$D$6:$D$455,MATCH(C342,'Locations'!$A$6:$A$455,0))</f>
        <v>42.730912220641</v>
      </c>
      <c r="V342" s="73">
        <f>INDEX('Locations'!$E$6:$E$455,MATCH(C342,'Locations'!$A$6:$A$455,0))</f>
        <v>-73.68232060637941</v>
      </c>
      <c r="W342" s="44"/>
    </row>
    <row r="343" ht="23.1" customHeight="1">
      <c r="A343" t="s" s="24">
        <v>953</v>
      </c>
      <c r="B343" t="s" s="53">
        <v>359</v>
      </c>
      <c r="C343" t="s" s="53">
        <v>433</v>
      </c>
      <c r="D343" t="s" s="53">
        <v>614</v>
      </c>
      <c r="E343" s="74">
        <f>2*6371000*ASIN(SQRT(MIN(1,SIN(RADIANS(U343-S343)/2)^2+COS(RADIANS(S343))*COS(RADIANS(U343))*SIN(RADIANS(V343-T343)/2)^2)))</f>
        <v>27.5223237492346</v>
      </c>
      <c r="F343" t="s" s="48">
        <v>70</v>
      </c>
      <c r="G343" t="s" s="48">
        <v>69</v>
      </c>
      <c r="H343" t="s" s="48">
        <v>69</v>
      </c>
      <c r="I343" t="s" s="48">
        <v>69</v>
      </c>
      <c r="J343" t="s" s="48">
        <v>69</v>
      </c>
      <c r="K343" s="72"/>
      <c r="L343" s="72"/>
      <c r="M343" s="50"/>
      <c r="N343" s="49"/>
      <c r="O343" s="50"/>
      <c r="P343" s="50"/>
      <c r="Q343" s="32">
        <v>339</v>
      </c>
      <c r="R343" s="64"/>
      <c r="S343" s="54">
        <f>INDEX('Locations'!$D$6:$D$455,MATCH(B343,'Locations'!$A$6:$A$455,0))</f>
        <v>42.7306673743453</v>
      </c>
      <c r="T343" s="54">
        <f>INDEX('Locations'!$E$6:$E$455,MATCH(B343,'Locations'!$A$6:$A$455,0))</f>
        <v>-73.6823699471182</v>
      </c>
      <c r="U343" s="54">
        <f>INDEX('Locations'!$D$6:$D$455,MATCH(C343,'Locations'!$A$6:$A$455,0))</f>
        <v>42.730912220641</v>
      </c>
      <c r="V343" s="75">
        <f>INDEX('Locations'!$E$6:$E$455,MATCH(C343,'Locations'!$A$6:$A$455,0))</f>
        <v>-73.68232060637941</v>
      </c>
      <c r="W343" s="44"/>
    </row>
    <row r="344" ht="23.1" customHeight="1">
      <c r="A344" t="s" s="21">
        <v>954</v>
      </c>
      <c r="B344" t="s" s="45">
        <v>187</v>
      </c>
      <c r="C344" t="s" s="45">
        <v>435</v>
      </c>
      <c r="D344" t="s" s="45">
        <v>614</v>
      </c>
      <c r="E344" s="71">
        <f>2*6371000*ASIN(SQRT(MIN(1,SIN(RADIANS(U344-S344)/2)^2+COS(RADIANS(S344))*COS(RADIANS(U344))*SIN(RADIANS(V344-T344)/2)^2)))</f>
        <v>46.2871205249031</v>
      </c>
      <c r="F344" t="s" s="48">
        <v>70</v>
      </c>
      <c r="G344" t="s" s="48">
        <v>69</v>
      </c>
      <c r="H344" t="s" s="48">
        <v>69</v>
      </c>
      <c r="I344" t="s" s="48">
        <v>69</v>
      </c>
      <c r="J344" t="s" s="48">
        <v>69</v>
      </c>
      <c r="K344" s="72"/>
      <c r="L344" s="72"/>
      <c r="M344" s="50"/>
      <c r="N344" s="49"/>
      <c r="O344" s="50"/>
      <c r="P344" s="50"/>
      <c r="Q344" s="30">
        <v>340</v>
      </c>
      <c r="R344" s="61"/>
      <c r="S344" s="46">
        <f>INDEX('Locations'!$D$6:$D$455,MATCH(B344,'Locations'!$A$6:$A$455,0))</f>
        <v>42.7307758310396</v>
      </c>
      <c r="T344" s="46">
        <f>INDEX('Locations'!$E$6:$E$455,MATCH(B344,'Locations'!$A$6:$A$455,0))</f>
        <v>-73.6816894720222</v>
      </c>
      <c r="U344" s="46">
        <f>INDEX('Locations'!$D$6:$D$455,MATCH(C344,'Locations'!$A$6:$A$455,0))</f>
        <v>42.7311214320298</v>
      </c>
      <c r="V344" s="73">
        <f>INDEX('Locations'!$E$6:$E$455,MATCH(C344,'Locations'!$A$6:$A$455,0))</f>
        <v>-73.6813735825219</v>
      </c>
      <c r="W344" s="44"/>
    </row>
    <row r="345" ht="23.1" customHeight="1">
      <c r="A345" t="s" s="24">
        <v>955</v>
      </c>
      <c r="B345" t="s" s="53">
        <v>434</v>
      </c>
      <c r="C345" t="s" s="53">
        <v>435</v>
      </c>
      <c r="D345" t="s" s="53">
        <v>614</v>
      </c>
      <c r="E345" s="74">
        <f>2*6371000*ASIN(SQRT(MIN(1,SIN(RADIANS(U345-S345)/2)^2+COS(RADIANS(S345))*COS(RADIANS(U345))*SIN(RADIANS(V345-T345)/2)^2)))</f>
        <v>30.8699324583539</v>
      </c>
      <c r="F345" t="s" s="48">
        <v>70</v>
      </c>
      <c r="G345" t="s" s="48">
        <v>69</v>
      </c>
      <c r="H345" t="s" s="48">
        <v>69</v>
      </c>
      <c r="I345" t="s" s="48">
        <v>69</v>
      </c>
      <c r="J345" t="s" s="48">
        <v>69</v>
      </c>
      <c r="K345" s="72"/>
      <c r="L345" s="72"/>
      <c r="M345" s="50"/>
      <c r="N345" s="49"/>
      <c r="O345" s="50"/>
      <c r="P345" s="50"/>
      <c r="Q345" s="32">
        <v>341</v>
      </c>
      <c r="R345" s="64"/>
      <c r="S345" s="54">
        <f>INDEX('Locations'!$D$6:$D$455,MATCH(B345,'Locations'!$A$6:$A$455,0))</f>
        <v>42.7311041893329</v>
      </c>
      <c r="T345" s="54">
        <f>INDEX('Locations'!$E$6:$E$455,MATCH(B345,'Locations'!$A$6:$A$455,0))</f>
        <v>-73.68099636461559</v>
      </c>
      <c r="U345" s="54">
        <f>INDEX('Locations'!$D$6:$D$455,MATCH(C345,'Locations'!$A$6:$A$455,0))</f>
        <v>42.7311214320298</v>
      </c>
      <c r="V345" s="75">
        <f>INDEX('Locations'!$E$6:$E$455,MATCH(C345,'Locations'!$A$6:$A$455,0))</f>
        <v>-73.6813735825219</v>
      </c>
      <c r="W345" s="44"/>
    </row>
    <row r="346" ht="23.1" customHeight="1">
      <c r="A346" t="s" s="21">
        <v>956</v>
      </c>
      <c r="B346" t="s" s="45">
        <v>288</v>
      </c>
      <c r="C346" t="s" s="45">
        <v>434</v>
      </c>
      <c r="D346" t="s" s="45">
        <v>614</v>
      </c>
      <c r="E346" s="71">
        <f>2*6371000*ASIN(SQRT(MIN(1,SIN(RADIANS(U346-S346)/2)^2+COS(RADIANS(S346))*COS(RADIANS(U346))*SIN(RADIANS(V346-T346)/2)^2)))</f>
        <v>32.6094095368225</v>
      </c>
      <c r="F346" t="s" s="48">
        <v>70</v>
      </c>
      <c r="G346" t="s" s="48">
        <v>69</v>
      </c>
      <c r="H346" t="s" s="48">
        <v>69</v>
      </c>
      <c r="I346" t="s" s="48">
        <v>69</v>
      </c>
      <c r="J346" t="s" s="48">
        <v>69</v>
      </c>
      <c r="K346" s="72"/>
      <c r="L346" s="72"/>
      <c r="M346" s="50"/>
      <c r="N346" s="49"/>
      <c r="O346" s="50"/>
      <c r="P346" s="50"/>
      <c r="Q346" s="30">
        <v>342</v>
      </c>
      <c r="R346" s="61"/>
      <c r="S346" s="46">
        <f>INDEX('Locations'!$D$6:$D$455,MATCH(B346,'Locations'!$A$6:$A$455,0))</f>
        <v>42.7308168110516</v>
      </c>
      <c r="T346" s="46">
        <f>INDEX('Locations'!$E$6:$E$455,MATCH(B346,'Locations'!$A$6:$A$455,0))</f>
        <v>-73.68091678277889</v>
      </c>
      <c r="U346" s="46">
        <f>INDEX('Locations'!$D$6:$D$455,MATCH(C346,'Locations'!$A$6:$A$455,0))</f>
        <v>42.7311041893329</v>
      </c>
      <c r="V346" s="73">
        <f>INDEX('Locations'!$E$6:$E$455,MATCH(C346,'Locations'!$A$6:$A$455,0))</f>
        <v>-73.68099636461559</v>
      </c>
      <c r="W346" s="44"/>
    </row>
    <row r="347" ht="23.1" customHeight="1">
      <c r="A347" t="s" s="24">
        <v>957</v>
      </c>
      <c r="B347" t="s" s="53">
        <v>200</v>
      </c>
      <c r="C347" t="s" s="53">
        <v>436</v>
      </c>
      <c r="D347" t="s" s="53">
        <v>614</v>
      </c>
      <c r="E347" s="74">
        <f>2*6371000*ASIN(SQRT(MIN(1,SIN(RADIANS(U347-S347)/2)^2+COS(RADIANS(S347))*COS(RADIANS(U347))*SIN(RADIANS(V347-T347)/2)^2)))</f>
        <v>32.8694113669369</v>
      </c>
      <c r="F347" t="s" s="48">
        <v>70</v>
      </c>
      <c r="G347" t="s" s="48">
        <v>69</v>
      </c>
      <c r="H347" t="s" s="48">
        <v>69</v>
      </c>
      <c r="I347" t="s" s="48">
        <v>69</v>
      </c>
      <c r="J347" t="s" s="48">
        <v>69</v>
      </c>
      <c r="K347" s="72"/>
      <c r="L347" s="72"/>
      <c r="M347" s="50"/>
      <c r="N347" s="49"/>
      <c r="O347" s="50"/>
      <c r="P347" s="50"/>
      <c r="Q347" s="32">
        <v>343</v>
      </c>
      <c r="R347" s="64"/>
      <c r="S347" s="54">
        <f>INDEX('Locations'!$D$6:$D$455,MATCH(B347,'Locations'!$A$6:$A$455,0))</f>
        <v>42.7310834884144</v>
      </c>
      <c r="T347" s="54">
        <f>INDEX('Locations'!$E$6:$E$455,MATCH(B347,'Locations'!$A$6:$A$455,0))</f>
        <v>-73.6805230007287</v>
      </c>
      <c r="U347" s="54">
        <f>INDEX('Locations'!$D$6:$D$455,MATCH(C347,'Locations'!$A$6:$A$455,0))</f>
        <v>42.730793820789</v>
      </c>
      <c r="V347" s="75">
        <f>INDEX('Locations'!$E$6:$E$455,MATCH(C347,'Locations'!$A$6:$A$455,0))</f>
        <v>-73.680603230342</v>
      </c>
      <c r="W347" s="44"/>
    </row>
    <row r="348" ht="23.1" customHeight="1">
      <c r="A348" t="s" s="21">
        <v>958</v>
      </c>
      <c r="B348" t="s" s="45">
        <v>288</v>
      </c>
      <c r="C348" t="s" s="45">
        <v>436</v>
      </c>
      <c r="D348" t="s" s="45">
        <v>614</v>
      </c>
      <c r="E348" s="71">
        <f>2*6371000*ASIN(SQRT(MIN(1,SIN(RADIANS(U348-S348)/2)^2+COS(RADIANS(S348))*COS(RADIANS(U348))*SIN(RADIANS(V348-T348)/2)^2)))</f>
        <v>25.7376769156173</v>
      </c>
      <c r="F348" t="s" s="48">
        <v>70</v>
      </c>
      <c r="G348" t="s" s="48">
        <v>69</v>
      </c>
      <c r="H348" t="s" s="48">
        <v>69</v>
      </c>
      <c r="I348" t="s" s="48">
        <v>69</v>
      </c>
      <c r="J348" t="s" s="48">
        <v>69</v>
      </c>
      <c r="K348" s="72"/>
      <c r="L348" s="72"/>
      <c r="M348" s="50"/>
      <c r="N348" s="49"/>
      <c r="O348" s="50"/>
      <c r="P348" s="50"/>
      <c r="Q348" s="30">
        <v>344</v>
      </c>
      <c r="R348" s="61"/>
      <c r="S348" s="46">
        <f>INDEX('Locations'!$D$6:$D$455,MATCH(B348,'Locations'!$A$6:$A$455,0))</f>
        <v>42.7308168110516</v>
      </c>
      <c r="T348" s="46">
        <f>INDEX('Locations'!$E$6:$E$455,MATCH(B348,'Locations'!$A$6:$A$455,0))</f>
        <v>-73.68091678277889</v>
      </c>
      <c r="U348" s="46">
        <f>INDEX('Locations'!$D$6:$D$455,MATCH(C348,'Locations'!$A$6:$A$455,0))</f>
        <v>42.730793820789</v>
      </c>
      <c r="V348" s="73">
        <f>INDEX('Locations'!$E$6:$E$455,MATCH(C348,'Locations'!$A$6:$A$455,0))</f>
        <v>-73.680603230342</v>
      </c>
      <c r="W348" s="44"/>
    </row>
    <row r="349" ht="23.1" customHeight="1">
      <c r="A349" t="s" s="24">
        <v>959</v>
      </c>
      <c r="B349" t="s" s="53">
        <v>287</v>
      </c>
      <c r="C349" t="s" s="53">
        <v>436</v>
      </c>
      <c r="D349" t="s" s="53">
        <v>614</v>
      </c>
      <c r="E349" s="74">
        <f>2*6371000*ASIN(SQRT(MIN(1,SIN(RADIANS(U349-S349)/2)^2+COS(RADIANS(S349))*COS(RADIANS(U349))*SIN(RADIANS(V349-T349)/2)^2)))</f>
        <v>22.9562759681632</v>
      </c>
      <c r="F349" t="s" s="48">
        <v>70</v>
      </c>
      <c r="G349" t="s" s="48">
        <v>69</v>
      </c>
      <c r="H349" t="s" s="48">
        <v>69</v>
      </c>
      <c r="I349" t="s" s="48">
        <v>69</v>
      </c>
      <c r="J349" t="s" s="48">
        <v>69</v>
      </c>
      <c r="K349" s="72"/>
      <c r="L349" s="72"/>
      <c r="M349" s="50"/>
      <c r="N349" s="49"/>
      <c r="O349" s="50"/>
      <c r="P349" s="50"/>
      <c r="Q349" s="32">
        <v>345</v>
      </c>
      <c r="R349" s="64"/>
      <c r="S349" s="54">
        <f>INDEX('Locations'!$D$6:$D$455,MATCH(B349,'Locations'!$A$6:$A$455,0))</f>
        <v>42.7307524383165</v>
      </c>
      <c r="T349" s="54">
        <f>INDEX('Locations'!$E$6:$E$455,MATCH(B349,'Locations'!$A$6:$A$455,0))</f>
        <v>-73.6803278771868</v>
      </c>
      <c r="U349" s="54">
        <f>INDEX('Locations'!$D$6:$D$455,MATCH(C349,'Locations'!$A$6:$A$455,0))</f>
        <v>42.730793820789</v>
      </c>
      <c r="V349" s="75">
        <f>INDEX('Locations'!$E$6:$E$455,MATCH(C349,'Locations'!$A$6:$A$455,0))</f>
        <v>-73.680603230342</v>
      </c>
      <c r="W349" s="44"/>
    </row>
    <row r="350" ht="23.1" customHeight="1">
      <c r="A350" t="s" s="21">
        <v>960</v>
      </c>
      <c r="B350" t="s" s="45">
        <v>419</v>
      </c>
      <c r="C350" t="s" s="45">
        <v>437</v>
      </c>
      <c r="D350" t="s" s="45">
        <v>614</v>
      </c>
      <c r="E350" s="71">
        <f>2*6371000*ASIN(SQRT(MIN(1,SIN(RADIANS(U350-S350)/2)^2+COS(RADIANS(S350))*COS(RADIANS(U350))*SIN(RADIANS(V350-T350)/2)^2)))</f>
        <v>76.3266764778859</v>
      </c>
      <c r="F350" t="s" s="48">
        <v>70</v>
      </c>
      <c r="G350" t="s" s="48">
        <v>69</v>
      </c>
      <c r="H350" t="s" s="48">
        <v>69</v>
      </c>
      <c r="I350" t="s" s="48">
        <v>69</v>
      </c>
      <c r="J350" t="s" s="48">
        <v>69</v>
      </c>
      <c r="K350" s="72"/>
      <c r="L350" s="72"/>
      <c r="M350" s="50"/>
      <c r="N350" s="49"/>
      <c r="O350" s="50"/>
      <c r="P350" s="50"/>
      <c r="Q350" s="30">
        <v>346</v>
      </c>
      <c r="R350" s="61"/>
      <c r="S350" s="46">
        <f>INDEX('Locations'!$D$6:$D$455,MATCH(B350,'Locations'!$A$6:$A$455,0))</f>
        <v>42.7314295015473</v>
      </c>
      <c r="T350" s="46">
        <f>INDEX('Locations'!$E$6:$E$455,MATCH(B350,'Locations'!$A$6:$A$455,0))</f>
        <v>-73.6812669428606</v>
      </c>
      <c r="U350" s="46">
        <f>INDEX('Locations'!$D$6:$D$455,MATCH(C350,'Locations'!$A$6:$A$455,0))</f>
        <v>42.7312513270129</v>
      </c>
      <c r="V350" s="73">
        <f>INDEX('Locations'!$E$6:$E$455,MATCH(C350,'Locations'!$A$6:$A$455,0))</f>
        <v>-73.6803644848317</v>
      </c>
      <c r="W350" s="44"/>
    </row>
    <row r="351" ht="23.1" customHeight="1">
      <c r="A351" t="s" s="24">
        <v>961</v>
      </c>
      <c r="B351" t="s" s="53">
        <v>341</v>
      </c>
      <c r="C351" t="s" s="53">
        <v>437</v>
      </c>
      <c r="D351" t="s" s="53">
        <v>614</v>
      </c>
      <c r="E351" s="74">
        <f>2*6371000*ASIN(SQRT(MIN(1,SIN(RADIANS(U351-S351)/2)^2+COS(RADIANS(S351))*COS(RADIANS(U351))*SIN(RADIANS(V351-T351)/2)^2)))</f>
        <v>42.574844511240</v>
      </c>
      <c r="F351" t="s" s="48">
        <v>70</v>
      </c>
      <c r="G351" t="s" s="48">
        <v>69</v>
      </c>
      <c r="H351" t="s" s="48">
        <v>69</v>
      </c>
      <c r="I351" t="s" s="48">
        <v>69</v>
      </c>
      <c r="J351" t="s" s="48">
        <v>69</v>
      </c>
      <c r="K351" s="72"/>
      <c r="L351" s="72"/>
      <c r="M351" s="50"/>
      <c r="N351" s="49"/>
      <c r="O351" s="50"/>
      <c r="P351" s="50"/>
      <c r="Q351" s="32">
        <v>347</v>
      </c>
      <c r="R351" s="64"/>
      <c r="S351" s="54">
        <f>INDEX('Locations'!$D$6:$D$455,MATCH(B351,'Locations'!$A$6:$A$455,0))</f>
        <v>42.7311386747266</v>
      </c>
      <c r="T351" s="54">
        <f>INDEX('Locations'!$E$6:$E$455,MATCH(B351,'Locations'!$A$6:$A$455,0))</f>
        <v>-73.6798663025336</v>
      </c>
      <c r="U351" s="54">
        <f>INDEX('Locations'!$D$6:$D$455,MATCH(C351,'Locations'!$A$6:$A$455,0))</f>
        <v>42.7312513270129</v>
      </c>
      <c r="V351" s="75">
        <f>INDEX('Locations'!$E$6:$E$455,MATCH(C351,'Locations'!$A$6:$A$455,0))</f>
        <v>-73.6803644848317</v>
      </c>
      <c r="W351" s="44"/>
    </row>
    <row r="352" ht="23.1" customHeight="1">
      <c r="A352" t="s" s="21">
        <v>962</v>
      </c>
      <c r="B352" t="s" s="45">
        <v>439</v>
      </c>
      <c r="C352" t="s" s="45">
        <v>438</v>
      </c>
      <c r="D352" t="s" s="45">
        <v>614</v>
      </c>
      <c r="E352" s="71">
        <f>2*6371000*ASIN(SQRT(MIN(1,SIN(RADIANS(U352-S352)/2)^2+COS(RADIANS(S352))*COS(RADIANS(U352))*SIN(RADIANS(V352-T352)/2)^2)))</f>
        <v>41.833315748446</v>
      </c>
      <c r="F352" t="s" s="48">
        <v>70</v>
      </c>
      <c r="G352" t="s" s="48">
        <v>69</v>
      </c>
      <c r="H352" t="s" s="48">
        <v>69</v>
      </c>
      <c r="I352" t="s" s="48">
        <v>69</v>
      </c>
      <c r="J352" t="s" s="48">
        <v>69</v>
      </c>
      <c r="K352" s="72"/>
      <c r="L352" s="72"/>
      <c r="M352" s="50"/>
      <c r="N352" s="49"/>
      <c r="O352" s="50"/>
      <c r="P352" s="50"/>
      <c r="Q352" s="30">
        <v>348</v>
      </c>
      <c r="R352" s="61"/>
      <c r="S352" s="46">
        <f>INDEX('Locations'!$D$6:$D$455,MATCH(B352,'Locations'!$A$6:$A$455,0))</f>
        <v>42.7315869848455</v>
      </c>
      <c r="T352" s="46">
        <f>INDEX('Locations'!$E$6:$E$455,MATCH(B352,'Locations'!$A$6:$A$455,0))</f>
        <v>-73.6808340176686</v>
      </c>
      <c r="U352" s="46">
        <f>INDEX('Locations'!$D$6:$D$455,MATCH(C352,'Locations'!$A$6:$A$455,0))</f>
        <v>42.7314191559292</v>
      </c>
      <c r="V352" s="73">
        <f>INDEX('Locations'!$E$6:$E$455,MATCH(C352,'Locations'!$A$6:$A$455,0))</f>
        <v>-73.68037562628891</v>
      </c>
      <c r="W352" s="44"/>
    </row>
    <row r="353" ht="23.1" customHeight="1">
      <c r="A353" t="s" s="24">
        <v>963</v>
      </c>
      <c r="B353" t="s" s="53">
        <v>437</v>
      </c>
      <c r="C353" t="s" s="53">
        <v>438</v>
      </c>
      <c r="D353" t="s" s="53">
        <v>614</v>
      </c>
      <c r="E353" s="74">
        <f>2*6371000*ASIN(SQRT(MIN(1,SIN(RADIANS(U353-S353)/2)^2+COS(RADIANS(S353))*COS(RADIANS(U353))*SIN(RADIANS(V353-T353)/2)^2)))</f>
        <v>18.6838983099219</v>
      </c>
      <c r="F353" t="s" s="48">
        <v>70</v>
      </c>
      <c r="G353" t="s" s="48">
        <v>69</v>
      </c>
      <c r="H353" t="s" s="48">
        <v>69</v>
      </c>
      <c r="I353" t="s" s="48">
        <v>69</v>
      </c>
      <c r="J353" t="s" s="48">
        <v>69</v>
      </c>
      <c r="K353" s="72"/>
      <c r="L353" s="72"/>
      <c r="M353" s="50"/>
      <c r="N353" s="49"/>
      <c r="O353" s="50"/>
      <c r="P353" s="50"/>
      <c r="Q353" s="32">
        <v>349</v>
      </c>
      <c r="R353" s="64"/>
      <c r="S353" s="54">
        <f>INDEX('Locations'!$D$6:$D$455,MATCH(B353,'Locations'!$A$6:$A$455,0))</f>
        <v>42.7312513270129</v>
      </c>
      <c r="T353" s="54">
        <f>INDEX('Locations'!$E$6:$E$455,MATCH(B353,'Locations'!$A$6:$A$455,0))</f>
        <v>-73.6803644848317</v>
      </c>
      <c r="U353" s="54">
        <f>INDEX('Locations'!$D$6:$D$455,MATCH(C353,'Locations'!$A$6:$A$455,0))</f>
        <v>42.7314191559292</v>
      </c>
      <c r="V353" s="75">
        <f>INDEX('Locations'!$E$6:$E$455,MATCH(C353,'Locations'!$A$6:$A$455,0))</f>
        <v>-73.68037562628891</v>
      </c>
      <c r="W353" s="44"/>
    </row>
    <row r="354" ht="23.1" customHeight="1">
      <c r="A354" t="s" s="21">
        <v>964</v>
      </c>
      <c r="B354" t="s" s="45">
        <v>439</v>
      </c>
      <c r="C354" t="s" s="45">
        <v>440</v>
      </c>
      <c r="D354" t="s" s="45">
        <v>614</v>
      </c>
      <c r="E354" s="71">
        <f>2*6371000*ASIN(SQRT(MIN(1,SIN(RADIANS(U354-S354)/2)^2+COS(RADIANS(S354))*COS(RADIANS(U354))*SIN(RADIANS(V354-T354)/2)^2)))</f>
        <v>49.3281143915077</v>
      </c>
      <c r="F354" t="s" s="48">
        <v>70</v>
      </c>
      <c r="G354" t="s" s="48">
        <v>69</v>
      </c>
      <c r="H354" t="s" s="48">
        <v>69</v>
      </c>
      <c r="I354" t="s" s="48">
        <v>69</v>
      </c>
      <c r="J354" t="s" s="48">
        <v>69</v>
      </c>
      <c r="K354" s="72"/>
      <c r="L354" s="72"/>
      <c r="M354" s="50"/>
      <c r="N354" s="49"/>
      <c r="O354" s="50"/>
      <c r="P354" s="50"/>
      <c r="Q354" s="30">
        <v>350</v>
      </c>
      <c r="R354" s="61"/>
      <c r="S354" s="46">
        <f>INDEX('Locations'!$D$6:$D$455,MATCH(B354,'Locations'!$A$6:$A$455,0))</f>
        <v>42.7315869848455</v>
      </c>
      <c r="T354" s="46">
        <f>INDEX('Locations'!$E$6:$E$455,MATCH(B354,'Locations'!$A$6:$A$455,0))</f>
        <v>-73.6808340176686</v>
      </c>
      <c r="U354" s="46">
        <f>INDEX('Locations'!$D$6:$D$455,MATCH(C354,'Locations'!$A$6:$A$455,0))</f>
        <v>42.7319433339144</v>
      </c>
      <c r="V354" s="73">
        <f>INDEX('Locations'!$E$6:$E$455,MATCH(C354,'Locations'!$A$6:$A$455,0))</f>
        <v>-73.6811937275708</v>
      </c>
      <c r="W354" s="44"/>
    </row>
    <row r="355" ht="23.1" customHeight="1">
      <c r="A355" t="s" s="24">
        <v>965</v>
      </c>
      <c r="B355" t="s" s="53">
        <v>85</v>
      </c>
      <c r="C355" t="s" s="53">
        <v>441</v>
      </c>
      <c r="D355" t="s" s="53">
        <v>614</v>
      </c>
      <c r="E355" s="74">
        <f>2*6371000*ASIN(SQRT(MIN(1,SIN(RADIANS(U355-S355)/2)^2+COS(RADIANS(S355))*COS(RADIANS(U355))*SIN(RADIANS(V355-T355)/2)^2)))</f>
        <v>23.1884852732485</v>
      </c>
      <c r="F355" t="s" s="48">
        <v>70</v>
      </c>
      <c r="G355" t="s" s="48">
        <v>69</v>
      </c>
      <c r="H355" t="s" s="48">
        <v>69</v>
      </c>
      <c r="I355" t="s" s="48">
        <v>69</v>
      </c>
      <c r="J355" t="s" s="48">
        <v>69</v>
      </c>
      <c r="K355" s="72"/>
      <c r="L355" s="72"/>
      <c r="M355" s="50"/>
      <c r="N355" s="49"/>
      <c r="O355" s="50"/>
      <c r="P355" s="50"/>
      <c r="Q355" s="32">
        <v>351</v>
      </c>
      <c r="R355" s="64"/>
      <c r="S355" s="54">
        <f>INDEX('Locations'!$D$6:$D$455,MATCH(B355,'Locations'!$A$6:$A$455,0))</f>
        <v>42.7321517031695</v>
      </c>
      <c r="T355" s="54">
        <f>INDEX('Locations'!$E$6:$E$455,MATCH(B355,'Locations'!$A$6:$A$455,0))</f>
        <v>-73.6808557374853</v>
      </c>
      <c r="U355" s="54">
        <f>INDEX('Locations'!$D$6:$D$455,MATCH(C355,'Locations'!$A$6:$A$455,0))</f>
        <v>42.7321548443294</v>
      </c>
      <c r="V355" s="75">
        <f>INDEX('Locations'!$E$6:$E$455,MATCH(C355,'Locations'!$A$6:$A$455,0))</f>
        <v>-73.68113961192179</v>
      </c>
      <c r="W355" s="44"/>
    </row>
    <row r="356" ht="23.1" customHeight="1">
      <c r="A356" t="s" s="21">
        <v>966</v>
      </c>
      <c r="B356" t="s" s="45">
        <v>440</v>
      </c>
      <c r="C356" t="s" s="45">
        <v>441</v>
      </c>
      <c r="D356" t="s" s="45">
        <v>614</v>
      </c>
      <c r="E356" s="71">
        <f>2*6371000*ASIN(SQRT(MIN(1,SIN(RADIANS(U356-S356)/2)^2+COS(RADIANS(S356))*COS(RADIANS(U356))*SIN(RADIANS(V356-T356)/2)^2)))</f>
        <v>23.9306119713442</v>
      </c>
      <c r="F356" t="s" s="48">
        <v>70</v>
      </c>
      <c r="G356" t="s" s="48">
        <v>69</v>
      </c>
      <c r="H356" t="s" s="48">
        <v>69</v>
      </c>
      <c r="I356" t="s" s="48">
        <v>69</v>
      </c>
      <c r="J356" t="s" s="48">
        <v>69</v>
      </c>
      <c r="K356" s="72"/>
      <c r="L356" s="72"/>
      <c r="M356" s="50"/>
      <c r="N356" s="49"/>
      <c r="O356" s="50"/>
      <c r="P356" s="50"/>
      <c r="Q356" s="30">
        <v>352</v>
      </c>
      <c r="R356" s="61"/>
      <c r="S356" s="46">
        <f>INDEX('Locations'!$D$6:$D$455,MATCH(B356,'Locations'!$A$6:$A$455,0))</f>
        <v>42.7319433339144</v>
      </c>
      <c r="T356" s="46">
        <f>INDEX('Locations'!$E$6:$E$455,MATCH(B356,'Locations'!$A$6:$A$455,0))</f>
        <v>-73.6811937275708</v>
      </c>
      <c r="U356" s="46">
        <f>INDEX('Locations'!$D$6:$D$455,MATCH(C356,'Locations'!$A$6:$A$455,0))</f>
        <v>42.7321548443294</v>
      </c>
      <c r="V356" s="73">
        <f>INDEX('Locations'!$E$6:$E$455,MATCH(C356,'Locations'!$A$6:$A$455,0))</f>
        <v>-73.68113961192179</v>
      </c>
      <c r="W356" s="44"/>
    </row>
    <row r="357" ht="23.1" customHeight="1">
      <c r="A357" t="s" s="24">
        <v>967</v>
      </c>
      <c r="B357" t="s" s="53">
        <v>442</v>
      </c>
      <c r="C357" t="s" s="53">
        <v>440</v>
      </c>
      <c r="D357" t="s" s="53">
        <v>614</v>
      </c>
      <c r="E357" s="74">
        <f>2*6371000*ASIN(SQRT(MIN(1,SIN(RADIANS(U357-S357)/2)^2+COS(RADIANS(S357))*COS(RADIANS(U357))*SIN(RADIANS(V357-T357)/2)^2)))</f>
        <v>44.7592080906681</v>
      </c>
      <c r="F357" t="s" s="48">
        <v>70</v>
      </c>
      <c r="G357" t="s" s="48">
        <v>69</v>
      </c>
      <c r="H357" t="s" s="48">
        <v>69</v>
      </c>
      <c r="I357" t="s" s="48">
        <v>69</v>
      </c>
      <c r="J357" t="s" s="48">
        <v>69</v>
      </c>
      <c r="K357" s="72"/>
      <c r="L357" s="72"/>
      <c r="M357" s="50"/>
      <c r="N357" s="49"/>
      <c r="O357" s="50"/>
      <c r="P357" s="50"/>
      <c r="Q357" s="32">
        <v>353</v>
      </c>
      <c r="R357" s="64"/>
      <c r="S357" s="54">
        <f>INDEX('Locations'!$D$6:$D$455,MATCH(B357,'Locations'!$A$6:$A$455,0))</f>
        <v>42.7323410654557</v>
      </c>
      <c r="T357" s="54">
        <f>INDEX('Locations'!$E$6:$E$455,MATCH(B357,'Locations'!$A$6:$A$455,0))</f>
        <v>-73.6812780843178</v>
      </c>
      <c r="U357" s="54">
        <f>INDEX('Locations'!$D$6:$D$455,MATCH(C357,'Locations'!$A$6:$A$455,0))</f>
        <v>42.7319433339144</v>
      </c>
      <c r="V357" s="75">
        <f>INDEX('Locations'!$E$6:$E$455,MATCH(C357,'Locations'!$A$6:$A$455,0))</f>
        <v>-73.6811937275708</v>
      </c>
      <c r="W357" s="44"/>
    </row>
    <row r="358" ht="23.1" customHeight="1">
      <c r="A358" t="s" s="21">
        <v>968</v>
      </c>
      <c r="B358" t="s" s="45">
        <v>443</v>
      </c>
      <c r="C358" t="s" s="45">
        <v>442</v>
      </c>
      <c r="D358" t="s" s="45">
        <v>614</v>
      </c>
      <c r="E358" s="71">
        <f>2*6371000*ASIN(SQRT(MIN(1,SIN(RADIANS(U358-S358)/2)^2+COS(RADIANS(S358))*COS(RADIANS(U358))*SIN(RADIANS(V358-T358)/2)^2)))</f>
        <v>32.933748457804</v>
      </c>
      <c r="F358" t="s" s="48">
        <v>70</v>
      </c>
      <c r="G358" t="s" s="48">
        <v>69</v>
      </c>
      <c r="H358" t="s" s="48">
        <v>69</v>
      </c>
      <c r="I358" t="s" s="48">
        <v>69</v>
      </c>
      <c r="J358" t="s" s="48">
        <v>69</v>
      </c>
      <c r="K358" s="72"/>
      <c r="L358" s="72"/>
      <c r="M358" s="50"/>
      <c r="N358" s="49"/>
      <c r="O358" s="50"/>
      <c r="P358" s="50"/>
      <c r="Q358" s="30">
        <v>354</v>
      </c>
      <c r="R358" s="61"/>
      <c r="S358" s="46">
        <f>INDEX('Locations'!$D$6:$D$455,MATCH(B358,'Locations'!$A$6:$A$455,0))</f>
        <v>42.732527286582</v>
      </c>
      <c r="T358" s="46">
        <f>INDEX('Locations'!$E$6:$E$455,MATCH(B358,'Locations'!$A$6:$A$455,0))</f>
        <v>-73.6809645318809</v>
      </c>
      <c r="U358" s="46">
        <f>INDEX('Locations'!$D$6:$D$455,MATCH(C358,'Locations'!$A$6:$A$455,0))</f>
        <v>42.7323410654557</v>
      </c>
      <c r="V358" s="73">
        <f>INDEX('Locations'!$E$6:$E$455,MATCH(C358,'Locations'!$A$6:$A$455,0))</f>
        <v>-73.6812780843178</v>
      </c>
      <c r="W358" s="44"/>
    </row>
    <row r="359" ht="23.1" customHeight="1">
      <c r="A359" t="s" s="24">
        <v>969</v>
      </c>
      <c r="B359" t="s" s="53">
        <v>420</v>
      </c>
      <c r="C359" t="s" s="53">
        <v>444</v>
      </c>
      <c r="D359" t="s" s="53">
        <v>614</v>
      </c>
      <c r="E359" s="74">
        <f>2*6371000*ASIN(SQRT(MIN(1,SIN(RADIANS(U359-S359)/2)^2+COS(RADIANS(S359))*COS(RADIANS(U359))*SIN(RADIANS(V359-T359)/2)^2)))</f>
        <v>109.253812139270</v>
      </c>
      <c r="F359" t="s" s="48">
        <v>70</v>
      </c>
      <c r="G359" t="s" s="48">
        <v>69</v>
      </c>
      <c r="H359" t="s" s="48">
        <v>69</v>
      </c>
      <c r="I359" t="s" s="48">
        <v>69</v>
      </c>
      <c r="J359" t="s" s="48">
        <v>69</v>
      </c>
      <c r="K359" s="72"/>
      <c r="L359" s="72"/>
      <c r="M359" s="50"/>
      <c r="N359" s="49"/>
      <c r="O359" s="50"/>
      <c r="P359" s="50"/>
      <c r="Q359" s="32">
        <v>355</v>
      </c>
      <c r="R359" s="64"/>
      <c r="S359" s="54">
        <f>INDEX('Locations'!$D$6:$D$455,MATCH(B359,'Locations'!$A$6:$A$455,0))</f>
        <v>42.7321157608832</v>
      </c>
      <c r="T359" s="54">
        <f>INDEX('Locations'!$E$6:$E$455,MATCH(B359,'Locations'!$A$6:$A$455,0))</f>
        <v>-73.6818335655384</v>
      </c>
      <c r="U359" s="54">
        <f>INDEX('Locations'!$D$6:$D$455,MATCH(C359,'Locations'!$A$6:$A$455,0))</f>
        <v>42.7328801871115</v>
      </c>
      <c r="V359" s="75">
        <f>INDEX('Locations'!$E$6:$E$455,MATCH(C359,'Locations'!$A$6:$A$455,0))</f>
        <v>-73.68267394973461</v>
      </c>
      <c r="W359" s="44"/>
    </row>
    <row r="360" ht="23.1" customHeight="1">
      <c r="A360" t="s" s="21">
        <v>970</v>
      </c>
      <c r="B360" t="s" s="45">
        <v>83</v>
      </c>
      <c r="C360" t="s" s="45">
        <v>444</v>
      </c>
      <c r="D360" t="s" s="45">
        <v>614</v>
      </c>
      <c r="E360" s="71">
        <f>2*6371000*ASIN(SQRT(MIN(1,SIN(RADIANS(U360-S360)/2)^2+COS(RADIANS(S360))*COS(RADIANS(U360))*SIN(RADIANS(V360-T360)/2)^2)))</f>
        <v>47.0256088335275</v>
      </c>
      <c r="F360" t="s" s="48">
        <v>70</v>
      </c>
      <c r="G360" t="s" s="48">
        <v>69</v>
      </c>
      <c r="H360" t="s" s="48">
        <v>69</v>
      </c>
      <c r="I360" t="s" s="48">
        <v>69</v>
      </c>
      <c r="J360" t="s" s="48">
        <v>69</v>
      </c>
      <c r="K360" s="72"/>
      <c r="L360" s="72"/>
      <c r="M360" s="50"/>
      <c r="N360" s="49"/>
      <c r="O360" s="50"/>
      <c r="P360" s="50"/>
      <c r="Q360" s="30">
        <v>356</v>
      </c>
      <c r="R360" s="61"/>
      <c r="S360" s="46">
        <f>INDEX('Locations'!$D$6:$D$455,MATCH(B360,'Locations'!$A$6:$A$455,0))</f>
        <v>42.7324848429346</v>
      </c>
      <c r="T360" s="46">
        <f>INDEX('Locations'!$E$6:$E$455,MATCH(B360,'Locations'!$A$6:$A$455,0))</f>
        <v>-73.68287842150011</v>
      </c>
      <c r="U360" s="46">
        <f>INDEX('Locations'!$D$6:$D$455,MATCH(C360,'Locations'!$A$6:$A$455,0))</f>
        <v>42.7328801871115</v>
      </c>
      <c r="V360" s="73">
        <f>INDEX('Locations'!$E$6:$E$455,MATCH(C360,'Locations'!$A$6:$A$455,0))</f>
        <v>-73.68267394973461</v>
      </c>
      <c r="W360" s="44"/>
    </row>
    <row r="361" ht="23.1" customHeight="1">
      <c r="A361" t="s" s="24">
        <v>971</v>
      </c>
      <c r="B361" t="s" s="53">
        <v>383</v>
      </c>
      <c r="C361" t="s" s="53">
        <v>445</v>
      </c>
      <c r="D361" t="s" s="53">
        <v>614</v>
      </c>
      <c r="E361" s="74">
        <f>2*6371000*ASIN(SQRT(MIN(1,SIN(RADIANS(U361-S361)/2)^2+COS(RADIANS(S361))*COS(RADIANS(U361))*SIN(RADIANS(V361-T361)/2)^2)))</f>
        <v>46.7168904650771</v>
      </c>
      <c r="F361" t="s" s="48">
        <v>70</v>
      </c>
      <c r="G361" t="s" s="48">
        <v>69</v>
      </c>
      <c r="H361" t="s" s="48">
        <v>69</v>
      </c>
      <c r="I361" t="s" s="48">
        <v>69</v>
      </c>
      <c r="J361" t="s" s="48">
        <v>69</v>
      </c>
      <c r="K361" s="72"/>
      <c r="L361" s="72"/>
      <c r="M361" s="50"/>
      <c r="N361" s="49"/>
      <c r="O361" s="50"/>
      <c r="P361" s="50"/>
      <c r="Q361" s="32">
        <v>357</v>
      </c>
      <c r="R361" s="64"/>
      <c r="S361" s="54">
        <f>INDEX('Locations'!$D$6:$D$455,MATCH(B361,'Locations'!$A$6:$A$455,0))</f>
        <v>42.7285373265241</v>
      </c>
      <c r="T361" s="54">
        <f>INDEX('Locations'!$E$6:$E$455,MATCH(B361,'Locations'!$A$6:$A$455,0))</f>
        <v>-73.6848529004252</v>
      </c>
      <c r="U361" s="54">
        <f>INDEX('Locations'!$D$6:$D$455,MATCH(C361,'Locations'!$A$6:$A$455,0))</f>
        <v>42.7281269503383</v>
      </c>
      <c r="V361" s="75">
        <f>INDEX('Locations'!$E$6:$E$455,MATCH(C361,'Locations'!$A$6:$A$455,0))</f>
        <v>-73.6849754564538</v>
      </c>
      <c r="W361" s="44"/>
    </row>
    <row r="362" ht="23.1" customHeight="1">
      <c r="A362" t="s" s="21">
        <v>972</v>
      </c>
      <c r="B362" t="s" s="45">
        <v>396</v>
      </c>
      <c r="C362" t="s" s="45">
        <v>445</v>
      </c>
      <c r="D362" t="s" s="45">
        <v>614</v>
      </c>
      <c r="E362" s="71">
        <f>2*6371000*ASIN(SQRT(MIN(1,SIN(RADIANS(U362-S362)/2)^2+COS(RADIANS(S362))*COS(RADIANS(U362))*SIN(RADIANS(V362-T362)/2)^2)))</f>
        <v>210.931164024587</v>
      </c>
      <c r="F362" t="s" s="48">
        <v>70</v>
      </c>
      <c r="G362" t="s" s="48">
        <v>69</v>
      </c>
      <c r="H362" t="s" s="48">
        <v>69</v>
      </c>
      <c r="I362" t="s" s="48">
        <v>69</v>
      </c>
      <c r="J362" t="s" s="48">
        <v>69</v>
      </c>
      <c r="K362" s="72"/>
      <c r="L362" s="72"/>
      <c r="M362" s="50"/>
      <c r="N362" s="49"/>
      <c r="O362" s="50"/>
      <c r="P362" s="50"/>
      <c r="Q362" s="30">
        <v>358</v>
      </c>
      <c r="R362" s="61"/>
      <c r="S362" s="46">
        <f>INDEX('Locations'!$D$6:$D$455,MATCH(B362,'Locations'!$A$6:$A$455,0))</f>
        <v>42.7276958829164</v>
      </c>
      <c r="T362" s="46">
        <f>INDEX('Locations'!$E$6:$E$455,MATCH(B362,'Locations'!$A$6:$A$455,0))</f>
        <v>-73.6824606704121</v>
      </c>
      <c r="U362" s="46">
        <f>INDEX('Locations'!$D$6:$D$455,MATCH(C362,'Locations'!$A$6:$A$455,0))</f>
        <v>42.7281269503383</v>
      </c>
      <c r="V362" s="73">
        <f>INDEX('Locations'!$E$6:$E$455,MATCH(C362,'Locations'!$A$6:$A$455,0))</f>
        <v>-73.6849754564538</v>
      </c>
      <c r="W362" s="44"/>
    </row>
    <row r="363" ht="23.1" customHeight="1">
      <c r="A363" t="s" s="24">
        <v>973</v>
      </c>
      <c r="B363" t="s" s="53">
        <v>354</v>
      </c>
      <c r="C363" t="s" s="53">
        <v>446</v>
      </c>
      <c r="D363" t="s" s="53">
        <v>614</v>
      </c>
      <c r="E363" s="74">
        <f>2*6371000*ASIN(SQRT(MIN(1,SIN(RADIANS(U363-S363)/2)^2+COS(RADIANS(S363))*COS(RADIANS(U363))*SIN(RADIANS(V363-T363)/2)^2)))</f>
        <v>44.2232740650145</v>
      </c>
      <c r="F363" t="s" s="48">
        <v>70</v>
      </c>
      <c r="G363" t="s" s="48">
        <v>69</v>
      </c>
      <c r="H363" t="s" s="48">
        <v>69</v>
      </c>
      <c r="I363" t="s" s="48">
        <v>69</v>
      </c>
      <c r="J363" t="s" s="48">
        <v>69</v>
      </c>
      <c r="K363" s="72"/>
      <c r="L363" s="72"/>
      <c r="M363" s="50"/>
      <c r="N363" s="49"/>
      <c r="O363" s="50"/>
      <c r="P363" s="50"/>
      <c r="Q363" s="32">
        <v>359</v>
      </c>
      <c r="R363" s="64"/>
      <c r="S363" s="54">
        <f>INDEX('Locations'!$D$6:$D$455,MATCH(B363,'Locations'!$A$6:$A$455,0))</f>
        <v>42.7282189113884</v>
      </c>
      <c r="T363" s="54">
        <f>INDEX('Locations'!$E$6:$E$455,MATCH(B363,'Locations'!$A$6:$A$455,0))</f>
        <v>-73.6779245057166</v>
      </c>
      <c r="U363" s="54">
        <f>INDEX('Locations'!$D$6:$D$455,MATCH(C363,'Locations'!$A$6:$A$455,0))</f>
        <v>42.7278315254651</v>
      </c>
      <c r="V363" s="75">
        <f>INDEX('Locations'!$E$6:$E$455,MATCH(C363,'Locations'!$A$6:$A$455,0))</f>
        <v>-73.6780470617452</v>
      </c>
      <c r="W363" s="44"/>
    </row>
    <row r="364" ht="23.1" customHeight="1">
      <c r="A364" t="s" s="21">
        <v>974</v>
      </c>
      <c r="B364" t="s" s="45">
        <v>400</v>
      </c>
      <c r="C364" t="s" s="45">
        <v>446</v>
      </c>
      <c r="D364" t="s" s="45">
        <v>614</v>
      </c>
      <c r="E364" s="71">
        <f>2*6371000*ASIN(SQRT(MIN(1,SIN(RADIANS(U364-S364)/2)^2+COS(RADIANS(S364))*COS(RADIANS(U364))*SIN(RADIANS(V364-T364)/2)^2)))</f>
        <v>52.8460101841451</v>
      </c>
      <c r="F364" t="s" s="48">
        <v>70</v>
      </c>
      <c r="G364" t="s" s="48">
        <v>69</v>
      </c>
      <c r="H364" t="s" s="48">
        <v>69</v>
      </c>
      <c r="I364" t="s" s="48">
        <v>69</v>
      </c>
      <c r="J364" t="s" s="48">
        <v>69</v>
      </c>
      <c r="K364" s="72"/>
      <c r="L364" s="72"/>
      <c r="M364" s="50"/>
      <c r="N364" s="49"/>
      <c r="O364" s="50"/>
      <c r="P364" s="50"/>
      <c r="Q364" s="30">
        <v>360</v>
      </c>
      <c r="R364" s="61"/>
      <c r="S364" s="46">
        <f>INDEX('Locations'!$D$6:$D$455,MATCH(B364,'Locations'!$A$6:$A$455,0))</f>
        <v>42.7278935991739</v>
      </c>
      <c r="T364" s="46">
        <f>INDEX('Locations'!$E$6:$E$455,MATCH(B364,'Locations'!$A$6:$A$455,0))</f>
        <v>-73.6786884913495</v>
      </c>
      <c r="U364" s="46">
        <f>INDEX('Locations'!$D$6:$D$455,MATCH(C364,'Locations'!$A$6:$A$455,0))</f>
        <v>42.7278315254651</v>
      </c>
      <c r="V364" s="73">
        <f>INDEX('Locations'!$E$6:$E$455,MATCH(C364,'Locations'!$A$6:$A$455,0))</f>
        <v>-73.6780470617452</v>
      </c>
      <c r="W364" s="44"/>
    </row>
    <row r="365" ht="23.1" customHeight="1">
      <c r="A365" t="s" s="24">
        <v>975</v>
      </c>
      <c r="B365" t="s" s="53">
        <v>356</v>
      </c>
      <c r="C365" t="s" s="53">
        <v>446</v>
      </c>
      <c r="D365" t="s" s="53">
        <v>614</v>
      </c>
      <c r="E365" s="74">
        <f>2*6371000*ASIN(SQRT(MIN(1,SIN(RADIANS(U365-S365)/2)^2+COS(RADIANS(S365))*COS(RADIANS(U365))*SIN(RADIANS(V365-T365)/2)^2)))</f>
        <v>47.323600181348</v>
      </c>
      <c r="F365" t="s" s="48">
        <v>70</v>
      </c>
      <c r="G365" t="s" s="48">
        <v>69</v>
      </c>
      <c r="H365" t="s" s="48">
        <v>69</v>
      </c>
      <c r="I365" t="s" s="48">
        <v>69</v>
      </c>
      <c r="J365" t="s" s="48">
        <v>69</v>
      </c>
      <c r="K365" s="72"/>
      <c r="L365" s="72"/>
      <c r="M365" s="50"/>
      <c r="N365" s="49"/>
      <c r="O365" s="50"/>
      <c r="P365" s="50"/>
      <c r="Q365" s="32">
        <v>361</v>
      </c>
      <c r="R365" s="64"/>
      <c r="S365" s="54">
        <f>INDEX('Locations'!$D$6:$D$455,MATCH(B365,'Locations'!$A$6:$A$455,0))</f>
        <v>42.7274062056088</v>
      </c>
      <c r="T365" s="54">
        <f>INDEX('Locations'!$E$6:$E$455,MATCH(B365,'Locations'!$A$6:$A$455,0))</f>
        <v>-73.6780677530227</v>
      </c>
      <c r="U365" s="54">
        <f>INDEX('Locations'!$D$6:$D$455,MATCH(C365,'Locations'!$A$6:$A$455,0))</f>
        <v>42.7278315254651</v>
      </c>
      <c r="V365" s="75">
        <f>INDEX('Locations'!$E$6:$E$455,MATCH(C365,'Locations'!$A$6:$A$455,0))</f>
        <v>-73.6780470617452</v>
      </c>
      <c r="W365" s="44"/>
    </row>
    <row r="366" ht="23.1" customHeight="1">
      <c r="A366" t="s" s="21">
        <v>976</v>
      </c>
      <c r="B366" t="s" s="45">
        <v>443</v>
      </c>
      <c r="C366" t="s" s="45">
        <v>447</v>
      </c>
      <c r="D366" t="s" s="45">
        <v>614</v>
      </c>
      <c r="E366" s="71">
        <f>2*6371000*ASIN(SQRT(MIN(1,SIN(RADIANS(U366-S366)/2)^2+COS(RADIANS(S366))*COS(RADIANS(U366))*SIN(RADIANS(V366-T366)/2)^2)))</f>
        <v>67.6851298843724</v>
      </c>
      <c r="F366" t="s" s="48">
        <v>70</v>
      </c>
      <c r="G366" t="s" s="48">
        <v>69</v>
      </c>
      <c r="H366" t="s" s="48">
        <v>69</v>
      </c>
      <c r="I366" t="s" s="48">
        <v>69</v>
      </c>
      <c r="J366" t="s" s="48">
        <v>69</v>
      </c>
      <c r="K366" s="72"/>
      <c r="L366" s="72"/>
      <c r="M366" s="50"/>
      <c r="N366" s="49"/>
      <c r="O366" s="50"/>
      <c r="P366" s="50"/>
      <c r="Q366" s="30">
        <v>362</v>
      </c>
      <c r="R366" s="61"/>
      <c r="S366" s="46">
        <f>INDEX('Locations'!$D$6:$D$455,MATCH(B366,'Locations'!$A$6:$A$455,0))</f>
        <v>42.732527286582</v>
      </c>
      <c r="T366" s="46">
        <f>INDEX('Locations'!$E$6:$E$455,MATCH(B366,'Locations'!$A$6:$A$455,0))</f>
        <v>-73.6809645318809</v>
      </c>
      <c r="U366" s="46">
        <f>INDEX('Locations'!$D$6:$D$455,MATCH(C366,'Locations'!$A$6:$A$455,0))</f>
        <v>42.7329434103334</v>
      </c>
      <c r="V366" s="73">
        <f>INDEX('Locations'!$E$6:$E$455,MATCH(C366,'Locations'!$A$6:$A$455,0))</f>
        <v>-73.6803597099215</v>
      </c>
      <c r="W366" s="44"/>
    </row>
    <row r="367" ht="23.1" customHeight="1">
      <c r="A367" t="s" s="24">
        <v>977</v>
      </c>
      <c r="B367" t="s" s="53">
        <v>141</v>
      </c>
      <c r="C367" t="s" s="53">
        <v>447</v>
      </c>
      <c r="D367" t="s" s="53">
        <v>614</v>
      </c>
      <c r="E367" s="74">
        <f>2*6371000*ASIN(SQRT(MIN(1,SIN(RADIANS(U367-S367)/2)^2+COS(RADIANS(S367))*COS(RADIANS(U367))*SIN(RADIANS(V367-T367)/2)^2)))</f>
        <v>45.2792609940632</v>
      </c>
      <c r="F367" t="s" s="48">
        <v>70</v>
      </c>
      <c r="G367" t="s" s="48">
        <v>69</v>
      </c>
      <c r="H367" t="s" s="48">
        <v>69</v>
      </c>
      <c r="I367" t="s" s="48">
        <v>69</v>
      </c>
      <c r="J367" t="s" s="48">
        <v>69</v>
      </c>
      <c r="K367" s="72"/>
      <c r="L367" s="72"/>
      <c r="M367" s="50"/>
      <c r="N367" s="49"/>
      <c r="O367" s="50"/>
      <c r="P367" s="50"/>
      <c r="Q367" s="32">
        <v>363</v>
      </c>
      <c r="R367" s="64"/>
      <c r="S367" s="54">
        <f>INDEX('Locations'!$D$6:$D$455,MATCH(B367,'Locations'!$A$6:$A$455,0))</f>
        <v>42.7331692394064</v>
      </c>
      <c r="T367" s="54">
        <f>INDEX('Locations'!$E$6:$E$455,MATCH(B367,'Locations'!$A$6:$A$455,0))</f>
        <v>-73.6798983927157</v>
      </c>
      <c r="U367" s="54">
        <f>INDEX('Locations'!$D$6:$D$455,MATCH(C367,'Locations'!$A$6:$A$455,0))</f>
        <v>42.7329434103334</v>
      </c>
      <c r="V367" s="75">
        <f>INDEX('Locations'!$E$6:$E$455,MATCH(C367,'Locations'!$A$6:$A$455,0))</f>
        <v>-73.6803597099215</v>
      </c>
      <c r="W367" s="44"/>
    </row>
    <row r="368" ht="23.1" customHeight="1">
      <c r="A368" t="s" s="21">
        <v>978</v>
      </c>
      <c r="B368" t="s" s="45">
        <v>192</v>
      </c>
      <c r="C368" t="s" s="45">
        <v>447</v>
      </c>
      <c r="D368" t="s" s="45">
        <v>614</v>
      </c>
      <c r="E368" s="71">
        <f>2*6371000*ASIN(SQRT(MIN(1,SIN(RADIANS(U368-S368)/2)^2+COS(RADIANS(S368))*COS(RADIANS(U368))*SIN(RADIANS(V368-T368)/2)^2)))</f>
        <v>39.5647978744996</v>
      </c>
      <c r="F368" t="s" s="48">
        <v>70</v>
      </c>
      <c r="G368" t="s" s="48">
        <v>69</v>
      </c>
      <c r="H368" t="s" s="48">
        <v>69</v>
      </c>
      <c r="I368" t="s" s="48">
        <v>69</v>
      </c>
      <c r="J368" t="s" s="48">
        <v>69</v>
      </c>
      <c r="K368" s="72"/>
      <c r="L368" s="72"/>
      <c r="M368" s="50"/>
      <c r="N368" s="49"/>
      <c r="O368" s="50"/>
      <c r="P368" s="50"/>
      <c r="Q368" s="30">
        <v>364</v>
      </c>
      <c r="R368" s="61"/>
      <c r="S368" s="46">
        <f>INDEX('Locations'!$D$6:$D$455,MATCH(B368,'Locations'!$A$6:$A$455,0))</f>
        <v>42.7328887776181</v>
      </c>
      <c r="T368" s="46">
        <f>INDEX('Locations'!$E$6:$E$455,MATCH(B368,'Locations'!$A$6:$A$455,0))</f>
        <v>-73.6808383806214</v>
      </c>
      <c r="U368" s="46">
        <f>INDEX('Locations'!$D$6:$D$455,MATCH(C368,'Locations'!$A$6:$A$455,0))</f>
        <v>42.7329434103334</v>
      </c>
      <c r="V368" s="73">
        <f>INDEX('Locations'!$E$6:$E$455,MATCH(C368,'Locations'!$A$6:$A$455,0))</f>
        <v>-73.6803597099215</v>
      </c>
      <c r="W368" s="44"/>
    </row>
    <row r="369" ht="23.1" customHeight="1">
      <c r="A369" t="s" s="24">
        <v>979</v>
      </c>
      <c r="B369" t="s" s="53">
        <v>91</v>
      </c>
      <c r="C369" t="s" s="53">
        <v>447</v>
      </c>
      <c r="D369" t="s" s="53">
        <v>614</v>
      </c>
      <c r="E369" s="74">
        <f>2*6371000*ASIN(SQRT(MIN(1,SIN(RADIANS(U369-S369)/2)^2+COS(RADIANS(S369))*COS(RADIANS(U369))*SIN(RADIANS(V369-T369)/2)^2)))</f>
        <v>33.323166816451</v>
      </c>
      <c r="F369" t="s" s="48">
        <v>70</v>
      </c>
      <c r="G369" t="s" s="48">
        <v>69</v>
      </c>
      <c r="H369" t="s" s="48">
        <v>69</v>
      </c>
      <c r="I369" t="s" s="48">
        <v>69</v>
      </c>
      <c r="J369" t="s" s="48">
        <v>69</v>
      </c>
      <c r="K369" s="72"/>
      <c r="L369" s="72"/>
      <c r="M369" s="50"/>
      <c r="N369" s="49"/>
      <c r="O369" s="50"/>
      <c r="P369" s="50"/>
      <c r="Q369" s="32">
        <v>365</v>
      </c>
      <c r="R369" s="64"/>
      <c r="S369" s="54">
        <f>INDEX('Locations'!$D$6:$D$455,MATCH(B369,'Locations'!$A$6:$A$455,0))</f>
        <v>42.7326612612087</v>
      </c>
      <c r="T369" s="54">
        <f>INDEX('Locations'!$E$6:$E$455,MATCH(B369,'Locations'!$A$6:$A$455,0))</f>
        <v>-73.6802222033852</v>
      </c>
      <c r="U369" s="54">
        <f>INDEX('Locations'!$D$6:$D$455,MATCH(C369,'Locations'!$A$6:$A$455,0))</f>
        <v>42.7329434103334</v>
      </c>
      <c r="V369" s="75">
        <f>INDEX('Locations'!$E$6:$E$455,MATCH(C369,'Locations'!$A$6:$A$455,0))</f>
        <v>-73.6803597099215</v>
      </c>
      <c r="W369" s="44"/>
    </row>
    <row r="370" ht="23.1" customHeight="1">
      <c r="A370" t="s" s="21">
        <v>980</v>
      </c>
      <c r="B370" t="s" s="45">
        <v>448</v>
      </c>
      <c r="C370" t="s" s="45">
        <v>447</v>
      </c>
      <c r="D370" t="s" s="45">
        <v>614</v>
      </c>
      <c r="E370" s="71">
        <f>2*6371000*ASIN(SQRT(MIN(1,SIN(RADIANS(U370-S370)/2)^2+COS(RADIANS(S370))*COS(RADIANS(U370))*SIN(RADIANS(V370-T370)/2)^2)))</f>
        <v>41.0405362748479</v>
      </c>
      <c r="F370" t="s" s="48">
        <v>70</v>
      </c>
      <c r="G370" t="s" s="48">
        <v>69</v>
      </c>
      <c r="H370" t="s" s="48">
        <v>69</v>
      </c>
      <c r="I370" t="s" s="48">
        <v>69</v>
      </c>
      <c r="J370" t="s" s="48">
        <v>69</v>
      </c>
      <c r="K370" s="72"/>
      <c r="L370" s="72"/>
      <c r="M370" s="50"/>
      <c r="N370" s="49"/>
      <c r="O370" s="50"/>
      <c r="P370" s="50"/>
      <c r="Q370" s="30">
        <v>366</v>
      </c>
      <c r="R370" s="61"/>
      <c r="S370" s="46">
        <f>INDEX('Locations'!$D$6:$D$455,MATCH(B370,'Locations'!$A$6:$A$455,0))</f>
        <v>42.7328284590208</v>
      </c>
      <c r="T370" s="46">
        <f>INDEX('Locations'!$E$6:$E$455,MATCH(B370,'Locations'!$A$6:$A$455,0))</f>
        <v>-73.6798822189009</v>
      </c>
      <c r="U370" s="46">
        <f>INDEX('Locations'!$D$6:$D$455,MATCH(C370,'Locations'!$A$6:$A$455,0))</f>
        <v>42.7329434103334</v>
      </c>
      <c r="V370" s="73">
        <f>INDEX('Locations'!$E$6:$E$455,MATCH(C370,'Locations'!$A$6:$A$455,0))</f>
        <v>-73.6803597099215</v>
      </c>
      <c r="W370" s="44"/>
    </row>
    <row r="371" ht="23.1" customHeight="1">
      <c r="A371" t="s" s="24">
        <v>981</v>
      </c>
      <c r="B371" t="s" s="53">
        <v>91</v>
      </c>
      <c r="C371" t="s" s="53">
        <v>448</v>
      </c>
      <c r="D371" t="s" s="53">
        <v>614</v>
      </c>
      <c r="E371" s="74">
        <f>2*6371000*ASIN(SQRT(MIN(1,SIN(RADIANS(U371-S371)/2)^2+COS(RADIANS(S371))*COS(RADIANS(U371))*SIN(RADIANS(V371-T371)/2)^2)))</f>
        <v>33.4175550044087</v>
      </c>
      <c r="F371" t="s" s="48">
        <v>70</v>
      </c>
      <c r="G371" t="s" s="48">
        <v>69</v>
      </c>
      <c r="H371" t="s" s="48">
        <v>69</v>
      </c>
      <c r="I371" t="s" s="48">
        <v>69</v>
      </c>
      <c r="J371" t="s" s="48">
        <v>69</v>
      </c>
      <c r="K371" s="72"/>
      <c r="L371" s="72"/>
      <c r="M371" s="50"/>
      <c r="N371" s="49"/>
      <c r="O371" s="50"/>
      <c r="P371" s="50"/>
      <c r="Q371" s="32">
        <v>367</v>
      </c>
      <c r="R371" s="64"/>
      <c r="S371" s="54">
        <f>INDEX('Locations'!$D$6:$D$455,MATCH(B371,'Locations'!$A$6:$A$455,0))</f>
        <v>42.7326612612087</v>
      </c>
      <c r="T371" s="54">
        <f>INDEX('Locations'!$E$6:$E$455,MATCH(B371,'Locations'!$A$6:$A$455,0))</f>
        <v>-73.6802222033852</v>
      </c>
      <c r="U371" s="54">
        <f>INDEX('Locations'!$D$6:$D$455,MATCH(C371,'Locations'!$A$6:$A$455,0))</f>
        <v>42.7328284590208</v>
      </c>
      <c r="V371" s="75">
        <f>INDEX('Locations'!$E$6:$E$455,MATCH(C371,'Locations'!$A$6:$A$455,0))</f>
        <v>-73.6798822189009</v>
      </c>
      <c r="W371" s="44"/>
    </row>
    <row r="372" ht="23.1" customHeight="1">
      <c r="A372" t="s" s="21">
        <v>982</v>
      </c>
      <c r="B372" t="s" s="45">
        <v>447</v>
      </c>
      <c r="C372" t="s" s="45">
        <v>450</v>
      </c>
      <c r="D372" t="s" s="45">
        <v>614</v>
      </c>
      <c r="E372" s="71">
        <f>2*6371000*ASIN(SQRT(MIN(1,SIN(RADIANS(U372-S372)/2)^2+COS(RADIANS(S372))*COS(RADIANS(U372))*SIN(RADIANS(V372-T372)/2)^2)))</f>
        <v>26.9008790196208</v>
      </c>
      <c r="F372" t="s" s="48">
        <v>70</v>
      </c>
      <c r="G372" t="s" s="48">
        <v>69</v>
      </c>
      <c r="H372" t="s" s="48">
        <v>69</v>
      </c>
      <c r="I372" t="s" s="48">
        <v>69</v>
      </c>
      <c r="J372" t="s" s="48">
        <v>69</v>
      </c>
      <c r="K372" s="72"/>
      <c r="L372" s="72"/>
      <c r="M372" s="50"/>
      <c r="N372" s="49"/>
      <c r="O372" s="50"/>
      <c r="P372" s="50"/>
      <c r="Q372" s="30">
        <v>368</v>
      </c>
      <c r="R372" s="61"/>
      <c r="S372" s="46">
        <f>INDEX('Locations'!$D$6:$D$455,MATCH(B372,'Locations'!$A$6:$A$455,0))</f>
        <v>42.7329434103334</v>
      </c>
      <c r="T372" s="46">
        <f>INDEX('Locations'!$E$6:$E$455,MATCH(B372,'Locations'!$A$6:$A$455,0))</f>
        <v>-73.6803597099215</v>
      </c>
      <c r="U372" s="46">
        <f>INDEX('Locations'!$D$6:$D$455,MATCH(C372,'Locations'!$A$6:$A$455,0))</f>
        <v>42.7330813519084</v>
      </c>
      <c r="V372" s="73">
        <f>INDEX('Locations'!$E$6:$E$455,MATCH(C372,'Locations'!$A$6:$A$455,0))</f>
        <v>-73.6806302881665</v>
      </c>
      <c r="W372" s="44"/>
    </row>
    <row r="373" ht="23.1" customHeight="1">
      <c r="A373" t="s" s="24">
        <v>983</v>
      </c>
      <c r="B373" t="s" s="53">
        <v>449</v>
      </c>
      <c r="C373" t="s" s="53">
        <v>451</v>
      </c>
      <c r="D373" t="s" s="53">
        <v>614</v>
      </c>
      <c r="E373" s="74">
        <f>2*6371000*ASIN(SQRT(MIN(1,SIN(RADIANS(U373-S373)/2)^2+COS(RADIANS(S373))*COS(RADIANS(U373))*SIN(RADIANS(V373-T373)/2)^2)))</f>
        <v>69.5199059493349</v>
      </c>
      <c r="F373" t="s" s="48">
        <v>70</v>
      </c>
      <c r="G373" t="s" s="48">
        <v>69</v>
      </c>
      <c r="H373" t="s" s="48">
        <v>69</v>
      </c>
      <c r="I373" t="s" s="48">
        <v>69</v>
      </c>
      <c r="J373" t="s" s="48">
        <v>69</v>
      </c>
      <c r="K373" s="72"/>
      <c r="L373" s="72"/>
      <c r="M373" s="50"/>
      <c r="N373" s="49"/>
      <c r="O373" s="50"/>
      <c r="P373" s="50"/>
      <c r="Q373" s="32">
        <v>369</v>
      </c>
      <c r="R373" s="64"/>
      <c r="S373" s="54">
        <f>INDEX('Locations'!$D$6:$D$455,MATCH(B373,'Locations'!$A$6:$A$455,0))</f>
        <v>42.7334606912398</v>
      </c>
      <c r="T373" s="54">
        <f>INDEX('Locations'!$E$6:$E$455,MATCH(B373,'Locations'!$A$6:$A$455,0))</f>
        <v>-73.6795957242886</v>
      </c>
      <c r="U373" s="54">
        <f>INDEX('Locations'!$D$6:$D$455,MATCH(C373,'Locations'!$A$6:$A$455,0))</f>
        <v>42.7336066794067</v>
      </c>
      <c r="V373" s="75">
        <f>INDEX('Locations'!$E$6:$E$455,MATCH(C373,'Locations'!$A$6:$A$455,0))</f>
        <v>-73.6804233753909</v>
      </c>
      <c r="W373" s="44"/>
    </row>
    <row r="374" ht="23.1" customHeight="1">
      <c r="A374" t="s" s="21">
        <v>984</v>
      </c>
      <c r="B374" t="s" s="45">
        <v>450</v>
      </c>
      <c r="C374" t="s" s="45">
        <v>451</v>
      </c>
      <c r="D374" t="s" s="45">
        <v>614</v>
      </c>
      <c r="E374" s="71">
        <f>2*6371000*ASIN(SQRT(MIN(1,SIN(RADIANS(U374-S374)/2)^2+COS(RADIANS(S374))*COS(RADIANS(U374))*SIN(RADIANS(V374-T374)/2)^2)))</f>
        <v>60.8092274461792</v>
      </c>
      <c r="F374" t="s" s="48">
        <v>70</v>
      </c>
      <c r="G374" t="s" s="48">
        <v>69</v>
      </c>
      <c r="H374" t="s" s="48">
        <v>69</v>
      </c>
      <c r="I374" t="s" s="48">
        <v>69</v>
      </c>
      <c r="J374" t="s" s="48">
        <v>69</v>
      </c>
      <c r="K374" s="72"/>
      <c r="L374" s="72"/>
      <c r="M374" s="50"/>
      <c r="N374" s="49"/>
      <c r="O374" s="50"/>
      <c r="P374" s="50"/>
      <c r="Q374" s="30">
        <v>370</v>
      </c>
      <c r="R374" s="61"/>
      <c r="S374" s="46">
        <f>INDEX('Locations'!$D$6:$D$455,MATCH(B374,'Locations'!$A$6:$A$455,0))</f>
        <v>42.7330813519084</v>
      </c>
      <c r="T374" s="46">
        <f>INDEX('Locations'!$E$6:$E$455,MATCH(B374,'Locations'!$A$6:$A$455,0))</f>
        <v>-73.6806302881665</v>
      </c>
      <c r="U374" s="46">
        <f>INDEX('Locations'!$D$6:$D$455,MATCH(C374,'Locations'!$A$6:$A$455,0))</f>
        <v>42.7336066794067</v>
      </c>
      <c r="V374" s="73">
        <f>INDEX('Locations'!$E$6:$E$455,MATCH(C374,'Locations'!$A$6:$A$455,0))</f>
        <v>-73.6804233753909</v>
      </c>
      <c r="W374" s="44"/>
    </row>
    <row r="375" ht="23.1" customHeight="1">
      <c r="A375" t="s" s="24">
        <v>985</v>
      </c>
      <c r="B375" t="s" s="53">
        <v>453</v>
      </c>
      <c r="C375" t="s" s="53">
        <v>452</v>
      </c>
      <c r="D375" t="s" s="53">
        <v>614</v>
      </c>
      <c r="E375" s="74">
        <f>2*6371000*ASIN(SQRT(MIN(1,SIN(RADIANS(U375-S375)/2)^2+COS(RADIANS(S375))*COS(RADIANS(U375))*SIN(RADIANS(V375-T375)/2)^2)))</f>
        <v>62.7987469503764</v>
      </c>
      <c r="F375" t="s" s="48">
        <v>70</v>
      </c>
      <c r="G375" t="s" s="48">
        <v>69</v>
      </c>
      <c r="H375" t="s" s="48">
        <v>69</v>
      </c>
      <c r="I375" t="s" s="48">
        <v>69</v>
      </c>
      <c r="J375" t="s" s="48">
        <v>69</v>
      </c>
      <c r="K375" s="72"/>
      <c r="L375" s="72"/>
      <c r="M375" s="50"/>
      <c r="N375" s="49"/>
      <c r="O375" s="50"/>
      <c r="P375" s="50"/>
      <c r="Q375" s="32">
        <v>371</v>
      </c>
      <c r="R375" s="64"/>
      <c r="S375" s="54">
        <f>INDEX('Locations'!$D$6:$D$455,MATCH(B375,'Locations'!$A$6:$A$455,0))</f>
        <v>42.733242283746</v>
      </c>
      <c r="T375" s="54">
        <f>INDEX('Locations'!$E$6:$E$455,MATCH(B375,'Locations'!$A$6:$A$455,0))</f>
        <v>-73.68155821238319</v>
      </c>
      <c r="U375" s="54">
        <f>INDEX('Locations'!$D$6:$D$455,MATCH(C375,'Locations'!$A$6:$A$455,0))</f>
        <v>42.7337986480986</v>
      </c>
      <c r="V375" s="75">
        <f>INDEX('Locations'!$E$6:$E$455,MATCH(C375,'Locations'!$A$6:$A$455,0))</f>
        <v>-73.6814261065341</v>
      </c>
      <c r="W375" s="44"/>
    </row>
    <row r="376" ht="23.1" customHeight="1">
      <c r="A376" t="s" s="21">
        <v>986</v>
      </c>
      <c r="B376" t="s" s="45">
        <v>451</v>
      </c>
      <c r="C376" t="s" s="45">
        <v>452</v>
      </c>
      <c r="D376" t="s" s="45">
        <v>614</v>
      </c>
      <c r="E376" s="71">
        <f>2*6371000*ASIN(SQRT(MIN(1,SIN(RADIANS(U376-S376)/2)^2+COS(RADIANS(S376))*COS(RADIANS(U376))*SIN(RADIANS(V376-T376)/2)^2)))</f>
        <v>84.63359057320049</v>
      </c>
      <c r="F376" t="s" s="48">
        <v>70</v>
      </c>
      <c r="G376" t="s" s="48">
        <v>69</v>
      </c>
      <c r="H376" t="s" s="48">
        <v>69</v>
      </c>
      <c r="I376" t="s" s="48">
        <v>69</v>
      </c>
      <c r="J376" t="s" s="48">
        <v>69</v>
      </c>
      <c r="K376" s="72"/>
      <c r="L376" s="72"/>
      <c r="M376" s="50"/>
      <c r="N376" s="49"/>
      <c r="O376" s="50"/>
      <c r="P376" s="50"/>
      <c r="Q376" s="30">
        <v>372</v>
      </c>
      <c r="R376" s="61"/>
      <c r="S376" s="46">
        <f>INDEX('Locations'!$D$6:$D$455,MATCH(B376,'Locations'!$A$6:$A$455,0))</f>
        <v>42.7336066794067</v>
      </c>
      <c r="T376" s="46">
        <f>INDEX('Locations'!$E$6:$E$455,MATCH(B376,'Locations'!$A$6:$A$455,0))</f>
        <v>-73.6804233753909</v>
      </c>
      <c r="U376" s="46">
        <f>INDEX('Locations'!$D$6:$D$455,MATCH(C376,'Locations'!$A$6:$A$455,0))</f>
        <v>42.7337986480986</v>
      </c>
      <c r="V376" s="73">
        <f>INDEX('Locations'!$E$6:$E$455,MATCH(C376,'Locations'!$A$6:$A$455,0))</f>
        <v>-73.6814261065341</v>
      </c>
      <c r="W376" s="44"/>
    </row>
    <row r="377" ht="23.1" customHeight="1">
      <c r="A377" t="s" s="24">
        <v>987</v>
      </c>
      <c r="B377" t="s" s="53">
        <v>454</v>
      </c>
      <c r="C377" t="s" s="53">
        <v>452</v>
      </c>
      <c r="D377" t="s" s="53">
        <v>614</v>
      </c>
      <c r="E377" s="74">
        <f>2*6371000*ASIN(SQRT(MIN(1,SIN(RADIANS(U377-S377)/2)^2+COS(RADIANS(S377))*COS(RADIANS(U377))*SIN(RADIANS(V377-T377)/2)^2)))</f>
        <v>76.94182796626529</v>
      </c>
      <c r="F377" t="s" s="48">
        <v>70</v>
      </c>
      <c r="G377" t="s" s="48">
        <v>69</v>
      </c>
      <c r="H377" t="s" s="48">
        <v>69</v>
      </c>
      <c r="I377" t="s" s="48">
        <v>69</v>
      </c>
      <c r="J377" t="s" s="48">
        <v>69</v>
      </c>
      <c r="K377" s="72"/>
      <c r="L377" s="72"/>
      <c r="M377" s="50"/>
      <c r="N377" s="49"/>
      <c r="O377" s="50"/>
      <c r="P377" s="50"/>
      <c r="Q377" s="32">
        <v>373</v>
      </c>
      <c r="R377" s="64"/>
      <c r="S377" s="54">
        <f>INDEX('Locations'!$D$6:$D$455,MATCH(B377,'Locations'!$A$6:$A$455,0))</f>
        <v>42.7339365896736</v>
      </c>
      <c r="T377" s="54">
        <f>INDEX('Locations'!$E$6:$E$455,MATCH(B377,'Locations'!$A$6:$A$455,0))</f>
        <v>-73.68234925584061</v>
      </c>
      <c r="U377" s="54">
        <f>INDEX('Locations'!$D$6:$D$455,MATCH(C377,'Locations'!$A$6:$A$455,0))</f>
        <v>42.7337986480986</v>
      </c>
      <c r="V377" s="75">
        <f>INDEX('Locations'!$E$6:$E$455,MATCH(C377,'Locations'!$A$6:$A$455,0))</f>
        <v>-73.6814261065341</v>
      </c>
      <c r="W377" s="44"/>
    </row>
    <row r="378" ht="23.1" customHeight="1">
      <c r="A378" t="s" s="21">
        <v>988</v>
      </c>
      <c r="B378" t="s" s="45">
        <v>450</v>
      </c>
      <c r="C378" t="s" s="45">
        <v>453</v>
      </c>
      <c r="D378" t="s" s="45">
        <v>614</v>
      </c>
      <c r="E378" s="71">
        <f>2*6371000*ASIN(SQRT(MIN(1,SIN(RADIANS(U378-S378)/2)^2+COS(RADIANS(S378))*COS(RADIANS(U378))*SIN(RADIANS(V378-T378)/2)^2)))</f>
        <v>77.8722874766851</v>
      </c>
      <c r="F378" t="s" s="48">
        <v>70</v>
      </c>
      <c r="G378" t="s" s="48">
        <v>69</v>
      </c>
      <c r="H378" t="s" s="48">
        <v>69</v>
      </c>
      <c r="I378" t="s" s="48">
        <v>69</v>
      </c>
      <c r="J378" t="s" s="48">
        <v>69</v>
      </c>
      <c r="K378" s="72"/>
      <c r="L378" s="72"/>
      <c r="M378" s="50"/>
      <c r="N378" s="49"/>
      <c r="O378" s="50"/>
      <c r="P378" s="50"/>
      <c r="Q378" s="30">
        <v>374</v>
      </c>
      <c r="R378" s="61"/>
      <c r="S378" s="46">
        <f>INDEX('Locations'!$D$6:$D$455,MATCH(B378,'Locations'!$A$6:$A$455,0))</f>
        <v>42.7330813519084</v>
      </c>
      <c r="T378" s="46">
        <f>INDEX('Locations'!$E$6:$E$455,MATCH(B378,'Locations'!$A$6:$A$455,0))</f>
        <v>-73.6806302881665</v>
      </c>
      <c r="U378" s="46">
        <f>INDEX('Locations'!$D$6:$D$455,MATCH(C378,'Locations'!$A$6:$A$455,0))</f>
        <v>42.733242283746</v>
      </c>
      <c r="V378" s="73">
        <f>INDEX('Locations'!$E$6:$E$455,MATCH(C378,'Locations'!$A$6:$A$455,0))</f>
        <v>-73.68155821238319</v>
      </c>
      <c r="W378" s="44"/>
    </row>
    <row r="379" ht="23.1" customHeight="1">
      <c r="A379" t="s" s="24">
        <v>989</v>
      </c>
      <c r="B379" t="s" s="53">
        <v>454</v>
      </c>
      <c r="C379" t="s" s="53">
        <v>444</v>
      </c>
      <c r="D379" t="s" s="53">
        <v>614</v>
      </c>
      <c r="E379" s="74">
        <f>2*6371000*ASIN(SQRT(MIN(1,SIN(RADIANS(U379-S379)/2)^2+COS(RADIANS(S379))*COS(RADIANS(U379))*SIN(RADIANS(V379-T379)/2)^2)))</f>
        <v>120.422908850468</v>
      </c>
      <c r="F379" t="s" s="48">
        <v>70</v>
      </c>
      <c r="G379" t="s" s="48">
        <v>69</v>
      </c>
      <c r="H379" t="s" s="48">
        <v>69</v>
      </c>
      <c r="I379" t="s" s="48">
        <v>69</v>
      </c>
      <c r="J379" t="s" s="48">
        <v>69</v>
      </c>
      <c r="K379" s="72"/>
      <c r="L379" s="72"/>
      <c r="M379" s="50"/>
      <c r="N379" s="49"/>
      <c r="O379" s="50"/>
      <c r="P379" s="50"/>
      <c r="Q379" s="32">
        <v>375</v>
      </c>
      <c r="R379" s="64"/>
      <c r="S379" s="54">
        <f>INDEX('Locations'!$D$6:$D$455,MATCH(B379,'Locations'!$A$6:$A$455,0))</f>
        <v>42.7339365896736</v>
      </c>
      <c r="T379" s="54">
        <f>INDEX('Locations'!$E$6:$E$455,MATCH(B379,'Locations'!$A$6:$A$455,0))</f>
        <v>-73.68234925584061</v>
      </c>
      <c r="U379" s="54">
        <f>INDEX('Locations'!$D$6:$D$455,MATCH(C379,'Locations'!$A$6:$A$455,0))</f>
        <v>42.7328801871115</v>
      </c>
      <c r="V379" s="75">
        <f>INDEX('Locations'!$E$6:$E$455,MATCH(C379,'Locations'!$A$6:$A$455,0))</f>
        <v>-73.68267394973461</v>
      </c>
      <c r="W379" s="44"/>
    </row>
    <row r="380" ht="23.1" customHeight="1">
      <c r="A380" t="s" s="21">
        <v>990</v>
      </c>
      <c r="B380" t="s" s="45">
        <v>214</v>
      </c>
      <c r="C380" t="s" s="45">
        <v>457</v>
      </c>
      <c r="D380" t="s" s="45">
        <v>614</v>
      </c>
      <c r="E380" s="71">
        <f>2*6371000*ASIN(SQRT(MIN(1,SIN(RADIANS(U380-S380)/2)^2+COS(RADIANS(S380))*COS(RADIANS(U380))*SIN(RADIANS(V380-T380)/2)^2)))</f>
        <v>8.917988693045739</v>
      </c>
      <c r="F380" t="s" s="48">
        <v>70</v>
      </c>
      <c r="G380" t="s" s="48">
        <v>69</v>
      </c>
      <c r="H380" t="s" s="48">
        <v>69</v>
      </c>
      <c r="I380" t="s" s="48">
        <v>69</v>
      </c>
      <c r="J380" t="s" s="48">
        <v>69</v>
      </c>
      <c r="K380" s="72"/>
      <c r="L380" s="72"/>
      <c r="M380" s="50"/>
      <c r="N380" s="49"/>
      <c r="O380" s="50"/>
      <c r="P380" s="50"/>
      <c r="Q380" s="30">
        <v>376</v>
      </c>
      <c r="R380" s="61"/>
      <c r="S380" s="46">
        <f>INDEX('Locations'!$D$6:$D$455,MATCH(B380,'Locations'!$A$6:$A$455,0))</f>
        <v>42.73092087</v>
      </c>
      <c r="T380" s="46">
        <f>INDEX('Locations'!$E$6:$E$455,MATCH(B380,'Locations'!$A$6:$A$455,0))</f>
        <v>-73.6843118</v>
      </c>
      <c r="U380" s="46">
        <f>INDEX('Locations'!$D$6:$D$455,MATCH(C380,'Locations'!$A$6:$A$455,0))</f>
        <v>42.7308892303785</v>
      </c>
      <c r="V380" s="73">
        <f>INDEX('Locations'!$E$6:$E$455,MATCH(C380,'Locations'!$A$6:$A$455,0))</f>
        <v>-73.6842114708209</v>
      </c>
      <c r="W380" s="44"/>
    </row>
    <row r="381" ht="23.1" customHeight="1">
      <c r="A381" t="s" s="24">
        <v>991</v>
      </c>
      <c r="B381" t="s" s="53">
        <v>456</v>
      </c>
      <c r="C381" t="s" s="53">
        <v>457</v>
      </c>
      <c r="D381" t="s" s="53">
        <v>614</v>
      </c>
      <c r="E381" s="74">
        <f>2*6371000*ASIN(SQRT(MIN(1,SIN(RADIANS(U381-S381)/2)^2+COS(RADIANS(S381))*COS(RADIANS(U381))*SIN(RADIANS(V381-T381)/2)^2)))</f>
        <v>250.334884599258</v>
      </c>
      <c r="F381" t="s" s="48">
        <v>70</v>
      </c>
      <c r="G381" t="s" s="48">
        <v>69</v>
      </c>
      <c r="H381" t="s" s="48">
        <v>69</v>
      </c>
      <c r="I381" t="s" s="48">
        <v>69</v>
      </c>
      <c r="J381" t="s" s="48">
        <v>69</v>
      </c>
      <c r="K381" s="72"/>
      <c r="L381" s="72"/>
      <c r="M381" s="50"/>
      <c r="N381" s="49"/>
      <c r="O381" s="50"/>
      <c r="P381" s="50"/>
      <c r="Q381" s="32">
        <v>377</v>
      </c>
      <c r="R381" s="64"/>
      <c r="S381" s="54">
        <f>INDEX('Locations'!$D$6:$D$455,MATCH(B381,'Locations'!$A$6:$A$455,0))</f>
        <v>42.7330974450922</v>
      </c>
      <c r="T381" s="54">
        <f>INDEX('Locations'!$E$6:$E$455,MATCH(B381,'Locations'!$A$6:$A$455,0))</f>
        <v>-73.6836146070451</v>
      </c>
      <c r="U381" s="54">
        <f>INDEX('Locations'!$D$6:$D$455,MATCH(C381,'Locations'!$A$6:$A$455,0))</f>
        <v>42.7308892303785</v>
      </c>
      <c r="V381" s="75">
        <f>INDEX('Locations'!$E$6:$E$455,MATCH(C381,'Locations'!$A$6:$A$455,0))</f>
        <v>-73.6842114708209</v>
      </c>
      <c r="W381" s="44"/>
    </row>
    <row r="382" ht="23.1" customHeight="1">
      <c r="A382" t="s" s="21">
        <v>992</v>
      </c>
      <c r="B382" t="s" s="45">
        <v>454</v>
      </c>
      <c r="C382" t="s" s="45">
        <v>455</v>
      </c>
      <c r="D382" t="s" s="45">
        <v>614</v>
      </c>
      <c r="E382" s="71">
        <f>2*6371000*ASIN(SQRT(MIN(1,SIN(RADIANS(U382-S382)/2)^2+COS(RADIANS(S382))*COS(RADIANS(U382))*SIN(RADIANS(V382-T382)/2)^2)))</f>
        <v>93.0615722433791</v>
      </c>
      <c r="F382" t="s" s="48">
        <v>70</v>
      </c>
      <c r="G382" t="s" s="48">
        <v>69</v>
      </c>
      <c r="H382" t="s" s="48">
        <v>69</v>
      </c>
      <c r="I382" t="s" s="48">
        <v>69</v>
      </c>
      <c r="J382" t="s" s="48">
        <v>69</v>
      </c>
      <c r="K382" s="72"/>
      <c r="L382" s="72"/>
      <c r="M382" s="50"/>
      <c r="N382" s="49"/>
      <c r="O382" s="50"/>
      <c r="P382" s="50"/>
      <c r="Q382" s="30">
        <v>378</v>
      </c>
      <c r="R382" s="61"/>
      <c r="S382" s="46">
        <f>INDEX('Locations'!$D$6:$D$455,MATCH(B382,'Locations'!$A$6:$A$455,0))</f>
        <v>42.7339365896736</v>
      </c>
      <c r="T382" s="46">
        <f>INDEX('Locations'!$E$6:$E$455,MATCH(B382,'Locations'!$A$6:$A$455,0))</f>
        <v>-73.68234925584061</v>
      </c>
      <c r="U382" s="46">
        <f>INDEX('Locations'!$D$6:$D$455,MATCH(C382,'Locations'!$A$6:$A$455,0))</f>
        <v>42.7337135841273</v>
      </c>
      <c r="V382" s="73">
        <f>INDEX('Locations'!$E$6:$E$455,MATCH(C382,'Locations'!$A$6:$A$455,0))</f>
        <v>-73.6834474851879</v>
      </c>
      <c r="W382" s="44"/>
    </row>
    <row r="383" ht="23.1" customHeight="1">
      <c r="A383" t="s" s="24">
        <v>993</v>
      </c>
      <c r="B383" t="s" s="53">
        <v>444</v>
      </c>
      <c r="C383" t="s" s="53">
        <v>456</v>
      </c>
      <c r="D383" t="s" s="53">
        <v>614</v>
      </c>
      <c r="E383" s="74">
        <f>2*6371000*ASIN(SQRT(MIN(1,SIN(RADIANS(U383-S383)/2)^2+COS(RADIANS(S383))*COS(RADIANS(U383))*SIN(RADIANS(V383-T383)/2)^2)))</f>
        <v>80.5371224090903</v>
      </c>
      <c r="F383" t="s" s="48">
        <v>70</v>
      </c>
      <c r="G383" t="s" s="48">
        <v>69</v>
      </c>
      <c r="H383" t="s" s="48">
        <v>69</v>
      </c>
      <c r="I383" t="s" s="48">
        <v>69</v>
      </c>
      <c r="J383" t="s" s="48">
        <v>69</v>
      </c>
      <c r="K383" s="72"/>
      <c r="L383" s="72"/>
      <c r="M383" s="50"/>
      <c r="N383" s="49"/>
      <c r="O383" s="50"/>
      <c r="P383" s="50"/>
      <c r="Q383" s="32">
        <v>379</v>
      </c>
      <c r="R383" s="64"/>
      <c r="S383" s="54">
        <f>INDEX('Locations'!$D$6:$D$455,MATCH(B383,'Locations'!$A$6:$A$455,0))</f>
        <v>42.7328801871115</v>
      </c>
      <c r="T383" s="54">
        <f>INDEX('Locations'!$E$6:$E$455,MATCH(B383,'Locations'!$A$6:$A$455,0))</f>
        <v>-73.68267394973461</v>
      </c>
      <c r="U383" s="54">
        <f>INDEX('Locations'!$D$6:$D$455,MATCH(C383,'Locations'!$A$6:$A$455,0))</f>
        <v>42.7330974450922</v>
      </c>
      <c r="V383" s="75">
        <f>INDEX('Locations'!$E$6:$E$455,MATCH(C383,'Locations'!$A$6:$A$455,0))</f>
        <v>-73.6836146070451</v>
      </c>
      <c r="W383" s="44"/>
    </row>
    <row r="384" ht="23.1" customHeight="1">
      <c r="A384" t="s" s="21">
        <v>994</v>
      </c>
      <c r="B384" t="s" s="45">
        <v>455</v>
      </c>
      <c r="C384" t="s" s="45">
        <v>456</v>
      </c>
      <c r="D384" t="s" s="45">
        <v>614</v>
      </c>
      <c r="E384" s="71">
        <f>2*6371000*ASIN(SQRT(MIN(1,SIN(RADIANS(U384-S384)/2)^2+COS(RADIANS(S384))*COS(RADIANS(U384))*SIN(RADIANS(V384-T384)/2)^2)))</f>
        <v>69.85802150148569</v>
      </c>
      <c r="F384" t="s" s="48">
        <v>70</v>
      </c>
      <c r="G384" t="s" s="48">
        <v>69</v>
      </c>
      <c r="H384" t="s" s="48">
        <v>69</v>
      </c>
      <c r="I384" t="s" s="48">
        <v>69</v>
      </c>
      <c r="J384" t="s" s="48">
        <v>69</v>
      </c>
      <c r="K384" s="72"/>
      <c r="L384" s="72"/>
      <c r="M384" s="50"/>
      <c r="N384" s="49"/>
      <c r="O384" s="50"/>
      <c r="P384" s="50"/>
      <c r="Q384" s="30">
        <v>380</v>
      </c>
      <c r="R384" s="61"/>
      <c r="S384" s="46">
        <f>INDEX('Locations'!$D$6:$D$455,MATCH(B384,'Locations'!$A$6:$A$455,0))</f>
        <v>42.7337135841273</v>
      </c>
      <c r="T384" s="46">
        <f>INDEX('Locations'!$E$6:$E$455,MATCH(B384,'Locations'!$A$6:$A$455,0))</f>
        <v>-73.6834474851879</v>
      </c>
      <c r="U384" s="46">
        <f>INDEX('Locations'!$D$6:$D$455,MATCH(C384,'Locations'!$A$6:$A$455,0))</f>
        <v>42.7330974450922</v>
      </c>
      <c r="V384" s="73">
        <f>INDEX('Locations'!$E$6:$E$455,MATCH(C384,'Locations'!$A$6:$A$455,0))</f>
        <v>-73.6836146070451</v>
      </c>
      <c r="W384" s="44"/>
    </row>
    <row r="385" ht="23.1" customHeight="1">
      <c r="A385" t="s" s="24">
        <v>995</v>
      </c>
      <c r="B385" t="s" s="53">
        <v>457</v>
      </c>
      <c r="C385" t="s" s="53">
        <v>459</v>
      </c>
      <c r="D385" t="s" s="53">
        <v>614</v>
      </c>
      <c r="E385" s="74">
        <f>2*6371000*ASIN(SQRT(MIN(1,SIN(RADIANS(U385-S385)/2)^2+COS(RADIANS(S385))*COS(RADIANS(U385))*SIN(RADIANS(V385-T385)/2)^2)))</f>
        <v>41.3373596750596</v>
      </c>
      <c r="F385" t="s" s="48">
        <v>70</v>
      </c>
      <c r="G385" t="s" s="48">
        <v>69</v>
      </c>
      <c r="H385" t="s" s="48">
        <v>69</v>
      </c>
      <c r="I385" t="s" s="48">
        <v>69</v>
      </c>
      <c r="J385" t="s" s="48">
        <v>69</v>
      </c>
      <c r="K385" s="72"/>
      <c r="L385" s="72"/>
      <c r="M385" s="50"/>
      <c r="N385" s="49"/>
      <c r="O385" s="50"/>
      <c r="P385" s="50"/>
      <c r="Q385" s="32">
        <v>381</v>
      </c>
      <c r="R385" s="64"/>
      <c r="S385" s="54">
        <f>INDEX('Locations'!$D$6:$D$455,MATCH(B385,'Locations'!$A$6:$A$455,0))</f>
        <v>42.7308892303785</v>
      </c>
      <c r="T385" s="54">
        <f>INDEX('Locations'!$E$6:$E$455,MATCH(B385,'Locations'!$A$6:$A$455,0))</f>
        <v>-73.6842114708209</v>
      </c>
      <c r="U385" s="54">
        <f>INDEX('Locations'!$D$6:$D$455,MATCH(C385,'Locations'!$A$6:$A$455,0))</f>
        <v>42.7305294327702</v>
      </c>
      <c r="V385" s="75">
        <f>INDEX('Locations'!$E$6:$E$455,MATCH(C385,'Locations'!$A$6:$A$455,0))</f>
        <v>-73.68433880175969</v>
      </c>
      <c r="W385" s="44"/>
    </row>
    <row r="386" ht="23.1" customHeight="1">
      <c r="A386" t="s" s="21">
        <v>996</v>
      </c>
      <c r="B386" t="s" s="45">
        <v>377</v>
      </c>
      <c r="C386" t="s" s="45">
        <v>459</v>
      </c>
      <c r="D386" t="s" s="45">
        <v>614</v>
      </c>
      <c r="E386" s="71">
        <f>2*6371000*ASIN(SQRT(MIN(1,SIN(RADIANS(U386-S386)/2)^2+COS(RADIANS(S386))*COS(RADIANS(U386))*SIN(RADIANS(V386-T386)/2)^2)))</f>
        <v>31.2109377715167</v>
      </c>
      <c r="F386" t="s" s="48">
        <v>70</v>
      </c>
      <c r="G386" t="s" s="48">
        <v>69</v>
      </c>
      <c r="H386" t="s" s="48">
        <v>69</v>
      </c>
      <c r="I386" t="s" s="48">
        <v>69</v>
      </c>
      <c r="J386" t="s" s="48">
        <v>69</v>
      </c>
      <c r="K386" s="72"/>
      <c r="L386" s="72"/>
      <c r="M386" s="50"/>
      <c r="N386" s="49"/>
      <c r="O386" s="50"/>
      <c r="P386" s="50"/>
      <c r="Q386" s="30">
        <v>382</v>
      </c>
      <c r="R386" s="61"/>
      <c r="S386" s="46">
        <f>INDEX('Locations'!$D$6:$D$455,MATCH(B386,'Locations'!$A$6:$A$455,0))</f>
        <v>42.7302512505939</v>
      </c>
      <c r="T386" s="46">
        <f>INDEX('Locations'!$E$6:$E$455,MATCH(B386,'Locations'!$A$6:$A$455,0))</f>
        <v>-73.68438973413519</v>
      </c>
      <c r="U386" s="46">
        <f>INDEX('Locations'!$D$6:$D$455,MATCH(C386,'Locations'!$A$6:$A$455,0))</f>
        <v>42.7305294327702</v>
      </c>
      <c r="V386" s="73">
        <f>INDEX('Locations'!$E$6:$E$455,MATCH(C386,'Locations'!$A$6:$A$455,0))</f>
        <v>-73.68433880175969</v>
      </c>
      <c r="W386" s="44"/>
    </row>
    <row r="387" ht="23.1" customHeight="1">
      <c r="A387" t="s" s="24">
        <v>997</v>
      </c>
      <c r="B387" t="s" s="53">
        <v>458</v>
      </c>
      <c r="C387" t="s" s="53">
        <v>459</v>
      </c>
      <c r="D387" t="s" s="53">
        <v>614</v>
      </c>
      <c r="E387" s="74">
        <f>2*6371000*ASIN(SQRT(MIN(1,SIN(RADIANS(U387-S387)/2)^2+COS(RADIANS(S387))*COS(RADIANS(U387))*SIN(RADIANS(V387-T387)/2)^2)))</f>
        <v>109.656307942218</v>
      </c>
      <c r="F387" t="s" s="48">
        <v>70</v>
      </c>
      <c r="G387" t="s" s="48">
        <v>69</v>
      </c>
      <c r="H387" t="s" s="48">
        <v>69</v>
      </c>
      <c r="I387" t="s" s="48">
        <v>69</v>
      </c>
      <c r="J387" t="s" s="48">
        <v>69</v>
      </c>
      <c r="K387" s="72"/>
      <c r="L387" s="72"/>
      <c r="M387" s="50"/>
      <c r="N387" s="49"/>
      <c r="O387" s="50"/>
      <c r="P387" s="50"/>
      <c r="Q387" s="32">
        <v>383</v>
      </c>
      <c r="R387" s="64"/>
      <c r="S387" s="54">
        <f>INDEX('Locations'!$D$6:$D$455,MATCH(B387,'Locations'!$A$6:$A$455,0))</f>
        <v>42.730619094794</v>
      </c>
      <c r="T387" s="54">
        <f>INDEX('Locations'!$E$6:$E$455,MATCH(B387,'Locations'!$A$6:$A$455,0))</f>
        <v>-73.6856757766173</v>
      </c>
      <c r="U387" s="54">
        <f>INDEX('Locations'!$D$6:$D$455,MATCH(C387,'Locations'!$A$6:$A$455,0))</f>
        <v>42.7305294327702</v>
      </c>
      <c r="V387" s="75">
        <f>INDEX('Locations'!$E$6:$E$455,MATCH(C387,'Locations'!$A$6:$A$455,0))</f>
        <v>-73.68433880175969</v>
      </c>
      <c r="W387" s="44"/>
    </row>
    <row r="388" ht="23.1" customHeight="1">
      <c r="A388" t="s" s="21">
        <v>998</v>
      </c>
      <c r="B388" t="s" s="45">
        <v>460</v>
      </c>
      <c r="C388" t="s" s="45">
        <v>87</v>
      </c>
      <c r="D388" t="s" s="45">
        <v>614</v>
      </c>
      <c r="E388" s="71">
        <f>2*6371000*ASIN(SQRT(MIN(1,SIN(RADIANS(U388-S388)/2)^2+COS(RADIANS(S388))*COS(RADIANS(U388))*SIN(RADIANS(V388-T388)/2)^2)))</f>
        <v>28.926742238343</v>
      </c>
      <c r="F388" t="s" s="48">
        <v>70</v>
      </c>
      <c r="G388" t="s" s="48">
        <v>69</v>
      </c>
      <c r="H388" t="s" s="48">
        <v>69</v>
      </c>
      <c r="I388" t="s" s="48">
        <v>69</v>
      </c>
      <c r="J388" t="s" s="48">
        <v>69</v>
      </c>
      <c r="K388" s="72"/>
      <c r="L388" s="72"/>
      <c r="M388" s="50"/>
      <c r="N388" s="49"/>
      <c r="O388" s="50"/>
      <c r="P388" s="50"/>
      <c r="Q388" s="30">
        <v>384</v>
      </c>
      <c r="R388" s="61"/>
      <c r="S388" s="46">
        <f>INDEX('Locations'!$D$6:$D$455,MATCH(B388,'Locations'!$A$6:$A$455,0))</f>
        <v>42.7313340919579</v>
      </c>
      <c r="T388" s="46">
        <f>INDEX('Locations'!$E$6:$E$455,MATCH(B388,'Locations'!$A$6:$A$455,0))</f>
        <v>-73.6855166129438</v>
      </c>
      <c r="U388" s="46">
        <f>INDEX('Locations'!$D$6:$D$455,MATCH(C388,'Locations'!$A$6:$A$455,0))</f>
        <v>42.731351135494</v>
      </c>
      <c r="V388" s="73">
        <f>INDEX('Locations'!$E$6:$E$455,MATCH(C388,'Locations'!$A$6:$A$455,0))</f>
        <v>-73.68587001002579</v>
      </c>
      <c r="W388" s="44"/>
    </row>
    <row r="389" ht="23.1" customHeight="1">
      <c r="A389" t="s" s="24">
        <v>999</v>
      </c>
      <c r="B389" t="s" s="53">
        <v>461</v>
      </c>
      <c r="C389" t="s" s="53">
        <v>460</v>
      </c>
      <c r="D389" t="s" s="53">
        <v>614</v>
      </c>
      <c r="E389" s="74">
        <f>2*6371000*ASIN(SQRT(MIN(1,SIN(RADIANS(U389-S389)/2)^2+COS(RADIANS(S389))*COS(RADIANS(U389))*SIN(RADIANS(V389-T389)/2)^2)))</f>
        <v>28.1312218858715</v>
      </c>
      <c r="F389" t="s" s="48">
        <v>70</v>
      </c>
      <c r="G389" t="s" s="48">
        <v>69</v>
      </c>
      <c r="H389" t="s" s="48">
        <v>69</v>
      </c>
      <c r="I389" t="s" s="48">
        <v>69</v>
      </c>
      <c r="J389" t="s" s="48">
        <v>69</v>
      </c>
      <c r="K389" s="72"/>
      <c r="L389" s="72"/>
      <c r="M389" s="50"/>
      <c r="N389" s="49"/>
      <c r="O389" s="50"/>
      <c r="P389" s="50"/>
      <c r="Q389" s="32">
        <v>385</v>
      </c>
      <c r="R389" s="64"/>
      <c r="S389" s="54">
        <f>INDEX('Locations'!$D$6:$D$455,MATCH(B389,'Locations'!$A$6:$A$455,0))</f>
        <v>42.7315869848455</v>
      </c>
      <c r="T389" s="54">
        <f>INDEX('Locations'!$E$6:$E$455,MATCH(B389,'Locations'!$A$6:$A$455,0))</f>
        <v>-73.68552616276421</v>
      </c>
      <c r="U389" s="54">
        <f>INDEX('Locations'!$D$6:$D$455,MATCH(C389,'Locations'!$A$6:$A$455,0))</f>
        <v>42.7313340919579</v>
      </c>
      <c r="V389" s="75">
        <f>INDEX('Locations'!$E$6:$E$455,MATCH(C389,'Locations'!$A$6:$A$455,0))</f>
        <v>-73.6855166129438</v>
      </c>
      <c r="W389" s="44"/>
    </row>
    <row r="390" ht="23.1" customHeight="1">
      <c r="A390" t="s" s="21">
        <v>1000</v>
      </c>
      <c r="B390" t="s" s="45">
        <v>464</v>
      </c>
      <c r="C390" t="s" s="45">
        <v>458</v>
      </c>
      <c r="D390" t="s" s="45">
        <v>614</v>
      </c>
      <c r="E390" s="71">
        <f>2*6371000*ASIN(SQRT(MIN(1,SIN(RADIANS(U390-S390)/2)^2+COS(RADIANS(S390))*COS(RADIANS(U390))*SIN(RADIANS(V390-T390)/2)^2)))</f>
        <v>59.867191428742</v>
      </c>
      <c r="F390" t="s" s="48">
        <v>70</v>
      </c>
      <c r="G390" t="s" s="48">
        <v>69</v>
      </c>
      <c r="H390" t="s" s="48">
        <v>69</v>
      </c>
      <c r="I390" t="s" s="48">
        <v>69</v>
      </c>
      <c r="J390" t="s" s="48">
        <v>69</v>
      </c>
      <c r="K390" s="72"/>
      <c r="L390" s="72"/>
      <c r="M390" s="50"/>
      <c r="N390" s="49"/>
      <c r="O390" s="50"/>
      <c r="P390" s="50"/>
      <c r="Q390" s="30">
        <v>386</v>
      </c>
      <c r="R390" s="61"/>
      <c r="S390" s="46">
        <f>INDEX('Locations'!$D$6:$D$455,MATCH(B390,'Locations'!$A$6:$A$455,0))</f>
        <v>42.7306443840828</v>
      </c>
      <c r="T390" s="46">
        <f>INDEX('Locations'!$E$6:$E$455,MATCH(B390,'Locations'!$A$6:$A$455,0))</f>
        <v>-73.6864079295155</v>
      </c>
      <c r="U390" s="46">
        <f>INDEX('Locations'!$D$6:$D$455,MATCH(C390,'Locations'!$A$6:$A$455,0))</f>
        <v>42.730619094794</v>
      </c>
      <c r="V390" s="73">
        <f>INDEX('Locations'!$E$6:$E$455,MATCH(C390,'Locations'!$A$6:$A$455,0))</f>
        <v>-73.6856757766173</v>
      </c>
      <c r="W390" s="44"/>
    </row>
    <row r="391" ht="23.1" customHeight="1">
      <c r="A391" t="s" s="24">
        <v>1001</v>
      </c>
      <c r="B391" t="s" s="53">
        <v>463</v>
      </c>
      <c r="C391" t="s" s="53">
        <v>464</v>
      </c>
      <c r="D391" t="s" s="53">
        <v>614</v>
      </c>
      <c r="E391" s="74">
        <f>2*6371000*ASIN(SQRT(MIN(1,SIN(RADIANS(U391-S391)/2)^2+COS(RADIANS(S391))*COS(RADIANS(U391))*SIN(RADIANS(V391-T391)/2)^2)))</f>
        <v>109.855558670893</v>
      </c>
      <c r="F391" t="s" s="48">
        <v>70</v>
      </c>
      <c r="G391" t="s" s="48">
        <v>69</v>
      </c>
      <c r="H391" t="s" s="48">
        <v>69</v>
      </c>
      <c r="I391" t="s" s="48">
        <v>69</v>
      </c>
      <c r="J391" t="s" s="48">
        <v>69</v>
      </c>
      <c r="K391" s="72"/>
      <c r="L391" s="72"/>
      <c r="M391" s="50"/>
      <c r="N391" s="49"/>
      <c r="O391" s="50"/>
      <c r="P391" s="50"/>
      <c r="Q391" s="32">
        <v>387</v>
      </c>
      <c r="R391" s="64"/>
      <c r="S391" s="54">
        <f>INDEX('Locations'!$D$6:$D$455,MATCH(B391,'Locations'!$A$6:$A$455,0))</f>
        <v>42.7316214702393</v>
      </c>
      <c r="T391" s="54">
        <f>INDEX('Locations'!$E$6:$E$455,MATCH(B391,'Locations'!$A$6:$A$455,0))</f>
        <v>-73.6862089749236</v>
      </c>
      <c r="U391" s="54">
        <f>INDEX('Locations'!$D$6:$D$455,MATCH(C391,'Locations'!$A$6:$A$455,0))</f>
        <v>42.7306443840828</v>
      </c>
      <c r="V391" s="75">
        <f>INDEX('Locations'!$E$6:$E$455,MATCH(C391,'Locations'!$A$6:$A$455,0))</f>
        <v>-73.6864079295155</v>
      </c>
      <c r="W391" s="44"/>
    </row>
    <row r="392" ht="23.1" customHeight="1">
      <c r="A392" t="s" s="21">
        <v>1002</v>
      </c>
      <c r="B392" t="s" s="45">
        <v>461</v>
      </c>
      <c r="C392" t="s" s="45">
        <v>463</v>
      </c>
      <c r="D392" t="s" s="45">
        <v>614</v>
      </c>
      <c r="E392" s="71">
        <f>2*6371000*ASIN(SQRT(MIN(1,SIN(RADIANS(U392-S392)/2)^2+COS(RADIANS(S392))*COS(RADIANS(U392))*SIN(RADIANS(V392-T392)/2)^2)))</f>
        <v>55.9018357164302</v>
      </c>
      <c r="F392" t="s" s="48">
        <v>70</v>
      </c>
      <c r="G392" t="s" s="48">
        <v>69</v>
      </c>
      <c r="H392" t="s" s="48">
        <v>69</v>
      </c>
      <c r="I392" t="s" s="48">
        <v>69</v>
      </c>
      <c r="J392" t="s" s="48">
        <v>69</v>
      </c>
      <c r="K392" s="72"/>
      <c r="L392" s="72"/>
      <c r="M392" s="50"/>
      <c r="N392" s="49"/>
      <c r="O392" s="50"/>
      <c r="P392" s="50"/>
      <c r="Q392" s="30">
        <v>388</v>
      </c>
      <c r="R392" s="61"/>
      <c r="S392" s="46">
        <f>INDEX('Locations'!$D$6:$D$455,MATCH(B392,'Locations'!$A$6:$A$455,0))</f>
        <v>42.7315869848455</v>
      </c>
      <c r="T392" s="46">
        <f>INDEX('Locations'!$E$6:$E$455,MATCH(B392,'Locations'!$A$6:$A$455,0))</f>
        <v>-73.68552616276421</v>
      </c>
      <c r="U392" s="46">
        <f>INDEX('Locations'!$D$6:$D$455,MATCH(C392,'Locations'!$A$6:$A$455,0))</f>
        <v>42.7316214702393</v>
      </c>
      <c r="V392" s="73">
        <f>INDEX('Locations'!$E$6:$E$455,MATCH(C392,'Locations'!$A$6:$A$455,0))</f>
        <v>-73.6862089749236</v>
      </c>
      <c r="W392" s="44"/>
    </row>
    <row r="393" ht="23.1" customHeight="1">
      <c r="A393" t="s" s="24">
        <v>1003</v>
      </c>
      <c r="B393" t="s" s="53">
        <v>460</v>
      </c>
      <c r="C393" t="s" s="53">
        <v>458</v>
      </c>
      <c r="D393" t="s" s="53">
        <v>614</v>
      </c>
      <c r="E393" s="74">
        <f>2*6371000*ASIN(SQRT(MIN(1,SIN(RADIANS(U393-S393)/2)^2+COS(RADIANS(S393))*COS(RADIANS(U393))*SIN(RADIANS(V393-T393)/2)^2)))</f>
        <v>80.5599125969016</v>
      </c>
      <c r="F393" t="s" s="48">
        <v>70</v>
      </c>
      <c r="G393" t="s" s="48">
        <v>69</v>
      </c>
      <c r="H393" t="s" s="48">
        <v>69</v>
      </c>
      <c r="I393" t="s" s="48">
        <v>69</v>
      </c>
      <c r="J393" t="s" s="48">
        <v>69</v>
      </c>
      <c r="K393" s="72"/>
      <c r="L393" s="72"/>
      <c r="M393" s="50"/>
      <c r="N393" s="49"/>
      <c r="O393" s="50"/>
      <c r="P393" s="50"/>
      <c r="Q393" s="32">
        <v>389</v>
      </c>
      <c r="R393" s="64"/>
      <c r="S393" s="54">
        <f>INDEX('Locations'!$D$6:$D$455,MATCH(B393,'Locations'!$A$6:$A$455,0))</f>
        <v>42.7313340919579</v>
      </c>
      <c r="T393" s="54">
        <f>INDEX('Locations'!$E$6:$E$455,MATCH(B393,'Locations'!$A$6:$A$455,0))</f>
        <v>-73.6855166129438</v>
      </c>
      <c r="U393" s="54">
        <f>INDEX('Locations'!$D$6:$D$455,MATCH(C393,'Locations'!$A$6:$A$455,0))</f>
        <v>42.730619094794</v>
      </c>
      <c r="V393" s="75">
        <f>INDEX('Locations'!$E$6:$E$455,MATCH(C393,'Locations'!$A$6:$A$455,0))</f>
        <v>-73.6856757766173</v>
      </c>
      <c r="W393" s="44"/>
    </row>
    <row r="394" ht="23.1" customHeight="1">
      <c r="A394" t="s" s="21">
        <v>1004</v>
      </c>
      <c r="B394" t="s" s="45">
        <v>462</v>
      </c>
      <c r="C394" t="s" s="45">
        <v>463</v>
      </c>
      <c r="D394" t="s" s="45">
        <v>614</v>
      </c>
      <c r="E394" s="71">
        <f>2*6371000*ASIN(SQRT(MIN(1,SIN(RADIANS(U394-S394)/2)^2+COS(RADIANS(S394))*COS(RADIANS(U394))*SIN(RADIANS(V394-T394)/2)^2)))</f>
        <v>25.4131456310424</v>
      </c>
      <c r="F394" t="s" s="48">
        <v>70</v>
      </c>
      <c r="G394" t="s" s="48">
        <v>69</v>
      </c>
      <c r="H394" t="s" s="48">
        <v>69</v>
      </c>
      <c r="I394" t="s" s="48">
        <v>69</v>
      </c>
      <c r="J394" t="s" s="48">
        <v>69</v>
      </c>
      <c r="K394" s="72"/>
      <c r="L394" s="72"/>
      <c r="M394" s="50"/>
      <c r="N394" s="49"/>
      <c r="O394" s="50"/>
      <c r="P394" s="50"/>
      <c r="Q394" s="30">
        <v>390</v>
      </c>
      <c r="R394" s="61"/>
      <c r="S394" s="46">
        <f>INDEX('Locations'!$D$6:$D$455,MATCH(B394,'Locations'!$A$6:$A$455,0))</f>
        <v>42.731637563423</v>
      </c>
      <c r="T394" s="46">
        <f>INDEX('Locations'!$E$6:$E$455,MATCH(B394,'Locations'!$A$6:$A$455,0))</f>
        <v>-73.686519344087</v>
      </c>
      <c r="U394" s="46">
        <f>INDEX('Locations'!$D$6:$D$455,MATCH(C394,'Locations'!$A$6:$A$455,0))</f>
        <v>42.7316214702393</v>
      </c>
      <c r="V394" s="73">
        <f>INDEX('Locations'!$E$6:$E$455,MATCH(C394,'Locations'!$A$6:$A$455,0))</f>
        <v>-73.6862089749236</v>
      </c>
      <c r="W394" s="44"/>
    </row>
    <row r="395" ht="23.1" customHeight="1">
      <c r="A395" t="s" s="24">
        <v>1005</v>
      </c>
      <c r="B395" t="s" s="53">
        <v>465</v>
      </c>
      <c r="C395" t="s" s="53">
        <v>462</v>
      </c>
      <c r="D395" t="s" s="53">
        <v>614</v>
      </c>
      <c r="E395" s="74">
        <f>2*6371000*ASIN(SQRT(MIN(1,SIN(RADIANS(U395-S395)/2)^2+COS(RADIANS(S395))*COS(RADIANS(U395))*SIN(RADIANS(V395-T395)/2)^2)))</f>
        <v>227.048870704383</v>
      </c>
      <c r="F395" t="s" s="48">
        <v>70</v>
      </c>
      <c r="G395" t="s" s="48">
        <v>69</v>
      </c>
      <c r="H395" t="s" s="48">
        <v>69</v>
      </c>
      <c r="I395" t="s" s="48">
        <v>69</v>
      </c>
      <c r="J395" t="s" s="48">
        <v>69</v>
      </c>
      <c r="K395" s="72"/>
      <c r="L395" s="72"/>
      <c r="M395" s="50"/>
      <c r="N395" s="49"/>
      <c r="O395" s="50"/>
      <c r="P395" s="50"/>
      <c r="Q395" s="32">
        <v>391</v>
      </c>
      <c r="R395" s="64"/>
      <c r="S395" s="54">
        <f>INDEX('Locations'!$D$6:$D$455,MATCH(B395,'Locations'!$A$6:$A$455,0))</f>
        <v>42.7336331182086</v>
      </c>
      <c r="T395" s="54">
        <f>INDEX('Locations'!$E$6:$E$455,MATCH(B395,'Locations'!$A$6:$A$455,0))</f>
        <v>-73.68593043849491</v>
      </c>
      <c r="U395" s="54">
        <f>INDEX('Locations'!$D$6:$D$455,MATCH(C395,'Locations'!$A$6:$A$455,0))</f>
        <v>42.731637563423</v>
      </c>
      <c r="V395" s="75">
        <f>INDEX('Locations'!$E$6:$E$455,MATCH(C395,'Locations'!$A$6:$A$455,0))</f>
        <v>-73.686519344087</v>
      </c>
      <c r="W395" s="44"/>
    </row>
    <row r="396" ht="23.1" customHeight="1">
      <c r="A396" t="s" s="21">
        <v>1006</v>
      </c>
      <c r="B396" t="s" s="45">
        <v>455</v>
      </c>
      <c r="C396" t="s" s="45">
        <v>466</v>
      </c>
      <c r="D396" t="s" s="45">
        <v>614</v>
      </c>
      <c r="E396" s="71">
        <f>2*6371000*ASIN(SQRT(MIN(1,SIN(RADIANS(U396-S396)/2)^2+COS(RADIANS(S396))*COS(RADIANS(U396))*SIN(RADIANS(V396-T396)/2)^2)))</f>
        <v>122.964605742264</v>
      </c>
      <c r="F396" t="s" s="48">
        <v>70</v>
      </c>
      <c r="G396" t="s" s="48">
        <v>69</v>
      </c>
      <c r="H396" t="s" s="48">
        <v>69</v>
      </c>
      <c r="I396" t="s" s="48">
        <v>69</v>
      </c>
      <c r="J396" t="s" s="48">
        <v>69</v>
      </c>
      <c r="K396" s="72"/>
      <c r="L396" s="72"/>
      <c r="M396" s="50"/>
      <c r="N396" s="49"/>
      <c r="O396" s="50"/>
      <c r="P396" s="50"/>
      <c r="Q396" s="30">
        <v>392</v>
      </c>
      <c r="R396" s="61"/>
      <c r="S396" s="46">
        <f>INDEX('Locations'!$D$6:$D$455,MATCH(B396,'Locations'!$A$6:$A$455,0))</f>
        <v>42.7337135841273</v>
      </c>
      <c r="T396" s="46">
        <f>INDEX('Locations'!$E$6:$E$455,MATCH(B396,'Locations'!$A$6:$A$455,0))</f>
        <v>-73.6834474851879</v>
      </c>
      <c r="U396" s="46">
        <f>INDEX('Locations'!$D$6:$D$455,MATCH(C396,'Locations'!$A$6:$A$455,0))</f>
        <v>42.7334377009773</v>
      </c>
      <c r="V396" s="73">
        <f>INDEX('Locations'!$E$6:$E$455,MATCH(C396,'Locations'!$A$6:$A$455,0))</f>
        <v>-73.6849054244374</v>
      </c>
      <c r="W396" s="44"/>
    </row>
    <row r="397" ht="23.1" customHeight="1">
      <c r="A397" t="s" s="24">
        <v>1007</v>
      </c>
      <c r="B397" t="s" s="53">
        <v>456</v>
      </c>
      <c r="C397" t="s" s="53">
        <v>466</v>
      </c>
      <c r="D397" t="s" s="53">
        <v>614</v>
      </c>
      <c r="E397" s="74">
        <f>2*6371000*ASIN(SQRT(MIN(1,SIN(RADIANS(U397-S397)/2)^2+COS(RADIANS(S397))*COS(RADIANS(U397))*SIN(RADIANS(V397-T397)/2)^2)))</f>
        <v>112.010804370451</v>
      </c>
      <c r="F397" t="s" s="48">
        <v>70</v>
      </c>
      <c r="G397" t="s" s="48">
        <v>69</v>
      </c>
      <c r="H397" t="s" s="48">
        <v>69</v>
      </c>
      <c r="I397" t="s" s="48">
        <v>69</v>
      </c>
      <c r="J397" t="s" s="48">
        <v>69</v>
      </c>
      <c r="K397" s="72"/>
      <c r="L397" s="72"/>
      <c r="M397" s="50"/>
      <c r="N397" s="49"/>
      <c r="O397" s="50"/>
      <c r="P397" s="50"/>
      <c r="Q397" s="32">
        <v>393</v>
      </c>
      <c r="R397" s="64"/>
      <c r="S397" s="54">
        <f>INDEX('Locations'!$D$6:$D$455,MATCH(B397,'Locations'!$A$6:$A$455,0))</f>
        <v>42.7330974450922</v>
      </c>
      <c r="T397" s="54">
        <f>INDEX('Locations'!$E$6:$E$455,MATCH(B397,'Locations'!$A$6:$A$455,0))</f>
        <v>-73.6836146070451</v>
      </c>
      <c r="U397" s="54">
        <f>INDEX('Locations'!$D$6:$D$455,MATCH(C397,'Locations'!$A$6:$A$455,0))</f>
        <v>42.7334377009773</v>
      </c>
      <c r="V397" s="75">
        <f>INDEX('Locations'!$E$6:$E$455,MATCH(C397,'Locations'!$A$6:$A$455,0))</f>
        <v>-73.6849054244374</v>
      </c>
      <c r="W397" s="44"/>
    </row>
    <row r="398" ht="23.1" customHeight="1">
      <c r="A398" t="s" s="21">
        <v>1008</v>
      </c>
      <c r="B398" t="s" s="45">
        <v>465</v>
      </c>
      <c r="C398" t="s" s="45">
        <v>466</v>
      </c>
      <c r="D398" t="s" s="45">
        <v>614</v>
      </c>
      <c r="E398" s="71">
        <f>2*6371000*ASIN(SQRT(MIN(1,SIN(RADIANS(U398-S398)/2)^2+COS(RADIANS(S398))*COS(RADIANS(U398))*SIN(RADIANS(V398-T398)/2)^2)))</f>
        <v>86.4916753073278</v>
      </c>
      <c r="F398" t="s" s="48">
        <v>70</v>
      </c>
      <c r="G398" t="s" s="48">
        <v>69</v>
      </c>
      <c r="H398" t="s" s="48">
        <v>69</v>
      </c>
      <c r="I398" t="s" s="48">
        <v>69</v>
      </c>
      <c r="J398" t="s" s="48">
        <v>69</v>
      </c>
      <c r="K398" s="72"/>
      <c r="L398" s="72"/>
      <c r="M398" s="50"/>
      <c r="N398" s="49"/>
      <c r="O398" s="50"/>
      <c r="P398" s="50"/>
      <c r="Q398" s="30">
        <v>394</v>
      </c>
      <c r="R398" s="61"/>
      <c r="S398" s="46">
        <f>INDEX('Locations'!$D$6:$D$455,MATCH(B398,'Locations'!$A$6:$A$455,0))</f>
        <v>42.7336331182086</v>
      </c>
      <c r="T398" s="46">
        <f>INDEX('Locations'!$E$6:$E$455,MATCH(B398,'Locations'!$A$6:$A$455,0))</f>
        <v>-73.68593043849491</v>
      </c>
      <c r="U398" s="46">
        <f>INDEX('Locations'!$D$6:$D$455,MATCH(C398,'Locations'!$A$6:$A$455,0))</f>
        <v>42.7334377009773</v>
      </c>
      <c r="V398" s="73">
        <f>INDEX('Locations'!$E$6:$E$455,MATCH(C398,'Locations'!$A$6:$A$455,0))</f>
        <v>-73.6849054244374</v>
      </c>
      <c r="W398" s="44"/>
    </row>
    <row r="399" ht="23.1" customHeight="1">
      <c r="A399" t="s" s="24">
        <v>1009</v>
      </c>
      <c r="B399" t="s" s="53">
        <v>462</v>
      </c>
      <c r="C399" t="s" s="53">
        <v>469</v>
      </c>
      <c r="D399" t="s" s="53">
        <v>614</v>
      </c>
      <c r="E399" s="74">
        <f>2*6371000*ASIN(SQRT(MIN(1,SIN(RADIANS(U399-S399)/2)^2+COS(RADIANS(S399))*COS(RADIANS(U399))*SIN(RADIANS(V399-T399)/2)^2)))</f>
        <v>233.322415482027</v>
      </c>
      <c r="F399" t="s" s="48">
        <v>70</v>
      </c>
      <c r="G399" t="s" s="48">
        <v>69</v>
      </c>
      <c r="H399" t="s" s="48">
        <v>69</v>
      </c>
      <c r="I399" t="s" s="48">
        <v>69</v>
      </c>
      <c r="J399" t="s" s="48">
        <v>69</v>
      </c>
      <c r="K399" s="72"/>
      <c r="L399" s="72"/>
      <c r="M399" s="50"/>
      <c r="N399" s="49"/>
      <c r="O399" s="50"/>
      <c r="P399" s="50"/>
      <c r="Q399" s="32">
        <v>395</v>
      </c>
      <c r="R399" s="64"/>
      <c r="S399" s="54">
        <f>INDEX('Locations'!$D$6:$D$455,MATCH(B399,'Locations'!$A$6:$A$455,0))</f>
        <v>42.731637563423</v>
      </c>
      <c r="T399" s="54">
        <f>INDEX('Locations'!$E$6:$E$455,MATCH(B399,'Locations'!$A$6:$A$455,0))</f>
        <v>-73.686519344087</v>
      </c>
      <c r="U399" s="54">
        <f>INDEX('Locations'!$D$6:$D$455,MATCH(C399,'Locations'!$A$6:$A$455,0))</f>
        <v>42.729563841745</v>
      </c>
      <c r="V399" s="75">
        <f>INDEX('Locations'!$E$6:$E$455,MATCH(C399,'Locations'!$A$6:$A$455,0))</f>
        <v>-73.6869554525525</v>
      </c>
      <c r="W399" s="44"/>
    </row>
    <row r="400" ht="23.1" customHeight="1">
      <c r="A400" t="s" s="21">
        <v>1010</v>
      </c>
      <c r="B400" t="s" s="45">
        <v>468</v>
      </c>
      <c r="C400" t="s" s="45">
        <v>469</v>
      </c>
      <c r="D400" t="s" s="45">
        <v>614</v>
      </c>
      <c r="E400" s="71">
        <f>2*6371000*ASIN(SQRT(MIN(1,SIN(RADIANS(U400-S400)/2)^2+COS(RADIANS(S400))*COS(RADIANS(U400))*SIN(RADIANS(V400-T400)/2)^2)))</f>
        <v>68.8002575270972</v>
      </c>
      <c r="F400" t="s" s="48">
        <v>70</v>
      </c>
      <c r="G400" t="s" s="48">
        <v>69</v>
      </c>
      <c r="H400" t="s" s="48">
        <v>69</v>
      </c>
      <c r="I400" t="s" s="48">
        <v>69</v>
      </c>
      <c r="J400" t="s" s="48">
        <v>69</v>
      </c>
      <c r="K400" s="72"/>
      <c r="L400" s="72"/>
      <c r="M400" s="50"/>
      <c r="N400" s="49"/>
      <c r="O400" s="50"/>
      <c r="P400" s="50"/>
      <c r="Q400" s="30">
        <v>396</v>
      </c>
      <c r="R400" s="61"/>
      <c r="S400" s="46">
        <f>INDEX('Locations'!$D$6:$D$455,MATCH(B400,'Locations'!$A$6:$A$455,0))</f>
        <v>42.7294488904324</v>
      </c>
      <c r="T400" s="46">
        <f>INDEX('Locations'!$E$6:$E$455,MATCH(B400,'Locations'!$A$6:$A$455,0))</f>
        <v>-73.6861278014501</v>
      </c>
      <c r="U400" s="46">
        <f>INDEX('Locations'!$D$6:$D$455,MATCH(C400,'Locations'!$A$6:$A$455,0))</f>
        <v>42.729563841745</v>
      </c>
      <c r="V400" s="73">
        <f>INDEX('Locations'!$E$6:$E$455,MATCH(C400,'Locations'!$A$6:$A$455,0))</f>
        <v>-73.6869554525525</v>
      </c>
      <c r="W400" s="44"/>
    </row>
    <row r="401" ht="23.1" customHeight="1">
      <c r="A401" t="s" s="24">
        <v>1011</v>
      </c>
      <c r="B401" t="s" s="53">
        <v>467</v>
      </c>
      <c r="C401" t="s" s="53">
        <v>469</v>
      </c>
      <c r="D401" t="s" s="53">
        <v>614</v>
      </c>
      <c r="E401" s="74">
        <f>2*6371000*ASIN(SQRT(MIN(1,SIN(RADIANS(U401-S401)/2)^2+COS(RADIANS(S401))*COS(RADIANS(U401))*SIN(RADIANS(V401-T401)/2)^2)))</f>
        <v>136.998712401251</v>
      </c>
      <c r="F401" t="s" s="48">
        <v>70</v>
      </c>
      <c r="G401" t="s" s="48">
        <v>69</v>
      </c>
      <c r="H401" t="s" s="48">
        <v>69</v>
      </c>
      <c r="I401" t="s" s="48">
        <v>69</v>
      </c>
      <c r="J401" t="s" s="48">
        <v>69</v>
      </c>
      <c r="K401" s="72"/>
      <c r="L401" s="72"/>
      <c r="M401" s="50"/>
      <c r="N401" s="49"/>
      <c r="O401" s="50"/>
      <c r="P401" s="50"/>
      <c r="Q401" s="32">
        <v>397</v>
      </c>
      <c r="R401" s="64"/>
      <c r="S401" s="54">
        <f>INDEX('Locations'!$D$6:$D$455,MATCH(B401,'Locations'!$A$6:$A$455,0))</f>
        <v>42.7283453578322</v>
      </c>
      <c r="T401" s="54">
        <f>INDEX('Locations'!$E$6:$E$455,MATCH(B401,'Locations'!$A$6:$A$455,0))</f>
        <v>-73.6872037478831</v>
      </c>
      <c r="U401" s="54">
        <f>INDEX('Locations'!$D$6:$D$455,MATCH(C401,'Locations'!$A$6:$A$455,0))</f>
        <v>42.729563841745</v>
      </c>
      <c r="V401" s="75">
        <f>INDEX('Locations'!$E$6:$E$455,MATCH(C401,'Locations'!$A$6:$A$455,0))</f>
        <v>-73.6869554525525</v>
      </c>
      <c r="W401" s="44"/>
    </row>
    <row r="402" ht="23.1" customHeight="1">
      <c r="A402" t="s" s="21">
        <v>1012</v>
      </c>
      <c r="B402" t="s" s="45">
        <v>445</v>
      </c>
      <c r="C402" t="s" s="45">
        <v>471</v>
      </c>
      <c r="D402" t="s" s="45">
        <v>614</v>
      </c>
      <c r="E402" s="71">
        <f>2*6371000*ASIN(SQRT(MIN(1,SIN(RADIANS(U402-S402)/2)^2+COS(RADIANS(S402))*COS(RADIANS(U402))*SIN(RADIANS(V402-T402)/2)^2)))</f>
        <v>74.50902167727421</v>
      </c>
      <c r="F402" t="s" s="48">
        <v>70</v>
      </c>
      <c r="G402" t="s" s="48">
        <v>69</v>
      </c>
      <c r="H402" t="s" s="48">
        <v>69</v>
      </c>
      <c r="I402" t="s" s="48">
        <v>69</v>
      </c>
      <c r="J402" t="s" s="48">
        <v>69</v>
      </c>
      <c r="K402" s="72"/>
      <c r="L402" s="72"/>
      <c r="M402" s="50"/>
      <c r="N402" s="49"/>
      <c r="O402" s="50"/>
      <c r="P402" s="50"/>
      <c r="Q402" s="30">
        <v>398</v>
      </c>
      <c r="R402" s="61"/>
      <c r="S402" s="46">
        <f>INDEX('Locations'!$D$6:$D$455,MATCH(B402,'Locations'!$A$6:$A$455,0))</f>
        <v>42.7281269503383</v>
      </c>
      <c r="T402" s="46">
        <f>INDEX('Locations'!$E$6:$E$455,MATCH(B402,'Locations'!$A$6:$A$455,0))</f>
        <v>-73.6849754564538</v>
      </c>
      <c r="U402" s="46">
        <f>INDEX('Locations'!$D$6:$D$455,MATCH(C402,'Locations'!$A$6:$A$455,0))</f>
        <v>42.7274717278569</v>
      </c>
      <c r="V402" s="73">
        <f>INDEX('Locations'!$E$6:$E$455,MATCH(C402,'Locations'!$A$6:$A$455,0))</f>
        <v>-73.68516645286201</v>
      </c>
      <c r="W402" s="44"/>
    </row>
    <row r="403" ht="23.1" customHeight="1">
      <c r="A403" t="s" s="24">
        <v>1013</v>
      </c>
      <c r="B403" t="s" s="53">
        <v>467</v>
      </c>
      <c r="C403" t="s" s="53">
        <v>470</v>
      </c>
      <c r="D403" t="s" s="53">
        <v>614</v>
      </c>
      <c r="E403" s="74">
        <f>2*6371000*ASIN(SQRT(MIN(1,SIN(RADIANS(U403-S403)/2)^2+COS(RADIANS(S403))*COS(RADIANS(U403))*SIN(RADIANS(V403-T403)/2)^2)))</f>
        <v>57.9467717610905</v>
      </c>
      <c r="F403" t="s" s="48">
        <v>70</v>
      </c>
      <c r="G403" t="s" s="48">
        <v>69</v>
      </c>
      <c r="H403" t="s" s="48">
        <v>69</v>
      </c>
      <c r="I403" t="s" s="48">
        <v>69</v>
      </c>
      <c r="J403" t="s" s="48">
        <v>69</v>
      </c>
      <c r="K403" s="72"/>
      <c r="L403" s="72"/>
      <c r="M403" s="50"/>
      <c r="N403" s="49"/>
      <c r="O403" s="50"/>
      <c r="P403" s="50"/>
      <c r="Q403" s="32">
        <v>399</v>
      </c>
      <c r="R403" s="64"/>
      <c r="S403" s="54">
        <f>INDEX('Locations'!$D$6:$D$455,MATCH(B403,'Locations'!$A$6:$A$455,0))</f>
        <v>42.7283453578322</v>
      </c>
      <c r="T403" s="54">
        <f>INDEX('Locations'!$E$6:$E$455,MATCH(B403,'Locations'!$A$6:$A$455,0))</f>
        <v>-73.6872037478831</v>
      </c>
      <c r="U403" s="54">
        <f>INDEX('Locations'!$D$6:$D$455,MATCH(C403,'Locations'!$A$6:$A$455,0))</f>
        <v>42.7281154552071</v>
      </c>
      <c r="V403" s="75">
        <f>INDEX('Locations'!$E$6:$E$455,MATCH(C403,'Locations'!$A$6:$A$455,0))</f>
        <v>-73.686567093189</v>
      </c>
      <c r="W403" s="44"/>
    </row>
    <row r="404" ht="23.1" customHeight="1">
      <c r="A404" t="s" s="21">
        <v>1014</v>
      </c>
      <c r="B404" t="s" s="45">
        <v>472</v>
      </c>
      <c r="C404" t="s" s="45">
        <v>470</v>
      </c>
      <c r="D404" t="s" s="45">
        <v>614</v>
      </c>
      <c r="E404" s="71">
        <f>2*6371000*ASIN(SQRT(MIN(1,SIN(RADIANS(U404-S404)/2)^2+COS(RADIANS(S404))*COS(RADIANS(U404))*SIN(RADIANS(V404-T404)/2)^2)))</f>
        <v>54.0537760514819</v>
      </c>
      <c r="F404" t="s" s="48">
        <v>70</v>
      </c>
      <c r="G404" t="s" s="48">
        <v>69</v>
      </c>
      <c r="H404" t="s" s="48">
        <v>69</v>
      </c>
      <c r="I404" t="s" s="48">
        <v>69</v>
      </c>
      <c r="J404" t="s" s="48">
        <v>69</v>
      </c>
      <c r="K404" s="72"/>
      <c r="L404" s="72"/>
      <c r="M404" s="50"/>
      <c r="N404" s="49"/>
      <c r="O404" s="50"/>
      <c r="P404" s="50"/>
      <c r="Q404" s="30">
        <v>400</v>
      </c>
      <c r="R404" s="61"/>
      <c r="S404" s="46">
        <f>INDEX('Locations'!$D$6:$D$455,MATCH(B404,'Locations'!$A$6:$A$455,0))</f>
        <v>42.7278050866633</v>
      </c>
      <c r="T404" s="46">
        <f>INDEX('Locations'!$E$6:$E$455,MATCH(B404,'Locations'!$A$6:$A$455,0))</f>
        <v>-73.6860577694338</v>
      </c>
      <c r="U404" s="46">
        <f>INDEX('Locations'!$D$6:$D$455,MATCH(C404,'Locations'!$A$6:$A$455,0))</f>
        <v>42.7281154552071</v>
      </c>
      <c r="V404" s="73">
        <f>INDEX('Locations'!$E$6:$E$455,MATCH(C404,'Locations'!$A$6:$A$455,0))</f>
        <v>-73.686567093189</v>
      </c>
      <c r="W404" s="44"/>
    </row>
    <row r="405" ht="23.1" customHeight="1">
      <c r="A405" t="s" s="24">
        <v>1015</v>
      </c>
      <c r="B405" t="s" s="53">
        <v>471</v>
      </c>
      <c r="C405" t="s" s="53">
        <v>472</v>
      </c>
      <c r="D405" t="s" s="53">
        <v>614</v>
      </c>
      <c r="E405" s="74">
        <f>2*6371000*ASIN(SQRT(MIN(1,SIN(RADIANS(U405-S405)/2)^2+COS(RADIANS(S405))*COS(RADIANS(U405))*SIN(RADIANS(V405-T405)/2)^2)))</f>
        <v>81.6980484685967</v>
      </c>
      <c r="F405" t="s" s="48">
        <v>70</v>
      </c>
      <c r="G405" t="s" s="48">
        <v>69</v>
      </c>
      <c r="H405" t="s" s="48">
        <v>69</v>
      </c>
      <c r="I405" t="s" s="48">
        <v>69</v>
      </c>
      <c r="J405" t="s" s="48">
        <v>69</v>
      </c>
      <c r="K405" s="72"/>
      <c r="L405" s="72"/>
      <c r="M405" s="50"/>
      <c r="N405" s="49"/>
      <c r="O405" s="50"/>
      <c r="P405" s="50"/>
      <c r="Q405" s="32">
        <v>401</v>
      </c>
      <c r="R405" s="64"/>
      <c r="S405" s="54">
        <f>INDEX('Locations'!$D$6:$D$455,MATCH(B405,'Locations'!$A$6:$A$455,0))</f>
        <v>42.7274717278569</v>
      </c>
      <c r="T405" s="54">
        <f>INDEX('Locations'!$E$6:$E$455,MATCH(B405,'Locations'!$A$6:$A$455,0))</f>
        <v>-73.68516645286201</v>
      </c>
      <c r="U405" s="54">
        <f>INDEX('Locations'!$D$6:$D$455,MATCH(C405,'Locations'!$A$6:$A$455,0))</f>
        <v>42.7278050866633</v>
      </c>
      <c r="V405" s="75">
        <f>INDEX('Locations'!$E$6:$E$455,MATCH(C405,'Locations'!$A$6:$A$455,0))</f>
        <v>-73.6860577694338</v>
      </c>
      <c r="W405" s="44"/>
    </row>
    <row r="406" ht="23.1" customHeight="1">
      <c r="A406" t="s" s="21">
        <v>1016</v>
      </c>
      <c r="B406" t="s" s="45">
        <v>473</v>
      </c>
      <c r="C406" t="s" s="45">
        <v>474</v>
      </c>
      <c r="D406" t="s" s="45">
        <v>614</v>
      </c>
      <c r="E406" s="71">
        <f>2*6371000*ASIN(SQRT(MIN(1,SIN(RADIANS(U406-S406)/2)^2+COS(RADIANS(S406))*COS(RADIANS(U406))*SIN(RADIANS(V406-T406)/2)^2)))</f>
        <v>57.0401708031459</v>
      </c>
      <c r="F406" t="s" s="48">
        <v>70</v>
      </c>
      <c r="G406" t="s" s="48">
        <v>69</v>
      </c>
      <c r="H406" t="s" s="48">
        <v>69</v>
      </c>
      <c r="I406" t="s" s="48">
        <v>69</v>
      </c>
      <c r="J406" t="s" s="48">
        <v>69</v>
      </c>
      <c r="K406" s="72"/>
      <c r="L406" s="72"/>
      <c r="M406" s="50"/>
      <c r="N406" s="49"/>
      <c r="O406" s="50"/>
      <c r="P406" s="50"/>
      <c r="Q406" s="30">
        <v>402</v>
      </c>
      <c r="R406" s="61"/>
      <c r="S406" s="46">
        <f>INDEX('Locations'!$D$6:$D$455,MATCH(B406,'Locations'!$A$6:$A$455,0))</f>
        <v>42.733288264271</v>
      </c>
      <c r="T406" s="46">
        <f>INDEX('Locations'!$E$6:$E$455,MATCH(B406,'Locations'!$A$6:$A$455,0))</f>
        <v>-73.6784974949413</v>
      </c>
      <c r="U406" s="46">
        <f>INDEX('Locations'!$D$6:$D$455,MATCH(C406,'Locations'!$A$6:$A$455,0))</f>
        <v>42.7327847775221</v>
      </c>
      <c r="V406" s="73">
        <f>INDEX('Locations'!$E$6:$E$455,MATCH(C406,'Locations'!$A$6:$A$455,0))</f>
        <v>-73.67863119242701</v>
      </c>
      <c r="W406" s="44"/>
    </row>
    <row r="407" ht="23.1" customHeight="1">
      <c r="A407" t="s" s="24">
        <v>1017</v>
      </c>
      <c r="B407" t="s" s="53">
        <v>475</v>
      </c>
      <c r="C407" t="s" s="53">
        <v>479</v>
      </c>
      <c r="D407" t="s" s="53">
        <v>614</v>
      </c>
      <c r="E407" s="74">
        <f>2*6371000*ASIN(SQRT(MIN(1,SIN(RADIANS(U407-S407)/2)^2+COS(RADIANS(S407))*COS(RADIANS(U407))*SIN(RADIANS(V407-T407)/2)^2)))</f>
        <v>10.1468133331473</v>
      </c>
      <c r="F407" t="s" s="48">
        <v>70</v>
      </c>
      <c r="G407" t="s" s="48">
        <v>69</v>
      </c>
      <c r="H407" t="s" s="48">
        <v>69</v>
      </c>
      <c r="I407" t="s" s="48">
        <v>69</v>
      </c>
      <c r="J407" t="s" s="48">
        <v>69</v>
      </c>
      <c r="K407" s="72"/>
      <c r="L407" s="72"/>
      <c r="M407" s="50"/>
      <c r="N407" s="49"/>
      <c r="O407" s="50"/>
      <c r="P407" s="50"/>
      <c r="Q407" s="32">
        <v>403</v>
      </c>
      <c r="R407" s="64"/>
      <c r="S407" s="54">
        <f>INDEX('Locations'!$D$6:$D$455,MATCH(B407,'Locations'!$A$6:$A$455,0))</f>
        <v>42.7328434026915</v>
      </c>
      <c r="T407" s="54">
        <f>INDEX('Locations'!$E$6:$E$455,MATCH(B407,'Locations'!$A$6:$A$455,0))</f>
        <v>-73.67904979288841</v>
      </c>
      <c r="U407" s="54">
        <f>INDEX('Locations'!$D$6:$D$455,MATCH(C407,'Locations'!$A$6:$A$455,0))</f>
        <v>42.7328284590208</v>
      </c>
      <c r="V407" s="75">
        <f>INDEX('Locations'!$E$6:$E$455,MATCH(C407,'Locations'!$A$6:$A$455,0))</f>
        <v>-73.67892723685981</v>
      </c>
      <c r="W407" s="44"/>
    </row>
    <row r="408" ht="23.1" customHeight="1">
      <c r="A408" t="s" s="21">
        <v>1018</v>
      </c>
      <c r="B408" t="s" s="45">
        <v>474</v>
      </c>
      <c r="C408" t="s" s="45">
        <v>479</v>
      </c>
      <c r="D408" t="s" s="45">
        <v>614</v>
      </c>
      <c r="E408" s="71">
        <f>2*6371000*ASIN(SQRT(MIN(1,SIN(RADIANS(U408-S408)/2)^2+COS(RADIANS(S408))*COS(RADIANS(U408))*SIN(RADIANS(V408-T408)/2)^2)))</f>
        <v>24.6626267887483</v>
      </c>
      <c r="F408" t="s" s="48">
        <v>70</v>
      </c>
      <c r="G408" t="s" s="48">
        <v>69</v>
      </c>
      <c r="H408" t="s" s="48">
        <v>69</v>
      </c>
      <c r="I408" t="s" s="48">
        <v>69</v>
      </c>
      <c r="J408" t="s" s="48">
        <v>69</v>
      </c>
      <c r="K408" s="72"/>
      <c r="L408" s="72"/>
      <c r="M408" s="50"/>
      <c r="N408" s="49"/>
      <c r="O408" s="50"/>
      <c r="P408" s="50"/>
      <c r="Q408" s="30">
        <v>404</v>
      </c>
      <c r="R408" s="61"/>
      <c r="S408" s="46">
        <f>INDEX('Locations'!$D$6:$D$455,MATCH(B408,'Locations'!$A$6:$A$455,0))</f>
        <v>42.7327847775221</v>
      </c>
      <c r="T408" s="46">
        <f>INDEX('Locations'!$E$6:$E$455,MATCH(B408,'Locations'!$A$6:$A$455,0))</f>
        <v>-73.67863119242701</v>
      </c>
      <c r="U408" s="46">
        <f>INDEX('Locations'!$D$6:$D$455,MATCH(C408,'Locations'!$A$6:$A$455,0))</f>
        <v>42.7328284590208</v>
      </c>
      <c r="V408" s="73">
        <f>INDEX('Locations'!$E$6:$E$455,MATCH(C408,'Locations'!$A$6:$A$455,0))</f>
        <v>-73.67892723685981</v>
      </c>
      <c r="W408" s="44"/>
    </row>
    <row r="409" ht="23.1" customHeight="1">
      <c r="A409" t="s" s="24">
        <v>1019</v>
      </c>
      <c r="B409" t="s" s="53">
        <v>478</v>
      </c>
      <c r="C409" t="s" s="53">
        <v>479</v>
      </c>
      <c r="D409" t="s" s="53">
        <v>614</v>
      </c>
      <c r="E409" s="74">
        <f>2*6371000*ASIN(SQRT(MIN(1,SIN(RADIANS(U409-S409)/2)^2+COS(RADIANS(S409))*COS(RADIANS(U409))*SIN(RADIANS(V409-T409)/2)^2)))</f>
        <v>28.0690086663822</v>
      </c>
      <c r="F409" t="s" s="48">
        <v>70</v>
      </c>
      <c r="G409" t="s" s="48">
        <v>69</v>
      </c>
      <c r="H409" t="s" s="48">
        <v>69</v>
      </c>
      <c r="I409" t="s" s="48">
        <v>69</v>
      </c>
      <c r="J409" t="s" s="48">
        <v>69</v>
      </c>
      <c r="K409" s="72"/>
      <c r="L409" s="72"/>
      <c r="M409" s="50"/>
      <c r="N409" s="49"/>
      <c r="O409" s="50"/>
      <c r="P409" s="50"/>
      <c r="Q409" s="32">
        <v>405</v>
      </c>
      <c r="R409" s="64"/>
      <c r="S409" s="54">
        <f>INDEX('Locations'!$D$6:$D$455,MATCH(B409,'Locations'!$A$6:$A$455,0))</f>
        <v>42.7325778651595</v>
      </c>
      <c r="T409" s="54">
        <f>INDEX('Locations'!$E$6:$E$455,MATCH(B409,'Locations'!$A$6:$A$455,0))</f>
        <v>-73.6789686194149</v>
      </c>
      <c r="U409" s="54">
        <f>INDEX('Locations'!$D$6:$D$455,MATCH(C409,'Locations'!$A$6:$A$455,0))</f>
        <v>42.7328284590208</v>
      </c>
      <c r="V409" s="75">
        <f>INDEX('Locations'!$E$6:$E$455,MATCH(C409,'Locations'!$A$6:$A$455,0))</f>
        <v>-73.67892723685981</v>
      </c>
      <c r="W409" s="44"/>
    </row>
    <row r="410" ht="23.1" customHeight="1">
      <c r="A410" t="s" s="21">
        <v>1020</v>
      </c>
      <c r="B410" t="s" s="45">
        <v>477</v>
      </c>
      <c r="C410" t="s" s="45">
        <v>478</v>
      </c>
      <c r="D410" t="s" s="45">
        <v>614</v>
      </c>
      <c r="E410" s="71">
        <f>2*6371000*ASIN(SQRT(MIN(1,SIN(RADIANS(U410-S410)/2)^2+COS(RADIANS(S410))*COS(RADIANS(U410))*SIN(RADIANS(V410-T410)/2)^2)))</f>
        <v>35.6600649461866</v>
      </c>
      <c r="F410" t="s" s="48">
        <v>70</v>
      </c>
      <c r="G410" t="s" s="48">
        <v>69</v>
      </c>
      <c r="H410" t="s" s="48">
        <v>69</v>
      </c>
      <c r="I410" t="s" s="48">
        <v>69</v>
      </c>
      <c r="J410" t="s" s="48">
        <v>69</v>
      </c>
      <c r="K410" s="72"/>
      <c r="L410" s="72"/>
      <c r="M410" s="50"/>
      <c r="N410" s="49"/>
      <c r="O410" s="50"/>
      <c r="P410" s="50"/>
      <c r="Q410" s="30">
        <v>406</v>
      </c>
      <c r="R410" s="61"/>
      <c r="S410" s="46">
        <f>INDEX('Locations'!$D$6:$D$455,MATCH(B410,'Locations'!$A$6:$A$455,0))</f>
        <v>42.7327709833646</v>
      </c>
      <c r="T410" s="46">
        <f>INDEX('Locations'!$E$6:$E$455,MATCH(B410,'Locations'!$A$6:$A$455,0))</f>
        <v>-73.67931718785989</v>
      </c>
      <c r="U410" s="46">
        <f>INDEX('Locations'!$D$6:$D$455,MATCH(C410,'Locations'!$A$6:$A$455,0))</f>
        <v>42.7325778651595</v>
      </c>
      <c r="V410" s="73">
        <f>INDEX('Locations'!$E$6:$E$455,MATCH(C410,'Locations'!$A$6:$A$455,0))</f>
        <v>-73.6789686194149</v>
      </c>
      <c r="W410" s="44"/>
    </row>
    <row r="411" ht="23.1" customHeight="1">
      <c r="A411" t="s" s="24">
        <v>1021</v>
      </c>
      <c r="B411" t="s" s="53">
        <v>476</v>
      </c>
      <c r="C411" t="s" s="53">
        <v>477</v>
      </c>
      <c r="D411" t="s" s="53">
        <v>614</v>
      </c>
      <c r="E411" s="74">
        <f>2*6371000*ASIN(SQRT(MIN(1,SIN(RADIANS(U411-S411)/2)^2+COS(RADIANS(S411))*COS(RADIANS(U411))*SIN(RADIANS(V411-T411)/2)^2)))</f>
        <v>27.8686139289797</v>
      </c>
      <c r="F411" t="s" s="48">
        <v>70</v>
      </c>
      <c r="G411" t="s" s="48">
        <v>69</v>
      </c>
      <c r="H411" t="s" s="48">
        <v>69</v>
      </c>
      <c r="I411" t="s" s="48">
        <v>69</v>
      </c>
      <c r="J411" t="s" s="48">
        <v>69</v>
      </c>
      <c r="K411" s="72"/>
      <c r="L411" s="72"/>
      <c r="M411" s="50"/>
      <c r="N411" s="49"/>
      <c r="O411" s="50"/>
      <c r="P411" s="50"/>
      <c r="Q411" s="32">
        <v>407</v>
      </c>
      <c r="R411" s="64"/>
      <c r="S411" s="54">
        <f>INDEX('Locations'!$D$6:$D$455,MATCH(B411,'Locations'!$A$6:$A$455,0))</f>
        <v>42.7330066335553</v>
      </c>
      <c r="T411" s="54">
        <f>INDEX('Locations'!$E$6:$E$455,MATCH(B411,'Locations'!$A$6:$A$455,0))</f>
        <v>-73.6794333773416</v>
      </c>
      <c r="U411" s="54">
        <f>INDEX('Locations'!$D$6:$D$455,MATCH(C411,'Locations'!$A$6:$A$455,0))</f>
        <v>42.7327709833646</v>
      </c>
      <c r="V411" s="75">
        <f>INDEX('Locations'!$E$6:$E$455,MATCH(C411,'Locations'!$A$6:$A$455,0))</f>
        <v>-73.67931718785989</v>
      </c>
      <c r="W411" s="44"/>
    </row>
    <row r="412" ht="23.1" customHeight="1">
      <c r="A412" t="s" s="21">
        <v>1022</v>
      </c>
      <c r="B412" t="s" s="45">
        <v>475</v>
      </c>
      <c r="C412" t="s" s="45">
        <v>476</v>
      </c>
      <c r="D412" t="s" s="45">
        <v>614</v>
      </c>
      <c r="E412" s="71">
        <f>2*6371000*ASIN(SQRT(MIN(1,SIN(RADIANS(U412-S412)/2)^2+COS(RADIANS(S412))*COS(RADIANS(U412))*SIN(RADIANS(V412-T412)/2)^2)))</f>
        <v>36.2073396386373</v>
      </c>
      <c r="F412" t="s" s="48">
        <v>70</v>
      </c>
      <c r="G412" t="s" s="48">
        <v>69</v>
      </c>
      <c r="H412" t="s" s="48">
        <v>69</v>
      </c>
      <c r="I412" t="s" s="48">
        <v>69</v>
      </c>
      <c r="J412" t="s" s="48">
        <v>69</v>
      </c>
      <c r="K412" s="72"/>
      <c r="L412" s="72"/>
      <c r="M412" s="50"/>
      <c r="N412" s="49"/>
      <c r="O412" s="50"/>
      <c r="P412" s="50"/>
      <c r="Q412" s="30">
        <v>408</v>
      </c>
      <c r="R412" s="61"/>
      <c r="S412" s="46">
        <f>INDEX('Locations'!$D$6:$D$455,MATCH(B412,'Locations'!$A$6:$A$455,0))</f>
        <v>42.7328434026915</v>
      </c>
      <c r="T412" s="46">
        <f>INDEX('Locations'!$E$6:$E$455,MATCH(B412,'Locations'!$A$6:$A$455,0))</f>
        <v>-73.67904979288841</v>
      </c>
      <c r="U412" s="46">
        <f>INDEX('Locations'!$D$6:$D$455,MATCH(C412,'Locations'!$A$6:$A$455,0))</f>
        <v>42.7330066335553</v>
      </c>
      <c r="V412" s="73">
        <f>INDEX('Locations'!$E$6:$E$455,MATCH(C412,'Locations'!$A$6:$A$455,0))</f>
        <v>-73.6794333773416</v>
      </c>
      <c r="W412" s="44"/>
    </row>
    <row r="413" ht="23.1" customHeight="1">
      <c r="A413" t="s" s="24">
        <v>1023</v>
      </c>
      <c r="B413" t="s" s="53">
        <v>478</v>
      </c>
      <c r="C413" t="s" s="53">
        <v>131</v>
      </c>
      <c r="D413" t="s" s="53">
        <v>614</v>
      </c>
      <c r="E413" s="74">
        <f>2*6371000*ASIN(SQRT(MIN(1,SIN(RADIANS(U413-S413)/2)^2+COS(RADIANS(S413))*COS(RADIANS(U413))*SIN(RADIANS(V413-T413)/2)^2)))</f>
        <v>20.6372319694697</v>
      </c>
      <c r="F413" t="s" s="48">
        <v>70</v>
      </c>
      <c r="G413" t="s" s="48">
        <v>69</v>
      </c>
      <c r="H413" t="s" s="48">
        <v>69</v>
      </c>
      <c r="I413" t="s" s="48">
        <v>69</v>
      </c>
      <c r="J413" t="s" s="48">
        <v>69</v>
      </c>
      <c r="K413" s="72"/>
      <c r="L413" s="72"/>
      <c r="M413" s="50"/>
      <c r="N413" s="49"/>
      <c r="O413" s="50"/>
      <c r="P413" s="50"/>
      <c r="Q413" s="32">
        <v>409</v>
      </c>
      <c r="R413" s="64"/>
      <c r="S413" s="54">
        <f>INDEX('Locations'!$D$6:$D$455,MATCH(B413,'Locations'!$A$6:$A$455,0))</f>
        <v>42.7325778651595</v>
      </c>
      <c r="T413" s="54">
        <f>INDEX('Locations'!$E$6:$E$455,MATCH(B413,'Locations'!$A$6:$A$455,0))</f>
        <v>-73.6789686194149</v>
      </c>
      <c r="U413" s="54">
        <f>INDEX('Locations'!$D$6:$D$455,MATCH(C413,'Locations'!$A$6:$A$455,0))</f>
        <v>42.7326033187689</v>
      </c>
      <c r="V413" s="75">
        <f>INDEX('Locations'!$E$6:$E$455,MATCH(C413,'Locations'!$A$6:$A$455,0))</f>
        <v>-73.6792189042077</v>
      </c>
      <c r="W413" s="44"/>
    </row>
    <row r="414" ht="23.1" customHeight="1">
      <c r="A414" t="s" s="21">
        <v>1024</v>
      </c>
      <c r="B414" t="s" s="45">
        <v>449</v>
      </c>
      <c r="C414" t="s" s="45">
        <v>481</v>
      </c>
      <c r="D414" t="s" s="45">
        <v>614</v>
      </c>
      <c r="E414" s="71">
        <f>2*6371000*ASIN(SQRT(MIN(1,SIN(RADIANS(U414-S414)/2)^2+COS(RADIANS(S414))*COS(RADIANS(U414))*SIN(RADIANS(V414-T414)/2)^2)))</f>
        <v>41.1849771937919</v>
      </c>
      <c r="F414" t="s" s="48">
        <v>70</v>
      </c>
      <c r="G414" t="s" s="48">
        <v>69</v>
      </c>
      <c r="H414" t="s" s="48">
        <v>69</v>
      </c>
      <c r="I414" t="s" s="48">
        <v>69</v>
      </c>
      <c r="J414" t="s" s="48">
        <v>69</v>
      </c>
      <c r="K414" s="72"/>
      <c r="L414" s="72"/>
      <c r="M414" s="50"/>
      <c r="N414" s="49"/>
      <c r="O414" s="50"/>
      <c r="P414" s="50"/>
      <c r="Q414" s="30">
        <v>410</v>
      </c>
      <c r="R414" s="61"/>
      <c r="S414" s="46">
        <f>INDEX('Locations'!$D$6:$D$455,MATCH(B414,'Locations'!$A$6:$A$455,0))</f>
        <v>42.7334606912398</v>
      </c>
      <c r="T414" s="46">
        <f>INDEX('Locations'!$E$6:$E$455,MATCH(B414,'Locations'!$A$6:$A$455,0))</f>
        <v>-73.6795957242886</v>
      </c>
      <c r="U414" s="46">
        <f>INDEX('Locations'!$D$6:$D$455,MATCH(C414,'Locations'!$A$6:$A$455,0))</f>
        <v>42.7331112392497</v>
      </c>
      <c r="V414" s="73">
        <f>INDEX('Locations'!$E$6:$E$455,MATCH(C414,'Locations'!$A$6:$A$455,0))</f>
        <v>-73.67976284614581</v>
      </c>
      <c r="W414" s="44"/>
    </row>
    <row r="415" ht="23.1" customHeight="1">
      <c r="A415" t="s" s="24">
        <v>1025</v>
      </c>
      <c r="B415" t="s" s="53">
        <v>476</v>
      </c>
      <c r="C415" t="s" s="53">
        <v>481</v>
      </c>
      <c r="D415" t="s" s="53">
        <v>614</v>
      </c>
      <c r="E415" s="74">
        <f>2*6371000*ASIN(SQRT(MIN(1,SIN(RADIANS(U415-S415)/2)^2+COS(RADIANS(S415))*COS(RADIANS(U415))*SIN(RADIANS(V415-T415)/2)^2)))</f>
        <v>29.3157466886698</v>
      </c>
      <c r="F415" t="s" s="48">
        <v>70</v>
      </c>
      <c r="G415" t="s" s="48">
        <v>69</v>
      </c>
      <c r="H415" t="s" s="48">
        <v>69</v>
      </c>
      <c r="I415" t="s" s="48">
        <v>69</v>
      </c>
      <c r="J415" t="s" s="48">
        <v>69</v>
      </c>
      <c r="K415" s="72"/>
      <c r="L415" s="72"/>
      <c r="M415" s="50"/>
      <c r="N415" s="49"/>
      <c r="O415" s="50"/>
      <c r="P415" s="50"/>
      <c r="Q415" s="32">
        <v>411</v>
      </c>
      <c r="R415" s="64"/>
      <c r="S415" s="54">
        <f>INDEX('Locations'!$D$6:$D$455,MATCH(B415,'Locations'!$A$6:$A$455,0))</f>
        <v>42.7330066335553</v>
      </c>
      <c r="T415" s="54">
        <f>INDEX('Locations'!$E$6:$E$455,MATCH(B415,'Locations'!$A$6:$A$455,0))</f>
        <v>-73.6794333773416</v>
      </c>
      <c r="U415" s="54">
        <f>INDEX('Locations'!$D$6:$D$455,MATCH(C415,'Locations'!$A$6:$A$455,0))</f>
        <v>42.7331112392497</v>
      </c>
      <c r="V415" s="75">
        <f>INDEX('Locations'!$E$6:$E$455,MATCH(C415,'Locations'!$A$6:$A$455,0))</f>
        <v>-73.67976284614581</v>
      </c>
      <c r="W415" s="44"/>
    </row>
    <row r="416" ht="23.1" customHeight="1">
      <c r="A416" t="s" s="21">
        <v>1026</v>
      </c>
      <c r="B416" t="s" s="45">
        <v>448</v>
      </c>
      <c r="C416" t="s" s="45">
        <v>481</v>
      </c>
      <c r="D416" t="s" s="45">
        <v>614</v>
      </c>
      <c r="E416" s="71">
        <f>2*6371000*ASIN(SQRT(MIN(1,SIN(RADIANS(U416-S416)/2)^2+COS(RADIANS(S416))*COS(RADIANS(U416))*SIN(RADIANS(V416-T416)/2)^2)))</f>
        <v>32.9206139790096</v>
      </c>
      <c r="F416" t="s" s="48">
        <v>70</v>
      </c>
      <c r="G416" t="s" s="48">
        <v>69</v>
      </c>
      <c r="H416" t="s" s="48">
        <v>69</v>
      </c>
      <c r="I416" t="s" s="48">
        <v>69</v>
      </c>
      <c r="J416" t="s" s="48">
        <v>69</v>
      </c>
      <c r="K416" s="72"/>
      <c r="L416" s="72"/>
      <c r="M416" s="50"/>
      <c r="N416" s="49"/>
      <c r="O416" s="50"/>
      <c r="P416" s="50"/>
      <c r="Q416" s="30">
        <v>412</v>
      </c>
      <c r="R416" s="61"/>
      <c r="S416" s="46">
        <f>INDEX('Locations'!$D$6:$D$455,MATCH(B416,'Locations'!$A$6:$A$455,0))</f>
        <v>42.7328284590208</v>
      </c>
      <c r="T416" s="46">
        <f>INDEX('Locations'!$E$6:$E$455,MATCH(B416,'Locations'!$A$6:$A$455,0))</f>
        <v>-73.6798822189009</v>
      </c>
      <c r="U416" s="46">
        <f>INDEX('Locations'!$D$6:$D$455,MATCH(C416,'Locations'!$A$6:$A$455,0))</f>
        <v>42.7331112392497</v>
      </c>
      <c r="V416" s="73">
        <f>INDEX('Locations'!$E$6:$E$455,MATCH(C416,'Locations'!$A$6:$A$455,0))</f>
        <v>-73.67976284614581</v>
      </c>
      <c r="W416" s="44"/>
    </row>
    <row r="417" ht="23.1" customHeight="1">
      <c r="A417" t="s" s="24">
        <v>1027</v>
      </c>
      <c r="B417" t="s" s="53">
        <v>449</v>
      </c>
      <c r="C417" t="s" s="53">
        <v>480</v>
      </c>
      <c r="D417" t="s" s="53">
        <v>614</v>
      </c>
      <c r="E417" s="74">
        <f>2*6371000*ASIN(SQRT(MIN(1,SIN(RADIANS(U417-S417)/2)^2+COS(RADIANS(S417))*COS(RADIANS(U417))*SIN(RADIANS(V417-T417)/2)^2)))</f>
        <v>64.9681299610458</v>
      </c>
      <c r="F417" t="s" s="48">
        <v>70</v>
      </c>
      <c r="G417" t="s" s="48">
        <v>69</v>
      </c>
      <c r="H417" t="s" s="48">
        <v>69</v>
      </c>
      <c r="I417" t="s" s="48">
        <v>69</v>
      </c>
      <c r="J417" t="s" s="48">
        <v>69</v>
      </c>
      <c r="K417" s="72"/>
      <c r="L417" s="72"/>
      <c r="M417" s="50"/>
      <c r="N417" s="49"/>
      <c r="O417" s="50"/>
      <c r="P417" s="50"/>
      <c r="Q417" s="32">
        <v>413</v>
      </c>
      <c r="R417" s="64"/>
      <c r="S417" s="54">
        <f>INDEX('Locations'!$D$6:$D$455,MATCH(B417,'Locations'!$A$6:$A$455,0))</f>
        <v>42.7334606912398</v>
      </c>
      <c r="T417" s="54">
        <f>INDEX('Locations'!$E$6:$E$455,MATCH(B417,'Locations'!$A$6:$A$455,0))</f>
        <v>-73.6795957242886</v>
      </c>
      <c r="U417" s="54">
        <f>INDEX('Locations'!$D$6:$D$455,MATCH(C417,'Locations'!$A$6:$A$455,0))</f>
        <v>42.7333457399272</v>
      </c>
      <c r="V417" s="75">
        <f>INDEX('Locations'!$E$6:$E$455,MATCH(C417,'Locations'!$A$6:$A$455,0))</f>
        <v>-73.6788158222883</v>
      </c>
      <c r="W417" s="44"/>
    </row>
    <row r="418" ht="23.1" customHeight="1">
      <c r="A418" t="s" s="21">
        <v>1028</v>
      </c>
      <c r="B418" t="s" s="45">
        <v>473</v>
      </c>
      <c r="C418" t="s" s="45">
        <v>480</v>
      </c>
      <c r="D418" t="s" s="45">
        <v>614</v>
      </c>
      <c r="E418" s="71">
        <f>2*6371000*ASIN(SQRT(MIN(1,SIN(RADIANS(U418-S418)/2)^2+COS(RADIANS(S418))*COS(RADIANS(U418))*SIN(RADIANS(V418-T418)/2)^2)))</f>
        <v>26.7733358337514</v>
      </c>
      <c r="F418" t="s" s="48">
        <v>70</v>
      </c>
      <c r="G418" t="s" s="48">
        <v>69</v>
      </c>
      <c r="H418" t="s" s="48">
        <v>69</v>
      </c>
      <c r="I418" t="s" s="48">
        <v>69</v>
      </c>
      <c r="J418" t="s" s="48">
        <v>69</v>
      </c>
      <c r="K418" s="72"/>
      <c r="L418" s="72"/>
      <c r="M418" s="50"/>
      <c r="N418" s="49"/>
      <c r="O418" s="50"/>
      <c r="P418" s="50"/>
      <c r="Q418" s="30">
        <v>414</v>
      </c>
      <c r="R418" s="61"/>
      <c r="S418" s="46">
        <f>INDEX('Locations'!$D$6:$D$455,MATCH(B418,'Locations'!$A$6:$A$455,0))</f>
        <v>42.733288264271</v>
      </c>
      <c r="T418" s="46">
        <f>INDEX('Locations'!$E$6:$E$455,MATCH(B418,'Locations'!$A$6:$A$455,0))</f>
        <v>-73.6784974949413</v>
      </c>
      <c r="U418" s="46">
        <f>INDEX('Locations'!$D$6:$D$455,MATCH(C418,'Locations'!$A$6:$A$455,0))</f>
        <v>42.7333457399272</v>
      </c>
      <c r="V418" s="73">
        <f>INDEX('Locations'!$E$6:$E$455,MATCH(C418,'Locations'!$A$6:$A$455,0))</f>
        <v>-73.6788158222883</v>
      </c>
      <c r="W418" s="44"/>
    </row>
    <row r="419" ht="23.1" customHeight="1">
      <c r="A419" t="s" s="24">
        <v>1029</v>
      </c>
      <c r="B419" t="s" s="53">
        <v>479</v>
      </c>
      <c r="C419" t="s" s="53">
        <v>480</v>
      </c>
      <c r="D419" t="s" s="53">
        <v>614</v>
      </c>
      <c r="E419" s="74">
        <f>2*6371000*ASIN(SQRT(MIN(1,SIN(RADIANS(U419-S419)/2)^2+COS(RADIANS(S419))*COS(RADIANS(U419))*SIN(RADIANS(V419-T419)/2)^2)))</f>
        <v>58.2343825963421</v>
      </c>
      <c r="F419" t="s" s="48">
        <v>70</v>
      </c>
      <c r="G419" t="s" s="48">
        <v>69</v>
      </c>
      <c r="H419" t="s" s="48">
        <v>69</v>
      </c>
      <c r="I419" t="s" s="48">
        <v>69</v>
      </c>
      <c r="J419" t="s" s="48">
        <v>69</v>
      </c>
      <c r="K419" s="72"/>
      <c r="L419" s="72"/>
      <c r="M419" s="50"/>
      <c r="N419" s="49"/>
      <c r="O419" s="50"/>
      <c r="P419" s="50"/>
      <c r="Q419" s="32">
        <v>415</v>
      </c>
      <c r="R419" s="64"/>
      <c r="S419" s="54">
        <f>INDEX('Locations'!$D$6:$D$455,MATCH(B419,'Locations'!$A$6:$A$455,0))</f>
        <v>42.7328284590208</v>
      </c>
      <c r="T419" s="54">
        <f>INDEX('Locations'!$E$6:$E$455,MATCH(B419,'Locations'!$A$6:$A$455,0))</f>
        <v>-73.67892723685981</v>
      </c>
      <c r="U419" s="54">
        <f>INDEX('Locations'!$D$6:$D$455,MATCH(C419,'Locations'!$A$6:$A$455,0))</f>
        <v>42.7333457399272</v>
      </c>
      <c r="V419" s="75">
        <f>INDEX('Locations'!$E$6:$E$455,MATCH(C419,'Locations'!$A$6:$A$455,0))</f>
        <v>-73.6788158222883</v>
      </c>
      <c r="W419" s="44"/>
    </row>
    <row r="420" ht="23.1" customHeight="1">
      <c r="A420" t="s" s="21">
        <v>1030</v>
      </c>
      <c r="B420" t="s" s="45">
        <v>473</v>
      </c>
      <c r="C420" t="s" s="45">
        <v>485</v>
      </c>
      <c r="D420" t="s" s="45">
        <v>614</v>
      </c>
      <c r="E420" s="71">
        <f>2*6371000*ASIN(SQRT(MIN(1,SIN(RADIANS(U420-S420)/2)^2+COS(RADIANS(S420))*COS(RADIANS(U420))*SIN(RADIANS(V420-T420)/2)^2)))</f>
        <v>79.5339134491921</v>
      </c>
      <c r="F420" t="s" s="48">
        <v>70</v>
      </c>
      <c r="G420" t="s" s="48">
        <v>69</v>
      </c>
      <c r="H420" t="s" s="48">
        <v>69</v>
      </c>
      <c r="I420" t="s" s="48">
        <v>69</v>
      </c>
      <c r="J420" t="s" s="48">
        <v>69</v>
      </c>
      <c r="K420" s="72"/>
      <c r="L420" s="72"/>
      <c r="M420" s="50"/>
      <c r="N420" s="49"/>
      <c r="O420" s="50"/>
      <c r="P420" s="50"/>
      <c r="Q420" s="30">
        <v>416</v>
      </c>
      <c r="R420" s="61"/>
      <c r="S420" s="46">
        <f>INDEX('Locations'!$D$6:$D$455,MATCH(B420,'Locations'!$A$6:$A$455,0))</f>
        <v>42.733288264271</v>
      </c>
      <c r="T420" s="46">
        <f>INDEX('Locations'!$E$6:$E$455,MATCH(B420,'Locations'!$A$6:$A$455,0))</f>
        <v>-73.6784974949413</v>
      </c>
      <c r="U420" s="46">
        <f>INDEX('Locations'!$D$6:$D$455,MATCH(C420,'Locations'!$A$6:$A$455,0))</f>
        <v>42.7331606683141</v>
      </c>
      <c r="V420" s="73">
        <f>INDEX('Locations'!$E$6:$E$455,MATCH(C420,'Locations'!$A$6:$A$455,0))</f>
        <v>-73.6775393296266</v>
      </c>
      <c r="W420" s="44"/>
    </row>
    <row r="421" ht="23.1" customHeight="1">
      <c r="A421" t="s" s="24">
        <v>1031</v>
      </c>
      <c r="B421" t="s" s="53">
        <v>137</v>
      </c>
      <c r="C421" t="s" s="53">
        <v>484</v>
      </c>
      <c r="D421" t="s" s="53">
        <v>614</v>
      </c>
      <c r="E421" s="74">
        <f>2*6371000*ASIN(SQRT(MIN(1,SIN(RADIANS(U421-S421)/2)^2+COS(RADIANS(S421))*COS(RADIANS(U421))*SIN(RADIANS(V421-T421)/2)^2)))</f>
        <v>42.7114860203648</v>
      </c>
      <c r="F421" t="s" s="48">
        <v>70</v>
      </c>
      <c r="G421" t="s" s="48">
        <v>69</v>
      </c>
      <c r="H421" t="s" s="48">
        <v>69</v>
      </c>
      <c r="I421" t="s" s="48">
        <v>69</v>
      </c>
      <c r="J421" t="s" s="48">
        <v>69</v>
      </c>
      <c r="K421" s="72"/>
      <c r="L421" s="72"/>
      <c r="M421" s="50"/>
      <c r="N421" s="49"/>
      <c r="O421" s="50"/>
      <c r="P421" s="50"/>
      <c r="Q421" s="32">
        <v>417</v>
      </c>
      <c r="R421" s="64"/>
      <c r="S421" s="54">
        <f>INDEX('Locations'!$D$6:$D$455,MATCH(B421,'Locations'!$A$6:$A$455,0))</f>
        <v>42.7328920544551</v>
      </c>
      <c r="T421" s="54">
        <f>INDEX('Locations'!$E$6:$E$455,MATCH(B421,'Locations'!$A$6:$A$455,0))</f>
        <v>-73.678166768821</v>
      </c>
      <c r="U421" s="54">
        <f>INDEX('Locations'!$D$6:$D$455,MATCH(C421,'Locations'!$A$6:$A$455,0))</f>
        <v>42.7328744395459</v>
      </c>
      <c r="V421" s="75">
        <f>INDEX('Locations'!$E$6:$E$455,MATCH(C421,'Locations'!$A$6:$A$455,0))</f>
        <v>-73.67764437765121</v>
      </c>
      <c r="W421" s="44"/>
    </row>
    <row r="422" ht="23.1" customHeight="1">
      <c r="A422" t="s" s="21">
        <v>1032</v>
      </c>
      <c r="B422" t="s" s="45">
        <v>485</v>
      </c>
      <c r="C422" t="s" s="45">
        <v>484</v>
      </c>
      <c r="D422" t="s" s="45">
        <v>614</v>
      </c>
      <c r="E422" s="71">
        <f>2*6371000*ASIN(SQRT(MIN(1,SIN(RADIANS(U422-S422)/2)^2+COS(RADIANS(S422))*COS(RADIANS(U422))*SIN(RADIANS(V422-T422)/2)^2)))</f>
        <v>32.9633629969994</v>
      </c>
      <c r="F422" t="s" s="48">
        <v>70</v>
      </c>
      <c r="G422" t="s" s="48">
        <v>69</v>
      </c>
      <c r="H422" t="s" s="48">
        <v>69</v>
      </c>
      <c r="I422" t="s" s="48">
        <v>69</v>
      </c>
      <c r="J422" t="s" s="48">
        <v>69</v>
      </c>
      <c r="K422" s="72"/>
      <c r="L422" s="72"/>
      <c r="M422" s="50"/>
      <c r="N422" s="49"/>
      <c r="O422" s="50"/>
      <c r="P422" s="50"/>
      <c r="Q422" s="30">
        <v>418</v>
      </c>
      <c r="R422" s="61"/>
      <c r="S422" s="46">
        <f>INDEX('Locations'!$D$6:$D$455,MATCH(B422,'Locations'!$A$6:$A$455,0))</f>
        <v>42.7331606683141</v>
      </c>
      <c r="T422" s="46">
        <f>INDEX('Locations'!$E$6:$E$455,MATCH(B422,'Locations'!$A$6:$A$455,0))</f>
        <v>-73.6775393296266</v>
      </c>
      <c r="U422" s="46">
        <f>INDEX('Locations'!$D$6:$D$455,MATCH(C422,'Locations'!$A$6:$A$455,0))</f>
        <v>42.7328744395459</v>
      </c>
      <c r="V422" s="73">
        <f>INDEX('Locations'!$E$6:$E$455,MATCH(C422,'Locations'!$A$6:$A$455,0))</f>
        <v>-73.67764437765121</v>
      </c>
      <c r="W422" s="44"/>
    </row>
    <row r="423" ht="23.1" customHeight="1">
      <c r="A423" t="s" s="24">
        <v>1033</v>
      </c>
      <c r="B423" t="s" s="53">
        <v>483</v>
      </c>
      <c r="C423" t="s" s="53">
        <v>484</v>
      </c>
      <c r="D423" t="s" s="53">
        <v>614</v>
      </c>
      <c r="E423" s="74">
        <f>2*6371000*ASIN(SQRT(MIN(1,SIN(RADIANS(U423-S423)/2)^2+COS(RADIANS(S423))*COS(RADIANS(U423))*SIN(RADIANS(V423-T423)/2)^2)))</f>
        <v>51.1375633016891</v>
      </c>
      <c r="F423" t="s" s="48">
        <v>70</v>
      </c>
      <c r="G423" t="s" s="48">
        <v>69</v>
      </c>
      <c r="H423" t="s" s="48">
        <v>69</v>
      </c>
      <c r="I423" t="s" s="48">
        <v>69</v>
      </c>
      <c r="J423" t="s" s="48">
        <v>69</v>
      </c>
      <c r="K423" s="72"/>
      <c r="L423" s="72"/>
      <c r="M423" s="50"/>
      <c r="N423" s="49"/>
      <c r="O423" s="50"/>
      <c r="P423" s="50"/>
      <c r="Q423" s="32">
        <v>419</v>
      </c>
      <c r="R423" s="64"/>
      <c r="S423" s="54">
        <f>INDEX('Locations'!$D$6:$D$455,MATCH(B423,'Locations'!$A$6:$A$455,0))</f>
        <v>42.7324192323482</v>
      </c>
      <c r="T423" s="54">
        <f>INDEX('Locations'!$E$6:$E$455,MATCH(B423,'Locations'!$A$6:$A$455,0))</f>
        <v>-73.6777335093083</v>
      </c>
      <c r="U423" s="54">
        <f>INDEX('Locations'!$D$6:$D$455,MATCH(C423,'Locations'!$A$6:$A$455,0))</f>
        <v>42.7328744395459</v>
      </c>
      <c r="V423" s="75">
        <f>INDEX('Locations'!$E$6:$E$455,MATCH(C423,'Locations'!$A$6:$A$455,0))</f>
        <v>-73.67764437765121</v>
      </c>
      <c r="W423" s="44"/>
    </row>
    <row r="424" ht="23.1" customHeight="1">
      <c r="A424" t="s" s="21">
        <v>1034</v>
      </c>
      <c r="B424" t="s" s="45">
        <v>482</v>
      </c>
      <c r="C424" t="s" s="45">
        <v>483</v>
      </c>
      <c r="D424" t="s" s="45">
        <v>614</v>
      </c>
      <c r="E424" s="71">
        <f>2*6371000*ASIN(SQRT(MIN(1,SIN(RADIANS(U424-S424)/2)^2+COS(RADIANS(S424))*COS(RADIANS(U424))*SIN(RADIANS(V424-T424)/2)^2)))</f>
        <v>79.7466107903534</v>
      </c>
      <c r="F424" t="s" s="48">
        <v>70</v>
      </c>
      <c r="G424" t="s" s="48">
        <v>69</v>
      </c>
      <c r="H424" t="s" s="48">
        <v>69</v>
      </c>
      <c r="I424" t="s" s="48">
        <v>69</v>
      </c>
      <c r="J424" t="s" s="48">
        <v>69</v>
      </c>
      <c r="K424" s="72"/>
      <c r="L424" s="72"/>
      <c r="M424" s="50"/>
      <c r="N424" s="49"/>
      <c r="O424" s="50"/>
      <c r="P424" s="50"/>
      <c r="Q424" s="30">
        <v>420</v>
      </c>
      <c r="R424" s="61"/>
      <c r="S424" s="46">
        <f>INDEX('Locations'!$D$6:$D$455,MATCH(B424,'Locations'!$A$6:$A$455,0))</f>
        <v>42.7324951002145</v>
      </c>
      <c r="T424" s="46">
        <f>INDEX('Locations'!$E$6:$E$455,MATCH(B424,'Locations'!$A$6:$A$455,0))</f>
        <v>-73.67870440771679</v>
      </c>
      <c r="U424" s="46">
        <f>INDEX('Locations'!$D$6:$D$455,MATCH(C424,'Locations'!$A$6:$A$455,0))</f>
        <v>42.7324192323482</v>
      </c>
      <c r="V424" s="73">
        <f>INDEX('Locations'!$E$6:$E$455,MATCH(C424,'Locations'!$A$6:$A$455,0))</f>
        <v>-73.6777335093083</v>
      </c>
      <c r="W424" s="44"/>
    </row>
    <row r="425" ht="23.1" customHeight="1">
      <c r="A425" t="s" s="24">
        <v>1035</v>
      </c>
      <c r="B425" t="s" s="53">
        <v>474</v>
      </c>
      <c r="C425" t="s" s="53">
        <v>482</v>
      </c>
      <c r="D425" t="s" s="53">
        <v>614</v>
      </c>
      <c r="E425" s="74">
        <f>2*6371000*ASIN(SQRT(MIN(1,SIN(RADIANS(U425-S425)/2)^2+COS(RADIANS(S425))*COS(RADIANS(U425))*SIN(RADIANS(V425-T425)/2)^2)))</f>
        <v>32.7610316192541</v>
      </c>
      <c r="F425" t="s" s="48">
        <v>70</v>
      </c>
      <c r="G425" t="s" s="48">
        <v>69</v>
      </c>
      <c r="H425" t="s" s="48">
        <v>69</v>
      </c>
      <c r="I425" t="s" s="48">
        <v>69</v>
      </c>
      <c r="J425" t="s" s="48">
        <v>69</v>
      </c>
      <c r="K425" s="72"/>
      <c r="L425" s="72"/>
      <c r="M425" s="50"/>
      <c r="N425" s="49"/>
      <c r="O425" s="50"/>
      <c r="P425" s="50"/>
      <c r="Q425" s="32">
        <v>421</v>
      </c>
      <c r="R425" s="64"/>
      <c r="S425" s="54">
        <f>INDEX('Locations'!$D$6:$D$455,MATCH(B425,'Locations'!$A$6:$A$455,0))</f>
        <v>42.7327847775221</v>
      </c>
      <c r="T425" s="54">
        <f>INDEX('Locations'!$E$6:$E$455,MATCH(B425,'Locations'!$A$6:$A$455,0))</f>
        <v>-73.67863119242701</v>
      </c>
      <c r="U425" s="54">
        <f>INDEX('Locations'!$D$6:$D$455,MATCH(C425,'Locations'!$A$6:$A$455,0))</f>
        <v>42.7324951002145</v>
      </c>
      <c r="V425" s="75">
        <f>INDEX('Locations'!$E$6:$E$455,MATCH(C425,'Locations'!$A$6:$A$455,0))</f>
        <v>-73.67870440771679</v>
      </c>
      <c r="W425" s="44"/>
    </row>
    <row r="426" ht="23.1" customHeight="1">
      <c r="A426" t="s" s="21">
        <v>1036</v>
      </c>
      <c r="B426" t="s" s="45">
        <v>485</v>
      </c>
      <c r="C426" t="s" s="45">
        <v>219</v>
      </c>
      <c r="D426" t="s" s="45">
        <v>614</v>
      </c>
      <c r="E426" s="71">
        <f>2*6371000*ASIN(SQRT(MIN(1,SIN(RADIANS(U426-S426)/2)^2+COS(RADIANS(S426))*COS(RADIANS(U426))*SIN(RADIANS(V426-T426)/2)^2)))</f>
        <v>82.4270464827687</v>
      </c>
      <c r="F426" t="s" s="48">
        <v>70</v>
      </c>
      <c r="G426" t="s" s="48">
        <v>69</v>
      </c>
      <c r="H426" t="s" s="48">
        <v>69</v>
      </c>
      <c r="I426" t="s" s="48">
        <v>69</v>
      </c>
      <c r="J426" t="s" s="48">
        <v>69</v>
      </c>
      <c r="K426" s="72"/>
      <c r="L426" s="72"/>
      <c r="M426" s="50"/>
      <c r="N426" s="49"/>
      <c r="O426" s="50"/>
      <c r="P426" s="50"/>
      <c r="Q426" s="30">
        <v>422</v>
      </c>
      <c r="R426" s="61"/>
      <c r="S426" s="46">
        <f>INDEX('Locations'!$D$6:$D$455,MATCH(B426,'Locations'!$A$6:$A$455,0))</f>
        <v>42.7331606683141</v>
      </c>
      <c r="T426" s="46">
        <f>INDEX('Locations'!$E$6:$E$455,MATCH(B426,'Locations'!$A$6:$A$455,0))</f>
        <v>-73.6775393296266</v>
      </c>
      <c r="U426" s="46">
        <f>INDEX('Locations'!$D$6:$D$455,MATCH(C426,'Locations'!$A$6:$A$455,0))</f>
        <v>42.7330583616459</v>
      </c>
      <c r="V426" s="73">
        <f>INDEX('Locations'!$E$6:$E$455,MATCH(C426,'Locations'!$A$6:$A$455,0))</f>
        <v>-73.6765397817569</v>
      </c>
      <c r="W426" s="44"/>
    </row>
    <row r="427" ht="23.1" customHeight="1">
      <c r="A427" t="s" s="24">
        <v>1037</v>
      </c>
      <c r="B427" t="s" s="53">
        <v>440</v>
      </c>
      <c r="C427" t="s" s="53">
        <v>488</v>
      </c>
      <c r="D427" t="s" s="53">
        <v>614</v>
      </c>
      <c r="E427" s="74">
        <f>2*6371000*ASIN(SQRT(MIN(1,SIN(RADIANS(U427-S427)/2)^2+COS(RADIANS(S427))*COS(RADIANS(U427))*SIN(RADIANS(V427-T427)/2)^2)))</f>
        <v>38.1309684519651</v>
      </c>
      <c r="F427" t="s" s="48">
        <v>70</v>
      </c>
      <c r="G427" t="s" s="48">
        <v>69</v>
      </c>
      <c r="H427" t="s" s="48">
        <v>69</v>
      </c>
      <c r="I427" t="s" s="48">
        <v>69</v>
      </c>
      <c r="J427" t="s" s="48">
        <v>69</v>
      </c>
      <c r="K427" s="72"/>
      <c r="L427" s="72"/>
      <c r="M427" s="50"/>
      <c r="N427" s="49"/>
      <c r="O427" s="50"/>
      <c r="P427" s="50"/>
      <c r="Q427" s="32">
        <v>423</v>
      </c>
      <c r="R427" s="64"/>
      <c r="S427" s="54">
        <f>INDEX('Locations'!$D$6:$D$455,MATCH(B427,'Locations'!$A$6:$A$455,0))</f>
        <v>42.7319433339144</v>
      </c>
      <c r="T427" s="54">
        <f>INDEX('Locations'!$E$6:$E$455,MATCH(B427,'Locations'!$A$6:$A$455,0))</f>
        <v>-73.6811937275708</v>
      </c>
      <c r="U427" s="54">
        <f>INDEX('Locations'!$D$6:$D$455,MATCH(C427,'Locations'!$A$6:$A$455,0))</f>
        <v>42.7317938972081</v>
      </c>
      <c r="V427" s="75">
        <f>INDEX('Locations'!$E$6:$E$455,MATCH(C427,'Locations'!$A$6:$A$455,0))</f>
        <v>-73.6807735354727</v>
      </c>
      <c r="W427" s="44"/>
    </row>
    <row r="428" ht="23.1" customHeight="1">
      <c r="A428" t="s" s="21">
        <v>1038</v>
      </c>
      <c r="B428" t="s" s="45">
        <v>487</v>
      </c>
      <c r="C428" t="s" s="45">
        <v>488</v>
      </c>
      <c r="D428" t="s" s="45">
        <v>614</v>
      </c>
      <c r="E428" s="71">
        <f>2*6371000*ASIN(SQRT(MIN(1,SIN(RADIANS(U428-S428)/2)^2+COS(RADIANS(S428))*COS(RADIANS(U428))*SIN(RADIANS(V428-T428)/2)^2)))</f>
        <v>76.3872104831958</v>
      </c>
      <c r="F428" t="s" s="48">
        <v>70</v>
      </c>
      <c r="G428" t="s" s="48">
        <v>69</v>
      </c>
      <c r="H428" t="s" s="48">
        <v>69</v>
      </c>
      <c r="I428" t="s" s="48">
        <v>69</v>
      </c>
      <c r="J428" t="s" s="48">
        <v>69</v>
      </c>
      <c r="K428" s="72"/>
      <c r="L428" s="72"/>
      <c r="M428" s="50"/>
      <c r="N428" s="49"/>
      <c r="O428" s="50"/>
      <c r="P428" s="50"/>
      <c r="Q428" s="30">
        <v>424</v>
      </c>
      <c r="R428" s="61"/>
      <c r="S428" s="46">
        <f>INDEX('Locations'!$D$6:$D$455,MATCH(B428,'Locations'!$A$6:$A$455,0))</f>
        <v>42.7318697650743</v>
      </c>
      <c r="T428" s="46">
        <f>INDEX('Locations'!$E$6:$E$455,MATCH(B428,'Locations'!$A$6:$A$455,0))</f>
        <v>-73.6798440196193</v>
      </c>
      <c r="U428" s="46">
        <f>INDEX('Locations'!$D$6:$D$455,MATCH(C428,'Locations'!$A$6:$A$455,0))</f>
        <v>42.7317938972081</v>
      </c>
      <c r="V428" s="73">
        <f>INDEX('Locations'!$E$6:$E$455,MATCH(C428,'Locations'!$A$6:$A$455,0))</f>
        <v>-73.6807735354727</v>
      </c>
      <c r="W428" s="44"/>
    </row>
    <row r="429" ht="23.1" customHeight="1">
      <c r="A429" t="s" s="24">
        <v>1039</v>
      </c>
      <c r="B429" t="s" s="53">
        <v>486</v>
      </c>
      <c r="C429" t="s" s="53">
        <v>487</v>
      </c>
      <c r="D429" t="s" s="53">
        <v>614</v>
      </c>
      <c r="E429" s="74">
        <f>2*6371000*ASIN(SQRT(MIN(1,SIN(RADIANS(U429-S429)/2)^2+COS(RADIANS(S429))*COS(RADIANS(U429))*SIN(RADIANS(V429-T429)/2)^2)))</f>
        <v>83.37405955416691</v>
      </c>
      <c r="F429" t="s" s="48">
        <v>70</v>
      </c>
      <c r="G429" t="s" s="48">
        <v>69</v>
      </c>
      <c r="H429" t="s" s="48">
        <v>69</v>
      </c>
      <c r="I429" t="s" s="48">
        <v>69</v>
      </c>
      <c r="J429" t="s" s="48">
        <v>69</v>
      </c>
      <c r="K429" s="72"/>
      <c r="L429" s="72"/>
      <c r="M429" s="50"/>
      <c r="N429" s="49"/>
      <c r="O429" s="50"/>
      <c r="P429" s="50"/>
      <c r="Q429" s="32">
        <v>425</v>
      </c>
      <c r="R429" s="64"/>
      <c r="S429" s="54">
        <f>INDEX('Locations'!$D$6:$D$455,MATCH(B429,'Locations'!$A$6:$A$455,0))</f>
        <v>42.7319663241769</v>
      </c>
      <c r="T429" s="54">
        <f>INDEX('Locations'!$E$6:$E$455,MATCH(B429,'Locations'!$A$6:$A$455,0))</f>
        <v>-73.6788317386557</v>
      </c>
      <c r="U429" s="54">
        <f>INDEX('Locations'!$D$6:$D$455,MATCH(C429,'Locations'!$A$6:$A$455,0))</f>
        <v>42.7318697650743</v>
      </c>
      <c r="V429" s="75">
        <f>INDEX('Locations'!$E$6:$E$455,MATCH(C429,'Locations'!$A$6:$A$455,0))</f>
        <v>-73.6798440196193</v>
      </c>
      <c r="W429" s="44"/>
    </row>
    <row r="430" ht="23.1" customHeight="1">
      <c r="A430" t="s" s="21">
        <v>1040</v>
      </c>
      <c r="B430" t="s" s="45">
        <v>482</v>
      </c>
      <c r="C430" t="s" s="45">
        <v>486</v>
      </c>
      <c r="D430" t="s" s="45">
        <v>614</v>
      </c>
      <c r="E430" s="71">
        <f>2*6371000*ASIN(SQRT(MIN(1,SIN(RADIANS(U430-S430)/2)^2+COS(RADIANS(S430))*COS(RADIANS(U430))*SIN(RADIANS(V430-T430)/2)^2)))</f>
        <v>59.7098875378423</v>
      </c>
      <c r="F430" t="s" s="48">
        <v>70</v>
      </c>
      <c r="G430" t="s" s="48">
        <v>69</v>
      </c>
      <c r="H430" t="s" s="48">
        <v>69</v>
      </c>
      <c r="I430" t="s" s="48">
        <v>69</v>
      </c>
      <c r="J430" t="s" s="48">
        <v>69</v>
      </c>
      <c r="K430" s="72"/>
      <c r="L430" s="72"/>
      <c r="M430" s="50"/>
      <c r="N430" s="49"/>
      <c r="O430" s="50"/>
      <c r="P430" s="50"/>
      <c r="Q430" s="30">
        <v>426</v>
      </c>
      <c r="R430" s="61"/>
      <c r="S430" s="46">
        <f>INDEX('Locations'!$D$6:$D$455,MATCH(B430,'Locations'!$A$6:$A$455,0))</f>
        <v>42.7324951002145</v>
      </c>
      <c r="T430" s="46">
        <f>INDEX('Locations'!$E$6:$E$455,MATCH(B430,'Locations'!$A$6:$A$455,0))</f>
        <v>-73.67870440771679</v>
      </c>
      <c r="U430" s="46">
        <f>INDEX('Locations'!$D$6:$D$455,MATCH(C430,'Locations'!$A$6:$A$455,0))</f>
        <v>42.7319663241769</v>
      </c>
      <c r="V430" s="73">
        <f>INDEX('Locations'!$E$6:$E$455,MATCH(C430,'Locations'!$A$6:$A$455,0))</f>
        <v>-73.6788317386557</v>
      </c>
      <c r="W430" s="44"/>
    </row>
    <row r="431" ht="23.1" customHeight="1">
      <c r="A431" t="s" s="24">
        <v>1041</v>
      </c>
      <c r="B431" t="s" s="53">
        <v>227</v>
      </c>
      <c r="C431" t="s" s="53">
        <v>97</v>
      </c>
      <c r="D431" t="s" s="53">
        <v>614</v>
      </c>
      <c r="E431" s="74">
        <f>2*6371000*ASIN(SQRT(MIN(1,SIN(RADIANS(U431-S431)/2)^2+COS(RADIANS(S431))*COS(RADIANS(U431))*SIN(RADIANS(V431-T431)/2)^2)))</f>
        <v>57.745318291274</v>
      </c>
      <c r="F431" t="s" s="48">
        <v>70</v>
      </c>
      <c r="G431" t="s" s="48">
        <v>69</v>
      </c>
      <c r="H431" t="s" s="48">
        <v>69</v>
      </c>
      <c r="I431" t="s" s="48">
        <v>69</v>
      </c>
      <c r="J431" t="s" s="48">
        <v>69</v>
      </c>
      <c r="K431" s="72"/>
      <c r="L431" s="72"/>
      <c r="M431" s="50"/>
      <c r="N431" s="49"/>
      <c r="O431" s="50"/>
      <c r="P431" s="50"/>
      <c r="Q431" s="32">
        <v>427</v>
      </c>
      <c r="R431" s="64"/>
      <c r="S431" s="54">
        <f>INDEX('Locations'!$D$6:$D$455,MATCH(B431,'Locations'!$A$6:$A$455,0))</f>
        <v>42.7312651211704</v>
      </c>
      <c r="T431" s="54">
        <f>INDEX('Locations'!$E$6:$E$455,MATCH(B431,'Locations'!$A$6:$A$455,0))</f>
        <v>-73.6719081188573</v>
      </c>
      <c r="U431" s="54">
        <f>INDEX('Locations'!$D$6:$D$455,MATCH(C431,'Locations'!$A$6:$A$455,0))</f>
        <v>42.7310890611734</v>
      </c>
      <c r="V431" s="75">
        <f>INDEX('Locations'!$E$6:$E$455,MATCH(C431,'Locations'!$A$6:$A$455,0))</f>
        <v>-73.67124299833191</v>
      </c>
      <c r="W431" s="44"/>
    </row>
    <row r="432" ht="23.1" customHeight="1">
      <c r="A432" t="s" s="21">
        <v>1042</v>
      </c>
      <c r="B432" t="s" s="45">
        <v>489</v>
      </c>
      <c r="C432" t="s" s="45">
        <v>227</v>
      </c>
      <c r="D432" t="s" s="45">
        <v>614</v>
      </c>
      <c r="E432" s="71">
        <f>2*6371000*ASIN(SQRT(MIN(1,SIN(RADIANS(U432-S432)/2)^2+COS(RADIANS(S432))*COS(RADIANS(U432))*SIN(RADIANS(V432-T432)/2)^2)))</f>
        <v>70.4886122504776</v>
      </c>
      <c r="F432" t="s" s="48">
        <v>70</v>
      </c>
      <c r="G432" t="s" s="48">
        <v>69</v>
      </c>
      <c r="H432" t="s" s="48">
        <v>69</v>
      </c>
      <c r="I432" t="s" s="48">
        <v>69</v>
      </c>
      <c r="J432" t="s" s="48">
        <v>69</v>
      </c>
      <c r="K432" s="72"/>
      <c r="L432" s="72"/>
      <c r="M432" s="50"/>
      <c r="N432" s="49"/>
      <c r="O432" s="50"/>
      <c r="P432" s="50"/>
      <c r="Q432" s="30">
        <v>428</v>
      </c>
      <c r="R432" s="61"/>
      <c r="S432" s="46">
        <f>INDEX('Locations'!$D$6:$D$455,MATCH(B432,'Locations'!$A$6:$A$455,0))</f>
        <v>42.7306443840828</v>
      </c>
      <c r="T432" s="46">
        <f>INDEX('Locations'!$E$6:$E$455,MATCH(B432,'Locations'!$A$6:$A$455,0))</f>
        <v>-73.67208319889809</v>
      </c>
      <c r="U432" s="46">
        <f>INDEX('Locations'!$D$6:$D$455,MATCH(C432,'Locations'!$A$6:$A$455,0))</f>
        <v>42.7312651211704</v>
      </c>
      <c r="V432" s="73">
        <f>INDEX('Locations'!$E$6:$E$455,MATCH(C432,'Locations'!$A$6:$A$455,0))</f>
        <v>-73.6719081188573</v>
      </c>
      <c r="W432" s="44"/>
    </row>
    <row r="433" ht="23.1" customHeight="1">
      <c r="A433" t="s" s="24">
        <v>1043</v>
      </c>
      <c r="B433" t="s" s="53">
        <v>241</v>
      </c>
      <c r="C433" t="s" s="53">
        <v>489</v>
      </c>
      <c r="D433" t="s" s="53">
        <v>614</v>
      </c>
      <c r="E433" s="74">
        <f>2*6371000*ASIN(SQRT(MIN(1,SIN(RADIANS(U433-S433)/2)^2+COS(RADIANS(S433))*COS(RADIANS(U433))*SIN(RADIANS(V433-T433)/2)^2)))</f>
        <v>173.093821391683</v>
      </c>
      <c r="F433" t="s" s="48">
        <v>70</v>
      </c>
      <c r="G433" t="s" s="48">
        <v>69</v>
      </c>
      <c r="H433" t="s" s="48">
        <v>69</v>
      </c>
      <c r="I433" t="s" s="48">
        <v>69</v>
      </c>
      <c r="J433" t="s" s="48">
        <v>69</v>
      </c>
      <c r="K433" s="72"/>
      <c r="L433" s="72"/>
      <c r="M433" s="50"/>
      <c r="N433" s="49"/>
      <c r="O433" s="50"/>
      <c r="P433" s="50"/>
      <c r="Q433" s="32">
        <v>429</v>
      </c>
      <c r="R433" s="64"/>
      <c r="S433" s="54">
        <f>INDEX('Locations'!$D$6:$D$455,MATCH(B433,'Locations'!$A$6:$A$455,0))</f>
        <v>42.7291212791917</v>
      </c>
      <c r="T433" s="54">
        <f>INDEX('Locations'!$E$6:$E$455,MATCH(B433,'Locations'!$A$6:$A$455,0))</f>
        <v>-73.6725208990003</v>
      </c>
      <c r="U433" s="54">
        <f>INDEX('Locations'!$D$6:$D$455,MATCH(C433,'Locations'!$A$6:$A$455,0))</f>
        <v>42.7306443840828</v>
      </c>
      <c r="V433" s="75">
        <f>INDEX('Locations'!$E$6:$E$455,MATCH(C433,'Locations'!$A$6:$A$455,0))</f>
        <v>-73.67208319889809</v>
      </c>
      <c r="W433" s="44"/>
    </row>
    <row r="434" ht="23.1" customHeight="1">
      <c r="A434" t="s" s="21">
        <v>1044</v>
      </c>
      <c r="B434" t="s" s="45">
        <v>490</v>
      </c>
      <c r="C434" t="s" s="45">
        <v>489</v>
      </c>
      <c r="D434" t="s" s="45">
        <v>614</v>
      </c>
      <c r="E434" s="71">
        <f>2*6371000*ASIN(SQRT(MIN(1,SIN(RADIANS(U434-S434)/2)^2+COS(RADIANS(S434))*COS(RADIANS(U434))*SIN(RADIANS(V434-T434)/2)^2)))</f>
        <v>52.0009566524479</v>
      </c>
      <c r="F434" t="s" s="48">
        <v>70</v>
      </c>
      <c r="G434" t="s" s="48">
        <v>69</v>
      </c>
      <c r="H434" t="s" s="48">
        <v>69</v>
      </c>
      <c r="I434" t="s" s="48">
        <v>69</v>
      </c>
      <c r="J434" t="s" s="48">
        <v>69</v>
      </c>
      <c r="K434" s="72"/>
      <c r="L434" s="72"/>
      <c r="M434" s="50"/>
      <c r="N434" s="49"/>
      <c r="O434" s="50"/>
      <c r="P434" s="50"/>
      <c r="Q434" s="30">
        <v>430</v>
      </c>
      <c r="R434" s="61"/>
      <c r="S434" s="46">
        <f>INDEX('Locations'!$D$6:$D$455,MATCH(B434,'Locations'!$A$6:$A$455,0))</f>
        <v>42.7306443840828</v>
      </c>
      <c r="T434" s="46">
        <f>INDEX('Locations'!$E$6:$E$455,MATCH(B434,'Locations'!$A$6:$A$455,0))</f>
        <v>-73.671446544204</v>
      </c>
      <c r="U434" s="46">
        <f>INDEX('Locations'!$D$6:$D$455,MATCH(C434,'Locations'!$A$6:$A$455,0))</f>
        <v>42.7306443840828</v>
      </c>
      <c r="V434" s="73">
        <f>INDEX('Locations'!$E$6:$E$455,MATCH(C434,'Locations'!$A$6:$A$455,0))</f>
        <v>-73.67208319889809</v>
      </c>
      <c r="W434" s="44"/>
    </row>
    <row r="435" ht="23.1" customHeight="1">
      <c r="A435" t="s" s="24">
        <v>1045</v>
      </c>
      <c r="B435" t="s" s="53">
        <v>490</v>
      </c>
      <c r="C435" t="s" s="53">
        <v>97</v>
      </c>
      <c r="D435" t="s" s="53">
        <v>614</v>
      </c>
      <c r="E435" s="74">
        <f>2*6371000*ASIN(SQRT(MIN(1,SIN(RADIANS(U435-S435)/2)^2+COS(RADIANS(S435))*COS(RADIANS(U435))*SIN(RADIANS(V435-T435)/2)^2)))</f>
        <v>52.1659813730413</v>
      </c>
      <c r="F435" t="s" s="48">
        <v>70</v>
      </c>
      <c r="G435" t="s" s="48">
        <v>69</v>
      </c>
      <c r="H435" t="s" s="48">
        <v>69</v>
      </c>
      <c r="I435" t="s" s="48">
        <v>69</v>
      </c>
      <c r="J435" t="s" s="48">
        <v>69</v>
      </c>
      <c r="K435" s="72"/>
      <c r="L435" s="72"/>
      <c r="M435" s="50"/>
      <c r="N435" s="49"/>
      <c r="O435" s="50"/>
      <c r="P435" s="50"/>
      <c r="Q435" s="32">
        <v>431</v>
      </c>
      <c r="R435" s="64"/>
      <c r="S435" s="54">
        <f>INDEX('Locations'!$D$6:$D$455,MATCH(B435,'Locations'!$A$6:$A$455,0))</f>
        <v>42.7306443840828</v>
      </c>
      <c r="T435" s="54">
        <f>INDEX('Locations'!$E$6:$E$455,MATCH(B435,'Locations'!$A$6:$A$455,0))</f>
        <v>-73.671446544204</v>
      </c>
      <c r="U435" s="54">
        <f>INDEX('Locations'!$D$6:$D$455,MATCH(C435,'Locations'!$A$6:$A$455,0))</f>
        <v>42.7310890611734</v>
      </c>
      <c r="V435" s="75">
        <f>INDEX('Locations'!$E$6:$E$455,MATCH(C435,'Locations'!$A$6:$A$455,0))</f>
        <v>-73.67124299833191</v>
      </c>
      <c r="W435" s="44"/>
    </row>
    <row r="436" ht="23.1" customHeight="1">
      <c r="A436" t="s" s="21">
        <v>1046</v>
      </c>
      <c r="B436" t="s" s="45">
        <v>490</v>
      </c>
      <c r="C436" t="s" s="45">
        <v>491</v>
      </c>
      <c r="D436" t="s" s="45">
        <v>614</v>
      </c>
      <c r="E436" s="71">
        <f>2*6371000*ASIN(SQRT(MIN(1,SIN(RADIANS(U436-S436)/2)^2+COS(RADIANS(S436))*COS(RADIANS(U436))*SIN(RADIANS(V436-T436)/2)^2)))</f>
        <v>57.953898356449</v>
      </c>
      <c r="F436" t="s" s="48">
        <v>70</v>
      </c>
      <c r="G436" t="s" s="48">
        <v>69</v>
      </c>
      <c r="H436" t="s" s="48">
        <v>69</v>
      </c>
      <c r="I436" t="s" s="48">
        <v>69</v>
      </c>
      <c r="J436" t="s" s="48">
        <v>69</v>
      </c>
      <c r="K436" s="72"/>
      <c r="L436" s="72"/>
      <c r="M436" s="50"/>
      <c r="N436" s="49"/>
      <c r="O436" s="50"/>
      <c r="P436" s="50"/>
      <c r="Q436" s="30">
        <v>432</v>
      </c>
      <c r="R436" s="61"/>
      <c r="S436" s="46">
        <f>INDEX('Locations'!$D$6:$D$455,MATCH(B436,'Locations'!$A$6:$A$455,0))</f>
        <v>42.7306443840828</v>
      </c>
      <c r="T436" s="46">
        <f>INDEX('Locations'!$E$6:$E$455,MATCH(B436,'Locations'!$A$6:$A$455,0))</f>
        <v>-73.671446544204</v>
      </c>
      <c r="U436" s="46">
        <f>INDEX('Locations'!$D$6:$D$455,MATCH(C436,'Locations'!$A$6:$A$455,0))</f>
        <v>42.7306754209371</v>
      </c>
      <c r="V436" s="73">
        <f>INDEX('Locations'!$E$6:$E$455,MATCH(C436,'Locations'!$A$6:$A$455,0))</f>
        <v>-73.6707382658569</v>
      </c>
      <c r="W436" s="44"/>
    </row>
    <row r="437" ht="23.1" customHeight="1">
      <c r="A437" t="s" s="24">
        <v>1047</v>
      </c>
      <c r="B437" t="s" s="53">
        <v>97</v>
      </c>
      <c r="C437" t="s" s="53">
        <v>493</v>
      </c>
      <c r="D437" t="s" s="53">
        <v>614</v>
      </c>
      <c r="E437" s="74">
        <f>2*6371000*ASIN(SQRT(MIN(1,SIN(RADIANS(U437-S437)/2)^2+COS(RADIANS(S437))*COS(RADIANS(U437))*SIN(RADIANS(V437-T437)/2)^2)))</f>
        <v>53.1902724166431</v>
      </c>
      <c r="F437" t="s" s="48">
        <v>70</v>
      </c>
      <c r="G437" t="s" s="48">
        <v>69</v>
      </c>
      <c r="H437" t="s" s="48">
        <v>69</v>
      </c>
      <c r="I437" t="s" s="48">
        <v>69</v>
      </c>
      <c r="J437" t="s" s="48">
        <v>69</v>
      </c>
      <c r="K437" s="72"/>
      <c r="L437" s="72"/>
      <c r="M437" s="50"/>
      <c r="N437" s="49"/>
      <c r="O437" s="50"/>
      <c r="P437" s="50"/>
      <c r="Q437" s="32">
        <v>433</v>
      </c>
      <c r="R437" s="64"/>
      <c r="S437" s="54">
        <f>INDEX('Locations'!$D$6:$D$455,MATCH(B437,'Locations'!$A$6:$A$455,0))</f>
        <v>42.7310890611734</v>
      </c>
      <c r="T437" s="54">
        <f>INDEX('Locations'!$E$6:$E$455,MATCH(B437,'Locations'!$A$6:$A$455,0))</f>
        <v>-73.67124299833191</v>
      </c>
      <c r="U437" s="54">
        <f>INDEX('Locations'!$D$6:$D$455,MATCH(C437,'Locations'!$A$6:$A$455,0))</f>
        <v>42.7310007331516</v>
      </c>
      <c r="V437" s="75">
        <f>INDEX('Locations'!$E$6:$E$455,MATCH(C437,'Locations'!$A$6:$A$455,0))</f>
        <v>-73.6706029767344</v>
      </c>
      <c r="W437" s="44"/>
    </row>
    <row r="438" ht="23.1" customHeight="1">
      <c r="A438" t="s" s="21">
        <v>1048</v>
      </c>
      <c r="B438" t="s" s="45">
        <v>491</v>
      </c>
      <c r="C438" t="s" s="45">
        <v>492</v>
      </c>
      <c r="D438" t="s" s="45">
        <v>614</v>
      </c>
      <c r="E438" s="71">
        <f>2*6371000*ASIN(SQRT(MIN(1,SIN(RADIANS(U438-S438)/2)^2+COS(RADIANS(S438))*COS(RADIANS(U438))*SIN(RADIANS(V438-T438)/2)^2)))</f>
        <v>22.9919162046643</v>
      </c>
      <c r="F438" t="s" s="48">
        <v>70</v>
      </c>
      <c r="G438" t="s" s="48">
        <v>69</v>
      </c>
      <c r="H438" t="s" s="48">
        <v>69</v>
      </c>
      <c r="I438" t="s" s="48">
        <v>69</v>
      </c>
      <c r="J438" t="s" s="48">
        <v>69</v>
      </c>
      <c r="K438" s="72"/>
      <c r="L438" s="72"/>
      <c r="M438" s="50"/>
      <c r="N438" s="49"/>
      <c r="O438" s="50"/>
      <c r="P438" s="50"/>
      <c r="Q438" s="30">
        <v>434</v>
      </c>
      <c r="R438" s="61"/>
      <c r="S438" s="46">
        <f>INDEX('Locations'!$D$6:$D$455,MATCH(B438,'Locations'!$A$6:$A$455,0))</f>
        <v>42.7306754209371</v>
      </c>
      <c r="T438" s="46">
        <f>INDEX('Locations'!$E$6:$E$455,MATCH(B438,'Locations'!$A$6:$A$455,0))</f>
        <v>-73.6707382658569</v>
      </c>
      <c r="U438" s="46">
        <f>INDEX('Locations'!$D$6:$D$455,MATCH(C438,'Locations'!$A$6:$A$455,0))</f>
        <v>42.7308512964453</v>
      </c>
      <c r="V438" s="73">
        <f>INDEX('Locations'!$E$6:$E$455,MATCH(C438,'Locations'!$A$6:$A$455,0))</f>
        <v>-73.6705902436405</v>
      </c>
      <c r="W438" s="44"/>
    </row>
    <row r="439" ht="23.1" customHeight="1">
      <c r="A439" t="s" s="24">
        <v>1049</v>
      </c>
      <c r="B439" t="s" s="53">
        <v>493</v>
      </c>
      <c r="C439" t="s" s="53">
        <v>492</v>
      </c>
      <c r="D439" t="s" s="53">
        <v>614</v>
      </c>
      <c r="E439" s="74">
        <f>2*6371000*ASIN(SQRT(MIN(1,SIN(RADIANS(U439-S439)/2)^2+COS(RADIANS(S439))*COS(RADIANS(U439))*SIN(RADIANS(V439-T439)/2)^2)))</f>
        <v>16.649118445489</v>
      </c>
      <c r="F439" t="s" s="48">
        <v>70</v>
      </c>
      <c r="G439" t="s" s="48">
        <v>69</v>
      </c>
      <c r="H439" t="s" s="48">
        <v>69</v>
      </c>
      <c r="I439" t="s" s="48">
        <v>69</v>
      </c>
      <c r="J439" t="s" s="48">
        <v>69</v>
      </c>
      <c r="K439" s="72"/>
      <c r="L439" s="72"/>
      <c r="M439" s="50"/>
      <c r="N439" s="49"/>
      <c r="O439" s="50"/>
      <c r="P439" s="50"/>
      <c r="Q439" s="32">
        <v>435</v>
      </c>
      <c r="R439" s="64"/>
      <c r="S439" s="54">
        <f>INDEX('Locations'!$D$6:$D$455,MATCH(B439,'Locations'!$A$6:$A$455,0))</f>
        <v>42.7310007331516</v>
      </c>
      <c r="T439" s="54">
        <f>INDEX('Locations'!$E$6:$E$455,MATCH(B439,'Locations'!$A$6:$A$455,0))</f>
        <v>-73.6706029767344</v>
      </c>
      <c r="U439" s="54">
        <f>INDEX('Locations'!$D$6:$D$455,MATCH(C439,'Locations'!$A$6:$A$455,0))</f>
        <v>42.7308512964453</v>
      </c>
      <c r="V439" s="75">
        <f>INDEX('Locations'!$E$6:$E$455,MATCH(C439,'Locations'!$A$6:$A$455,0))</f>
        <v>-73.6705902436405</v>
      </c>
      <c r="W439" s="44"/>
    </row>
    <row r="440" ht="23.1" customHeight="1">
      <c r="A440" t="s" s="21">
        <v>1050</v>
      </c>
      <c r="B440" t="s" s="45">
        <v>494</v>
      </c>
      <c r="C440" t="s" s="45">
        <v>493</v>
      </c>
      <c r="D440" t="s" s="45">
        <v>614</v>
      </c>
      <c r="E440" s="71">
        <f>2*6371000*ASIN(SQRT(MIN(1,SIN(RADIANS(U440-S440)/2)^2+COS(RADIANS(S440))*COS(RADIANS(U440))*SIN(RADIANS(V440-T440)/2)^2)))</f>
        <v>46.4451651510234</v>
      </c>
      <c r="F440" t="s" s="48">
        <v>70</v>
      </c>
      <c r="G440" t="s" s="48">
        <v>69</v>
      </c>
      <c r="H440" t="s" s="48">
        <v>69</v>
      </c>
      <c r="I440" t="s" s="48">
        <v>69</v>
      </c>
      <c r="J440" t="s" s="48">
        <v>69</v>
      </c>
      <c r="K440" s="72"/>
      <c r="L440" s="72"/>
      <c r="M440" s="50"/>
      <c r="N440" s="49"/>
      <c r="O440" s="50"/>
      <c r="P440" s="50"/>
      <c r="Q440" s="30">
        <v>436</v>
      </c>
      <c r="R440" s="61"/>
      <c r="S440" s="46">
        <f>INDEX('Locations'!$D$6:$D$455,MATCH(B440,'Locations'!$A$6:$A$455,0))</f>
        <v>42.7314030627455</v>
      </c>
      <c r="T440" s="46">
        <f>INDEX('Locations'!$E$6:$E$455,MATCH(B440,'Locations'!$A$6:$A$455,0))</f>
        <v>-73.6704501796078</v>
      </c>
      <c r="U440" s="46">
        <f>INDEX('Locations'!$D$6:$D$455,MATCH(C440,'Locations'!$A$6:$A$455,0))</f>
        <v>42.7310007331516</v>
      </c>
      <c r="V440" s="73">
        <f>INDEX('Locations'!$E$6:$E$455,MATCH(C440,'Locations'!$A$6:$A$455,0))</f>
        <v>-73.6706029767344</v>
      </c>
      <c r="W440" s="44"/>
    </row>
    <row r="441" ht="23.1" customHeight="1">
      <c r="A441" t="s" s="24">
        <v>1051</v>
      </c>
      <c r="B441" t="s" s="53">
        <v>496</v>
      </c>
      <c r="C441" t="s" s="53">
        <v>495</v>
      </c>
      <c r="D441" t="s" s="53">
        <v>614</v>
      </c>
      <c r="E441" s="74">
        <f>2*6371000*ASIN(SQRT(MIN(1,SIN(RADIANS(U441-S441)/2)^2+COS(RADIANS(S441))*COS(RADIANS(U441))*SIN(RADIANS(V441-T441)/2)^2)))</f>
        <v>11.8787545690724</v>
      </c>
      <c r="F441" t="s" s="48">
        <v>70</v>
      </c>
      <c r="G441" t="s" s="48">
        <v>69</v>
      </c>
      <c r="H441" t="s" s="48">
        <v>69</v>
      </c>
      <c r="I441" t="s" s="48">
        <v>69</v>
      </c>
      <c r="J441" t="s" s="48">
        <v>69</v>
      </c>
      <c r="K441" s="72"/>
      <c r="L441" s="72"/>
      <c r="M441" s="50"/>
      <c r="N441" s="49"/>
      <c r="O441" s="50"/>
      <c r="P441" s="50"/>
      <c r="Q441" s="32">
        <v>437</v>
      </c>
      <c r="R441" s="64"/>
      <c r="S441" s="54">
        <f>INDEX('Locations'!$D$6:$D$455,MATCH(B441,'Locations'!$A$6:$A$455,0))</f>
        <v>42.731563994583</v>
      </c>
      <c r="T441" s="54">
        <f>INDEX('Locations'!$E$6:$E$455,MATCH(B441,'Locations'!$A$6:$A$455,0))</f>
        <v>-73.6708894713467</v>
      </c>
      <c r="U441" s="54">
        <f>INDEX('Locations'!$D$6:$D$455,MATCH(C441,'Locations'!$A$6:$A$455,0))</f>
        <v>42.7314697345067</v>
      </c>
      <c r="V441" s="75">
        <f>INDEX('Locations'!$E$6:$E$455,MATCH(C441,'Locations'!$A$6:$A$455,0))</f>
        <v>-73.6708210309671</v>
      </c>
      <c r="W441" s="44"/>
    </row>
    <row r="442" ht="23.1" customHeight="1">
      <c r="A442" t="s" s="21">
        <v>1052</v>
      </c>
      <c r="B442" t="s" s="45">
        <v>494</v>
      </c>
      <c r="C442" t="s" s="45">
        <v>495</v>
      </c>
      <c r="D442" t="s" s="45">
        <v>614</v>
      </c>
      <c r="E442" s="71">
        <f>2*6371000*ASIN(SQRT(MIN(1,SIN(RADIANS(U442-S442)/2)^2+COS(RADIANS(S442))*COS(RADIANS(U442))*SIN(RADIANS(V442-T442)/2)^2)))</f>
        <v>31.1842159048177</v>
      </c>
      <c r="F442" t="s" s="48">
        <v>70</v>
      </c>
      <c r="G442" t="s" s="48">
        <v>69</v>
      </c>
      <c r="H442" t="s" s="48">
        <v>69</v>
      </c>
      <c r="I442" t="s" s="48">
        <v>69</v>
      </c>
      <c r="J442" t="s" s="48">
        <v>69</v>
      </c>
      <c r="K442" s="72"/>
      <c r="L442" s="72"/>
      <c r="M442" s="50"/>
      <c r="N442" s="49"/>
      <c r="O442" s="50"/>
      <c r="P442" s="50"/>
      <c r="Q442" s="30">
        <v>438</v>
      </c>
      <c r="R442" s="61"/>
      <c r="S442" s="46">
        <f>INDEX('Locations'!$D$6:$D$455,MATCH(B442,'Locations'!$A$6:$A$455,0))</f>
        <v>42.7314030627455</v>
      </c>
      <c r="T442" s="46">
        <f>INDEX('Locations'!$E$6:$E$455,MATCH(B442,'Locations'!$A$6:$A$455,0))</f>
        <v>-73.6704501796078</v>
      </c>
      <c r="U442" s="46">
        <f>INDEX('Locations'!$D$6:$D$455,MATCH(C442,'Locations'!$A$6:$A$455,0))</f>
        <v>42.7314697345067</v>
      </c>
      <c r="V442" s="73">
        <f>INDEX('Locations'!$E$6:$E$455,MATCH(C442,'Locations'!$A$6:$A$455,0))</f>
        <v>-73.6708210309671</v>
      </c>
      <c r="W442" s="44"/>
    </row>
    <row r="443" ht="23.1" customHeight="1">
      <c r="A443" t="s" s="24">
        <v>1053</v>
      </c>
      <c r="B443" t="s" s="53">
        <v>498</v>
      </c>
      <c r="C443" t="s" s="53">
        <v>497</v>
      </c>
      <c r="D443" t="s" s="53">
        <v>614</v>
      </c>
      <c r="E443" s="74">
        <f>2*6371000*ASIN(SQRT(MIN(1,SIN(RADIANS(U443-S443)/2)^2+COS(RADIANS(S443))*COS(RADIANS(U443))*SIN(RADIANS(V443-T443)/2)^2)))</f>
        <v>31.0517690826882</v>
      </c>
      <c r="F443" t="s" s="48">
        <v>70</v>
      </c>
      <c r="G443" t="s" s="48">
        <v>69</v>
      </c>
      <c r="H443" t="s" s="48">
        <v>69</v>
      </c>
      <c r="I443" t="s" s="48">
        <v>69</v>
      </c>
      <c r="J443" t="s" s="48">
        <v>69</v>
      </c>
      <c r="K443" s="72"/>
      <c r="L443" s="72"/>
      <c r="M443" s="50"/>
      <c r="N443" s="49"/>
      <c r="O443" s="50"/>
      <c r="P443" s="50"/>
      <c r="Q443" s="32">
        <v>439</v>
      </c>
      <c r="R443" s="64"/>
      <c r="S443" s="54">
        <f>INDEX('Locations'!$D$6:$D$455,MATCH(B443,'Locations'!$A$6:$A$455,0))</f>
        <v>42.7318605689693</v>
      </c>
      <c r="T443" s="54">
        <f>INDEX('Locations'!$E$6:$E$455,MATCH(B443,'Locations'!$A$6:$A$455,0))</f>
        <v>-73.6703053406649</v>
      </c>
      <c r="U443" s="54">
        <f>INDEX('Locations'!$D$6:$D$455,MATCH(C443,'Locations'!$A$6:$A$455,0))</f>
        <v>42.7316053770555</v>
      </c>
      <c r="V443" s="75">
        <f>INDEX('Locations'!$E$6:$E$455,MATCH(C443,'Locations'!$A$6:$A$455,0))</f>
        <v>-73.6704597294282</v>
      </c>
      <c r="W443" s="44"/>
    </row>
    <row r="444" ht="23.1" customHeight="1">
      <c r="A444" t="s" s="21">
        <v>1054</v>
      </c>
      <c r="B444" t="s" s="45">
        <v>496</v>
      </c>
      <c r="C444" t="s" s="45">
        <v>497</v>
      </c>
      <c r="D444" t="s" s="45">
        <v>614</v>
      </c>
      <c r="E444" s="71">
        <f>2*6371000*ASIN(SQRT(MIN(1,SIN(RADIANS(U444-S444)/2)^2+COS(RADIANS(S444))*COS(RADIANS(U444))*SIN(RADIANS(V444-T444)/2)^2)))</f>
        <v>35.4004515539835</v>
      </c>
      <c r="F444" t="s" s="48">
        <v>70</v>
      </c>
      <c r="G444" t="s" s="48">
        <v>69</v>
      </c>
      <c r="H444" t="s" s="48">
        <v>69</v>
      </c>
      <c r="I444" t="s" s="48">
        <v>69</v>
      </c>
      <c r="J444" t="s" s="48">
        <v>69</v>
      </c>
      <c r="K444" s="72"/>
      <c r="L444" s="72"/>
      <c r="M444" s="50"/>
      <c r="N444" s="49"/>
      <c r="O444" s="50"/>
      <c r="P444" s="50"/>
      <c r="Q444" s="30">
        <v>440</v>
      </c>
      <c r="R444" s="61"/>
      <c r="S444" s="46">
        <f>INDEX('Locations'!$D$6:$D$455,MATCH(B444,'Locations'!$A$6:$A$455,0))</f>
        <v>42.731563994583</v>
      </c>
      <c r="T444" s="46">
        <f>INDEX('Locations'!$E$6:$E$455,MATCH(B444,'Locations'!$A$6:$A$455,0))</f>
        <v>-73.6708894713467</v>
      </c>
      <c r="U444" s="46">
        <f>INDEX('Locations'!$D$6:$D$455,MATCH(C444,'Locations'!$A$6:$A$455,0))</f>
        <v>42.7316053770555</v>
      </c>
      <c r="V444" s="73">
        <f>INDEX('Locations'!$E$6:$E$455,MATCH(C444,'Locations'!$A$6:$A$455,0))</f>
        <v>-73.6704597294282</v>
      </c>
      <c r="W444" s="44"/>
    </row>
    <row r="445" ht="23.1" customHeight="1">
      <c r="A445" t="s" s="24">
        <v>1055</v>
      </c>
      <c r="B445" t="s" s="53">
        <v>498</v>
      </c>
      <c r="C445" t="s" s="53">
        <v>499</v>
      </c>
      <c r="D445" t="s" s="53">
        <v>614</v>
      </c>
      <c r="E445" s="74">
        <f>2*6371000*ASIN(SQRT(MIN(1,SIN(RADIANS(U445-S445)/2)^2+COS(RADIANS(S445))*COS(RADIANS(U445))*SIN(RADIANS(V445-T445)/2)^2)))</f>
        <v>34.0250480607723</v>
      </c>
      <c r="F445" t="s" s="48">
        <v>70</v>
      </c>
      <c r="G445" t="s" s="48">
        <v>69</v>
      </c>
      <c r="H445" t="s" s="48">
        <v>69</v>
      </c>
      <c r="I445" t="s" s="48">
        <v>69</v>
      </c>
      <c r="J445" t="s" s="48">
        <v>69</v>
      </c>
      <c r="K445" s="72"/>
      <c r="L445" s="72"/>
      <c r="M445" s="50"/>
      <c r="N445" s="49"/>
      <c r="O445" s="50"/>
      <c r="P445" s="50"/>
      <c r="Q445" s="32">
        <v>441</v>
      </c>
      <c r="R445" s="64"/>
      <c r="S445" s="54">
        <f>INDEX('Locations'!$D$6:$D$455,MATCH(B445,'Locations'!$A$6:$A$455,0))</f>
        <v>42.7318605689693</v>
      </c>
      <c r="T445" s="54">
        <f>INDEX('Locations'!$E$6:$E$455,MATCH(B445,'Locations'!$A$6:$A$455,0))</f>
        <v>-73.6703053406649</v>
      </c>
      <c r="U445" s="54">
        <f>INDEX('Locations'!$D$6:$D$455,MATCH(C445,'Locations'!$A$6:$A$455,0))</f>
        <v>42.7320697803581</v>
      </c>
      <c r="V445" s="75">
        <f>INDEX('Locations'!$E$6:$E$455,MATCH(C445,'Locations'!$A$6:$A$455,0))</f>
        <v>-73.6706093432813</v>
      </c>
      <c r="W445" s="44"/>
    </row>
    <row r="446" ht="23.1" customHeight="1">
      <c r="A446" t="s" s="21">
        <v>1056</v>
      </c>
      <c r="B446" t="s" s="45">
        <v>500</v>
      </c>
      <c r="C446" t="s" s="45">
        <v>499</v>
      </c>
      <c r="D446" t="s" s="45">
        <v>614</v>
      </c>
      <c r="E446" s="71">
        <f>2*6371000*ASIN(SQRT(MIN(1,SIN(RADIANS(U446-S446)/2)^2+COS(RADIANS(S446))*COS(RADIANS(U446))*SIN(RADIANS(V446-T446)/2)^2)))</f>
        <v>24.9508588387187</v>
      </c>
      <c r="F446" t="s" s="48">
        <v>70</v>
      </c>
      <c r="G446" t="s" s="48">
        <v>69</v>
      </c>
      <c r="H446" t="s" s="48">
        <v>69</v>
      </c>
      <c r="I446" t="s" s="48">
        <v>69</v>
      </c>
      <c r="J446" t="s" s="48">
        <v>69</v>
      </c>
      <c r="K446" s="72"/>
      <c r="L446" s="72"/>
      <c r="M446" s="50"/>
      <c r="N446" s="49"/>
      <c r="O446" s="50"/>
      <c r="P446" s="50"/>
      <c r="Q446" s="30">
        <v>442</v>
      </c>
      <c r="R446" s="61"/>
      <c r="S446" s="46">
        <f>INDEX('Locations'!$D$6:$D$455,MATCH(B446,'Locations'!$A$6:$A$455,0))</f>
        <v>42.7322870383388</v>
      </c>
      <c r="T446" s="46">
        <f>INDEX('Locations'!$E$6:$E$455,MATCH(B446,'Locations'!$A$6:$A$455,0))</f>
        <v>-73.67068574184459</v>
      </c>
      <c r="U446" s="46">
        <f>INDEX('Locations'!$D$6:$D$455,MATCH(C446,'Locations'!$A$6:$A$455,0))</f>
        <v>42.7320697803581</v>
      </c>
      <c r="V446" s="73">
        <f>INDEX('Locations'!$E$6:$E$455,MATCH(C446,'Locations'!$A$6:$A$455,0))</f>
        <v>-73.6706093432813</v>
      </c>
      <c r="W446" s="44"/>
    </row>
    <row r="447" ht="23.1" customHeight="1">
      <c r="A447" t="s" s="24">
        <v>1057</v>
      </c>
      <c r="B447" t="s" s="53">
        <v>238</v>
      </c>
      <c r="C447" t="s" s="53">
        <v>503</v>
      </c>
      <c r="D447" t="s" s="53">
        <v>614</v>
      </c>
      <c r="E447" s="74">
        <f>2*6371000*ASIN(SQRT(MIN(1,SIN(RADIANS(U447-S447)/2)^2+COS(RADIANS(S447))*COS(RADIANS(U447))*SIN(RADIANS(V447-T447)/2)^2)))</f>
        <v>55.134004115143</v>
      </c>
      <c r="F447" t="s" s="48">
        <v>70</v>
      </c>
      <c r="G447" t="s" s="48">
        <v>69</v>
      </c>
      <c r="H447" t="s" s="48">
        <v>69</v>
      </c>
      <c r="I447" t="s" s="48">
        <v>69</v>
      </c>
      <c r="J447" t="s" s="48">
        <v>69</v>
      </c>
      <c r="K447" s="72"/>
      <c r="L447" s="72"/>
      <c r="M447" s="50"/>
      <c r="N447" s="49"/>
      <c r="O447" s="50"/>
      <c r="P447" s="50"/>
      <c r="Q447" s="32">
        <v>443</v>
      </c>
      <c r="R447" s="64"/>
      <c r="S447" s="54">
        <f>INDEX('Locations'!$D$6:$D$455,MATCH(B447,'Locations'!$A$6:$A$455,0))</f>
        <v>42.7316594041724</v>
      </c>
      <c r="T447" s="54">
        <f>INDEX('Locations'!$E$6:$E$455,MATCH(B447,'Locations'!$A$6:$A$455,0))</f>
        <v>-73.6717967042858</v>
      </c>
      <c r="U447" s="54">
        <f>INDEX('Locations'!$D$6:$D$455,MATCH(C447,'Locations'!$A$6:$A$455,0))</f>
        <v>42.7321456482244</v>
      </c>
      <c r="V447" s="75">
        <f>INDEX('Locations'!$E$6:$E$455,MATCH(C447,'Locations'!$A$6:$A$455,0))</f>
        <v>-73.67166459843681</v>
      </c>
      <c r="W447" s="44"/>
    </row>
    <row r="448" ht="23.1" customHeight="1">
      <c r="A448" t="s" s="21">
        <v>1058</v>
      </c>
      <c r="B448" t="s" s="45">
        <v>501</v>
      </c>
      <c r="C448" t="s" s="45">
        <v>503</v>
      </c>
      <c r="D448" t="s" s="45">
        <v>614</v>
      </c>
      <c r="E448" s="71">
        <f>2*6371000*ASIN(SQRT(MIN(1,SIN(RADIANS(U448-S448)/2)^2+COS(RADIANS(S448))*COS(RADIANS(U448))*SIN(RADIANS(V448-T448)/2)^2)))</f>
        <v>32.8851825951373</v>
      </c>
      <c r="F448" t="s" s="48">
        <v>70</v>
      </c>
      <c r="G448" t="s" s="48">
        <v>69</v>
      </c>
      <c r="H448" t="s" s="48">
        <v>69</v>
      </c>
      <c r="I448" t="s" s="48">
        <v>69</v>
      </c>
      <c r="J448" t="s" s="48">
        <v>69</v>
      </c>
      <c r="K448" s="72"/>
      <c r="L448" s="72"/>
      <c r="M448" s="50"/>
      <c r="N448" s="49"/>
      <c r="O448" s="50"/>
      <c r="P448" s="50"/>
      <c r="Q448" s="30">
        <v>444</v>
      </c>
      <c r="R448" s="61"/>
      <c r="S448" s="46">
        <f>INDEX('Locations'!$D$6:$D$455,MATCH(B448,'Locations'!$A$6:$A$455,0))</f>
        <v>42.7321088638044</v>
      </c>
      <c r="T448" s="46">
        <f>INDEX('Locations'!$E$6:$E$455,MATCH(B448,'Locations'!$A$6:$A$455,0))</f>
        <v>-73.6712650976162</v>
      </c>
      <c r="U448" s="46">
        <f>INDEX('Locations'!$D$6:$D$455,MATCH(C448,'Locations'!$A$6:$A$455,0))</f>
        <v>42.7321456482244</v>
      </c>
      <c r="V448" s="73">
        <f>INDEX('Locations'!$E$6:$E$455,MATCH(C448,'Locations'!$A$6:$A$455,0))</f>
        <v>-73.67166459843681</v>
      </c>
      <c r="W448" s="44"/>
    </row>
    <row r="449" ht="23.1" customHeight="1">
      <c r="A449" t="s" s="24">
        <v>1059</v>
      </c>
      <c r="B449" t="s" s="53">
        <v>218</v>
      </c>
      <c r="C449" t="s" s="53">
        <v>503</v>
      </c>
      <c r="D449" t="s" s="53">
        <v>614</v>
      </c>
      <c r="E449" s="74">
        <f>2*6371000*ASIN(SQRT(MIN(1,SIN(RADIANS(U449-S449)/2)^2+COS(RADIANS(S449))*COS(RADIANS(U449))*SIN(RADIANS(V449-T449)/2)^2)))</f>
        <v>31.5568135532389</v>
      </c>
      <c r="F449" t="s" s="48">
        <v>70</v>
      </c>
      <c r="G449" t="s" s="48">
        <v>69</v>
      </c>
      <c r="H449" t="s" s="48">
        <v>69</v>
      </c>
      <c r="I449" t="s" s="48">
        <v>69</v>
      </c>
      <c r="J449" t="s" s="48">
        <v>69</v>
      </c>
      <c r="K449" s="72"/>
      <c r="L449" s="72"/>
      <c r="M449" s="50"/>
      <c r="N449" s="49"/>
      <c r="O449" s="50"/>
      <c r="P449" s="50"/>
      <c r="Q449" s="32">
        <v>445</v>
      </c>
      <c r="R449" s="64"/>
      <c r="S449" s="54">
        <f>INDEX('Locations'!$D$6:$D$455,MATCH(B449,'Locations'!$A$6:$A$455,0))</f>
        <v>42.732426129427</v>
      </c>
      <c r="T449" s="54">
        <f>INDEX('Locations'!$E$6:$E$455,MATCH(B449,'Locations'!$A$6:$A$455,0))</f>
        <v>-73.6716057078776</v>
      </c>
      <c r="U449" s="54">
        <f>INDEX('Locations'!$D$6:$D$455,MATCH(C449,'Locations'!$A$6:$A$455,0))</f>
        <v>42.7321456482244</v>
      </c>
      <c r="V449" s="75">
        <f>INDEX('Locations'!$E$6:$E$455,MATCH(C449,'Locations'!$A$6:$A$455,0))</f>
        <v>-73.67166459843681</v>
      </c>
      <c r="W449" s="44"/>
    </row>
    <row r="450" ht="23.1" customHeight="1">
      <c r="A450" t="s" s="21">
        <v>1060</v>
      </c>
      <c r="B450" t="s" s="45">
        <v>502</v>
      </c>
      <c r="C450" t="s" s="45">
        <v>501</v>
      </c>
      <c r="D450" t="s" s="45">
        <v>614</v>
      </c>
      <c r="E450" s="71">
        <f>2*6371000*ASIN(SQRT(MIN(1,SIN(RADIANS(U450-S450)/2)^2+COS(RADIANS(S450))*COS(RADIANS(U450))*SIN(RADIANS(V450-T450)/2)^2)))</f>
        <v>25.9622639785849</v>
      </c>
      <c r="F450" t="s" s="48">
        <v>70</v>
      </c>
      <c r="G450" t="s" s="48">
        <v>69</v>
      </c>
      <c r="H450" t="s" s="48">
        <v>69</v>
      </c>
      <c r="I450" t="s" s="48">
        <v>69</v>
      </c>
      <c r="J450" t="s" s="48">
        <v>69</v>
      </c>
      <c r="K450" s="72"/>
      <c r="L450" s="72"/>
      <c r="M450" s="50"/>
      <c r="N450" s="49"/>
      <c r="O450" s="50"/>
      <c r="P450" s="50"/>
      <c r="Q450" s="30">
        <v>446</v>
      </c>
      <c r="R450" s="61"/>
      <c r="S450" s="46">
        <f>INDEX('Locations'!$D$6:$D$455,MATCH(B450,'Locations'!$A$6:$A$455,0))</f>
        <v>42.7323376169163</v>
      </c>
      <c r="T450" s="46">
        <f>INDEX('Locations'!$E$6:$E$455,MATCH(B450,'Locations'!$A$6:$A$455,0))</f>
        <v>-73.6712014321468</v>
      </c>
      <c r="U450" s="46">
        <f>INDEX('Locations'!$D$6:$D$455,MATCH(C450,'Locations'!$A$6:$A$455,0))</f>
        <v>42.7321088638044</v>
      </c>
      <c r="V450" s="73">
        <f>INDEX('Locations'!$E$6:$E$455,MATCH(C450,'Locations'!$A$6:$A$455,0))</f>
        <v>-73.6712650976162</v>
      </c>
      <c r="W450" s="44"/>
    </row>
    <row r="451" ht="23.1" customHeight="1">
      <c r="A451" t="s" s="24">
        <v>1061</v>
      </c>
      <c r="B451" t="s" s="53">
        <v>218</v>
      </c>
      <c r="C451" t="s" s="53">
        <v>502</v>
      </c>
      <c r="D451" t="s" s="53">
        <v>614</v>
      </c>
      <c r="E451" s="74">
        <f>2*6371000*ASIN(SQRT(MIN(1,SIN(RADIANS(U451-S451)/2)^2+COS(RADIANS(S451))*COS(RADIANS(U451))*SIN(RADIANS(V451-T451)/2)^2)))</f>
        <v>34.4552926442173</v>
      </c>
      <c r="F451" t="s" s="48">
        <v>70</v>
      </c>
      <c r="G451" t="s" s="48">
        <v>69</v>
      </c>
      <c r="H451" t="s" s="48">
        <v>69</v>
      </c>
      <c r="I451" t="s" s="48">
        <v>69</v>
      </c>
      <c r="J451" t="s" s="48">
        <v>69</v>
      </c>
      <c r="K451" s="72"/>
      <c r="L451" s="72"/>
      <c r="M451" s="50"/>
      <c r="N451" s="49"/>
      <c r="O451" s="50"/>
      <c r="P451" s="50"/>
      <c r="Q451" s="32">
        <v>447</v>
      </c>
      <c r="R451" s="64"/>
      <c r="S451" s="54">
        <f>INDEX('Locations'!$D$6:$D$455,MATCH(B451,'Locations'!$A$6:$A$455,0))</f>
        <v>42.732426129427</v>
      </c>
      <c r="T451" s="54">
        <f>INDEX('Locations'!$E$6:$E$455,MATCH(B451,'Locations'!$A$6:$A$455,0))</f>
        <v>-73.6716057078776</v>
      </c>
      <c r="U451" s="54">
        <f>INDEX('Locations'!$D$6:$D$455,MATCH(C451,'Locations'!$A$6:$A$455,0))</f>
        <v>42.7323376169163</v>
      </c>
      <c r="V451" s="75">
        <f>INDEX('Locations'!$E$6:$E$455,MATCH(C451,'Locations'!$A$6:$A$455,0))</f>
        <v>-73.6712014321468</v>
      </c>
      <c r="W451" s="44"/>
    </row>
    <row r="452" ht="23.1" customHeight="1">
      <c r="A452" t="s" s="21">
        <v>1062</v>
      </c>
      <c r="B452" t="s" s="45">
        <v>500</v>
      </c>
      <c r="C452" t="s" s="45">
        <v>502</v>
      </c>
      <c r="D452" t="s" s="45">
        <v>614</v>
      </c>
      <c r="E452" s="71">
        <f>2*6371000*ASIN(SQRT(MIN(1,SIN(RADIANS(U452-S452)/2)^2+COS(RADIANS(S452))*COS(RADIANS(U452))*SIN(RADIANS(V452-T452)/2)^2)))</f>
        <v>42.4934647406831</v>
      </c>
      <c r="F452" t="s" s="48">
        <v>70</v>
      </c>
      <c r="G452" t="s" s="48">
        <v>69</v>
      </c>
      <c r="H452" t="s" s="48">
        <v>69</v>
      </c>
      <c r="I452" t="s" s="48">
        <v>69</v>
      </c>
      <c r="J452" t="s" s="48">
        <v>69</v>
      </c>
      <c r="K452" s="72"/>
      <c r="L452" s="72"/>
      <c r="M452" s="50"/>
      <c r="N452" s="49"/>
      <c r="O452" s="50"/>
      <c r="P452" s="50"/>
      <c r="Q452" s="30">
        <v>448</v>
      </c>
      <c r="R452" s="61"/>
      <c r="S452" s="46">
        <f>INDEX('Locations'!$D$6:$D$455,MATCH(B452,'Locations'!$A$6:$A$455,0))</f>
        <v>42.7322870383388</v>
      </c>
      <c r="T452" s="46">
        <f>INDEX('Locations'!$E$6:$E$455,MATCH(B452,'Locations'!$A$6:$A$455,0))</f>
        <v>-73.67068574184459</v>
      </c>
      <c r="U452" s="46">
        <f>INDEX('Locations'!$D$6:$D$455,MATCH(C452,'Locations'!$A$6:$A$455,0))</f>
        <v>42.7323376169163</v>
      </c>
      <c r="V452" s="73">
        <f>INDEX('Locations'!$E$6:$E$455,MATCH(C452,'Locations'!$A$6:$A$455,0))</f>
        <v>-73.6712014321468</v>
      </c>
      <c r="W452" s="44"/>
    </row>
    <row r="453" ht="23.1" customHeight="1">
      <c r="A453" t="s" s="24">
        <v>1063</v>
      </c>
      <c r="B453" t="s" s="53">
        <v>496</v>
      </c>
      <c r="C453" t="s" s="53">
        <v>504</v>
      </c>
      <c r="D453" t="s" s="53">
        <v>614</v>
      </c>
      <c r="E453" s="74">
        <f>2*6371000*ASIN(SQRT(MIN(1,SIN(RADIANS(U453-S453)/2)^2+COS(RADIANS(S453))*COS(RADIANS(U453))*SIN(RADIANS(V453-T453)/2)^2)))</f>
        <v>20.8757405766337</v>
      </c>
      <c r="F453" t="s" s="48">
        <v>70</v>
      </c>
      <c r="G453" t="s" s="48">
        <v>69</v>
      </c>
      <c r="H453" t="s" s="48">
        <v>69</v>
      </c>
      <c r="I453" t="s" s="48">
        <v>69</v>
      </c>
      <c r="J453" t="s" s="48">
        <v>69</v>
      </c>
      <c r="K453" s="72"/>
      <c r="L453" s="72"/>
      <c r="M453" s="50"/>
      <c r="N453" s="49"/>
      <c r="O453" s="50"/>
      <c r="P453" s="50"/>
      <c r="Q453" s="32">
        <v>449</v>
      </c>
      <c r="R453" s="64"/>
      <c r="S453" s="54">
        <f>INDEX('Locations'!$D$6:$D$455,MATCH(B453,'Locations'!$A$6:$A$455,0))</f>
        <v>42.731563994583</v>
      </c>
      <c r="T453" s="54">
        <f>INDEX('Locations'!$E$6:$E$455,MATCH(B453,'Locations'!$A$6:$A$455,0))</f>
        <v>-73.6708894713467</v>
      </c>
      <c r="U453" s="54">
        <f>INDEX('Locations'!$D$6:$D$455,MATCH(C453,'Locations'!$A$6:$A$455,0))</f>
        <v>42.7314605384017</v>
      </c>
      <c r="V453" s="75">
        <f>INDEX('Locations'!$E$6:$E$455,MATCH(C453,'Locations'!$A$6:$A$455,0))</f>
        <v>-73.67110275066921</v>
      </c>
      <c r="W453" s="44"/>
    </row>
    <row r="454" ht="23.1" customHeight="1">
      <c r="A454" t="s" s="21">
        <v>1064</v>
      </c>
      <c r="B454" t="s" s="45">
        <v>505</v>
      </c>
      <c r="C454" t="s" s="45">
        <v>504</v>
      </c>
      <c r="D454" t="s" s="45">
        <v>614</v>
      </c>
      <c r="E454" s="71">
        <f>2*6371000*ASIN(SQRT(MIN(1,SIN(RADIANS(U454-S454)/2)^2+COS(RADIANS(S454))*COS(RADIANS(U454))*SIN(RADIANS(V454-T454)/2)^2)))</f>
        <v>60.7807658413769</v>
      </c>
      <c r="F454" t="s" s="48">
        <v>70</v>
      </c>
      <c r="G454" t="s" s="48">
        <v>69</v>
      </c>
      <c r="H454" t="s" s="48">
        <v>69</v>
      </c>
      <c r="I454" t="s" s="48">
        <v>69</v>
      </c>
      <c r="J454" t="s" s="48">
        <v>69</v>
      </c>
      <c r="K454" s="72"/>
      <c r="L454" s="72"/>
      <c r="M454" s="50"/>
      <c r="N454" s="49"/>
      <c r="O454" s="50"/>
      <c r="P454" s="50"/>
      <c r="Q454" s="30">
        <v>450</v>
      </c>
      <c r="R454" s="61"/>
      <c r="S454" s="46">
        <f>INDEX('Locations'!$D$6:$D$455,MATCH(B454,'Locations'!$A$6:$A$455,0))</f>
        <v>42.7315444528599</v>
      </c>
      <c r="T454" s="46">
        <f>INDEX('Locations'!$E$6:$E$455,MATCH(B454,'Locations'!$A$6:$A$455,0))</f>
        <v>-73.67183808684091</v>
      </c>
      <c r="U454" s="46">
        <f>INDEX('Locations'!$D$6:$D$455,MATCH(C454,'Locations'!$A$6:$A$455,0))</f>
        <v>42.7314605384017</v>
      </c>
      <c r="V454" s="73">
        <f>INDEX('Locations'!$E$6:$E$455,MATCH(C454,'Locations'!$A$6:$A$455,0))</f>
        <v>-73.67110275066921</v>
      </c>
      <c r="W454" s="44"/>
    </row>
    <row r="455" ht="23.1" customHeight="1">
      <c r="A455" t="s" s="24">
        <v>1065</v>
      </c>
      <c r="B455" t="s" s="53">
        <v>238</v>
      </c>
      <c r="C455" t="s" s="53">
        <v>505</v>
      </c>
      <c r="D455" t="s" s="53">
        <v>614</v>
      </c>
      <c r="E455" s="74">
        <f>2*6371000*ASIN(SQRT(MIN(1,SIN(RADIANS(U455-S455)/2)^2+COS(RADIANS(S455))*COS(RADIANS(U455))*SIN(RADIANS(V455-T455)/2)^2)))</f>
        <v>13.2213487275347</v>
      </c>
      <c r="F455" t="s" s="48">
        <v>70</v>
      </c>
      <c r="G455" t="s" s="48">
        <v>69</v>
      </c>
      <c r="H455" t="s" s="48">
        <v>69</v>
      </c>
      <c r="I455" t="s" s="48">
        <v>69</v>
      </c>
      <c r="J455" t="s" s="48">
        <v>69</v>
      </c>
      <c r="K455" s="72"/>
      <c r="L455" s="72"/>
      <c r="M455" s="50"/>
      <c r="N455" s="49"/>
      <c r="O455" s="50"/>
      <c r="P455" s="50"/>
      <c r="Q455" s="32">
        <v>451</v>
      </c>
      <c r="R455" s="64"/>
      <c r="S455" s="54">
        <f>INDEX('Locations'!$D$6:$D$455,MATCH(B455,'Locations'!$A$6:$A$455,0))</f>
        <v>42.7316594041724</v>
      </c>
      <c r="T455" s="54">
        <f>INDEX('Locations'!$E$6:$E$455,MATCH(B455,'Locations'!$A$6:$A$455,0))</f>
        <v>-73.6717967042858</v>
      </c>
      <c r="U455" s="54">
        <f>INDEX('Locations'!$D$6:$D$455,MATCH(C455,'Locations'!$A$6:$A$455,0))</f>
        <v>42.7315444528599</v>
      </c>
      <c r="V455" s="75">
        <f>INDEX('Locations'!$E$6:$E$455,MATCH(C455,'Locations'!$A$6:$A$455,0))</f>
        <v>-73.67183808684091</v>
      </c>
      <c r="W455" s="44"/>
    </row>
    <row r="456" ht="23.1" customHeight="1">
      <c r="A456" t="s" s="21">
        <v>1066</v>
      </c>
      <c r="B456" t="s" s="45">
        <v>227</v>
      </c>
      <c r="C456" t="s" s="45">
        <v>505</v>
      </c>
      <c r="D456" t="s" s="45">
        <v>614</v>
      </c>
      <c r="E456" s="71">
        <f>2*6371000*ASIN(SQRT(MIN(1,SIN(RADIANS(U456-S456)/2)^2+COS(RADIANS(S456))*COS(RADIANS(U456))*SIN(RADIANS(V456-T456)/2)^2)))</f>
        <v>31.5825738433376</v>
      </c>
      <c r="F456" t="s" s="48">
        <v>70</v>
      </c>
      <c r="G456" t="s" s="48">
        <v>69</v>
      </c>
      <c r="H456" t="s" s="48">
        <v>69</v>
      </c>
      <c r="I456" t="s" s="48">
        <v>69</v>
      </c>
      <c r="J456" t="s" s="48">
        <v>69</v>
      </c>
      <c r="K456" s="72"/>
      <c r="L456" s="72"/>
      <c r="M456" s="50"/>
      <c r="N456" s="49"/>
      <c r="O456" s="50"/>
      <c r="P456" s="50"/>
      <c r="Q456" s="30">
        <v>452</v>
      </c>
      <c r="R456" s="61"/>
      <c r="S456" s="46">
        <f>INDEX('Locations'!$D$6:$D$455,MATCH(B456,'Locations'!$A$6:$A$455,0))</f>
        <v>42.7312651211704</v>
      </c>
      <c r="T456" s="46">
        <f>INDEX('Locations'!$E$6:$E$455,MATCH(B456,'Locations'!$A$6:$A$455,0))</f>
        <v>-73.6719081188573</v>
      </c>
      <c r="U456" s="46">
        <f>INDEX('Locations'!$D$6:$D$455,MATCH(C456,'Locations'!$A$6:$A$455,0))</f>
        <v>42.7315444528599</v>
      </c>
      <c r="V456" s="73">
        <f>INDEX('Locations'!$E$6:$E$455,MATCH(C456,'Locations'!$A$6:$A$455,0))</f>
        <v>-73.67183808684091</v>
      </c>
      <c r="W456" s="44"/>
    </row>
    <row r="457" ht="23.1" customHeight="1">
      <c r="A457" t="s" s="24">
        <v>1067</v>
      </c>
      <c r="B457" t="s" s="53">
        <v>504</v>
      </c>
      <c r="C457" t="s" s="53">
        <v>97</v>
      </c>
      <c r="D457" t="s" s="53">
        <v>614</v>
      </c>
      <c r="E457" s="74">
        <f>2*6371000*ASIN(SQRT(MIN(1,SIN(RADIANS(U457-S457)/2)^2+COS(RADIANS(S457))*COS(RADIANS(U457))*SIN(RADIANS(V457-T457)/2)^2)))</f>
        <v>42.8653290719782</v>
      </c>
      <c r="F457" t="s" s="48">
        <v>70</v>
      </c>
      <c r="G457" t="s" s="48">
        <v>69</v>
      </c>
      <c r="H457" t="s" s="48">
        <v>69</v>
      </c>
      <c r="I457" t="s" s="48">
        <v>69</v>
      </c>
      <c r="J457" t="s" s="48">
        <v>69</v>
      </c>
      <c r="K457" s="72"/>
      <c r="L457" s="72"/>
      <c r="M457" s="50"/>
      <c r="N457" s="49"/>
      <c r="O457" s="50"/>
      <c r="P457" s="50"/>
      <c r="Q457" s="32">
        <v>453</v>
      </c>
      <c r="R457" s="64"/>
      <c r="S457" s="54">
        <f>INDEX('Locations'!$D$6:$D$455,MATCH(B457,'Locations'!$A$6:$A$455,0))</f>
        <v>42.7314605384017</v>
      </c>
      <c r="T457" s="54">
        <f>INDEX('Locations'!$E$6:$E$455,MATCH(B457,'Locations'!$A$6:$A$455,0))</f>
        <v>-73.67110275066921</v>
      </c>
      <c r="U457" s="54">
        <f>INDEX('Locations'!$D$6:$D$455,MATCH(C457,'Locations'!$A$6:$A$455,0))</f>
        <v>42.7310890611734</v>
      </c>
      <c r="V457" s="75">
        <f>INDEX('Locations'!$E$6:$E$455,MATCH(C457,'Locations'!$A$6:$A$455,0))</f>
        <v>-73.67124299833191</v>
      </c>
      <c r="W457" s="44"/>
    </row>
    <row r="458" ht="23.1" customHeight="1">
      <c r="A458" t="s" s="21">
        <v>1068</v>
      </c>
      <c r="B458" t="s" s="45">
        <v>506</v>
      </c>
      <c r="C458" t="s" s="45">
        <v>500</v>
      </c>
      <c r="D458" t="s" s="45">
        <v>614</v>
      </c>
      <c r="E458" s="71">
        <f>2*6371000*ASIN(SQRT(MIN(1,SIN(RADIANS(U458-S458)/2)^2+COS(RADIANS(S458))*COS(RADIANS(U458))*SIN(RADIANS(V458-T458)/2)^2)))</f>
        <v>50.1765713905468</v>
      </c>
      <c r="F458" t="s" s="48">
        <v>70</v>
      </c>
      <c r="G458" t="s" s="48">
        <v>69</v>
      </c>
      <c r="H458" t="s" s="48">
        <v>69</v>
      </c>
      <c r="I458" t="s" s="48">
        <v>69</v>
      </c>
      <c r="J458" t="s" s="48">
        <v>69</v>
      </c>
      <c r="K458" s="72"/>
      <c r="L458" s="72"/>
      <c r="M458" s="50"/>
      <c r="N458" s="49"/>
      <c r="O458" s="50"/>
      <c r="P458" s="50"/>
      <c r="Q458" s="30">
        <v>454</v>
      </c>
      <c r="R458" s="61"/>
      <c r="S458" s="46">
        <f>INDEX('Locations'!$D$6:$D$455,MATCH(B458,'Locations'!$A$6:$A$455,0))</f>
        <v>42.7325410807395</v>
      </c>
      <c r="T458" s="46">
        <f>INDEX('Locations'!$E$6:$E$455,MATCH(B458,'Locations'!$A$6:$A$455,0))</f>
        <v>-73.670178009726</v>
      </c>
      <c r="U458" s="46">
        <f>INDEX('Locations'!$D$6:$D$455,MATCH(C458,'Locations'!$A$6:$A$455,0))</f>
        <v>42.7322870383388</v>
      </c>
      <c r="V458" s="73">
        <f>INDEX('Locations'!$E$6:$E$455,MATCH(C458,'Locations'!$A$6:$A$455,0))</f>
        <v>-73.67068574184459</v>
      </c>
      <c r="W458" s="44"/>
    </row>
    <row r="459" ht="23.1" customHeight="1">
      <c r="A459" t="s" s="24">
        <v>1069</v>
      </c>
      <c r="B459" t="s" s="53">
        <v>506</v>
      </c>
      <c r="C459" t="s" s="53">
        <v>498</v>
      </c>
      <c r="D459" t="s" s="53">
        <v>614</v>
      </c>
      <c r="E459" s="74">
        <f>2*6371000*ASIN(SQRT(MIN(1,SIN(RADIANS(U459-S459)/2)^2+COS(RADIANS(S459))*COS(RADIANS(U459))*SIN(RADIANS(V459-T459)/2)^2)))</f>
        <v>76.38079063699951</v>
      </c>
      <c r="F459" t="s" s="48">
        <v>70</v>
      </c>
      <c r="G459" t="s" s="48">
        <v>69</v>
      </c>
      <c r="H459" t="s" s="48">
        <v>69</v>
      </c>
      <c r="I459" t="s" s="48">
        <v>69</v>
      </c>
      <c r="J459" t="s" s="48">
        <v>69</v>
      </c>
      <c r="K459" s="72"/>
      <c r="L459" s="72"/>
      <c r="M459" s="50"/>
      <c r="N459" s="49"/>
      <c r="O459" s="50"/>
      <c r="P459" s="50"/>
      <c r="Q459" s="32">
        <v>455</v>
      </c>
      <c r="R459" s="64"/>
      <c r="S459" s="54">
        <f>INDEX('Locations'!$D$6:$D$455,MATCH(B459,'Locations'!$A$6:$A$455,0))</f>
        <v>42.7325410807395</v>
      </c>
      <c r="T459" s="54">
        <f>INDEX('Locations'!$E$6:$E$455,MATCH(B459,'Locations'!$A$6:$A$455,0))</f>
        <v>-73.670178009726</v>
      </c>
      <c r="U459" s="54">
        <f>INDEX('Locations'!$D$6:$D$455,MATCH(C459,'Locations'!$A$6:$A$455,0))</f>
        <v>42.7318605689693</v>
      </c>
      <c r="V459" s="75">
        <f>INDEX('Locations'!$E$6:$E$455,MATCH(C459,'Locations'!$A$6:$A$455,0))</f>
        <v>-73.6703053406649</v>
      </c>
      <c r="W459" s="44"/>
    </row>
    <row r="460" ht="23.1" customHeight="1">
      <c r="A460" t="s" s="21">
        <v>1070</v>
      </c>
      <c r="B460" t="s" s="45">
        <v>507</v>
      </c>
      <c r="C460" t="s" s="45">
        <v>139</v>
      </c>
      <c r="D460" t="s" s="45">
        <v>614</v>
      </c>
      <c r="E460" s="71">
        <f>2*6371000*ASIN(SQRT(MIN(1,SIN(RADIANS(U460-S460)/2)^2+COS(RADIANS(S460))*COS(RADIANS(U460))*SIN(RADIANS(V460-T460)/2)^2)))</f>
        <v>37.1986340302544</v>
      </c>
      <c r="F460" t="s" s="48">
        <v>70</v>
      </c>
      <c r="G460" t="s" s="48">
        <v>69</v>
      </c>
      <c r="H460" t="s" s="48">
        <v>69</v>
      </c>
      <c r="I460" t="s" s="48">
        <v>69</v>
      </c>
      <c r="J460" t="s" s="48">
        <v>69</v>
      </c>
      <c r="K460" s="72"/>
      <c r="L460" s="72"/>
      <c r="M460" s="50"/>
      <c r="N460" s="49"/>
      <c r="O460" s="50"/>
      <c r="P460" s="50"/>
      <c r="Q460" s="30">
        <v>456</v>
      </c>
      <c r="R460" s="61"/>
      <c r="S460" s="46">
        <f>INDEX('Locations'!$D$6:$D$455,MATCH(B460,'Locations'!$A$6:$A$455,0))</f>
        <v>42.7324767080045</v>
      </c>
      <c r="T460" s="46">
        <f>INDEX('Locations'!$E$6:$E$455,MATCH(B460,'Locations'!$A$6:$A$455,0))</f>
        <v>-73.6696066121381</v>
      </c>
      <c r="U460" s="46">
        <f>INDEX('Locations'!$D$6:$D$455,MATCH(C460,'Locations'!$A$6:$A$455,0))</f>
        <v>42.7321437395256</v>
      </c>
      <c r="V460" s="73">
        <f>INDEX('Locations'!$E$6:$E$455,MATCH(C460,'Locations'!$A$6:$A$455,0))</f>
        <v>-73.66965064056549</v>
      </c>
      <c r="W460" s="44"/>
    </row>
    <row r="461" ht="23.1" customHeight="1">
      <c r="A461" t="s" s="24">
        <v>1071</v>
      </c>
      <c r="B461" t="s" s="53">
        <v>510</v>
      </c>
      <c r="C461" t="s" s="53">
        <v>139</v>
      </c>
      <c r="D461" t="s" s="53">
        <v>614</v>
      </c>
      <c r="E461" s="74">
        <f>2*6371000*ASIN(SQRT(MIN(1,SIN(RADIANS(U461-S461)/2)^2+COS(RADIANS(S461))*COS(RADIANS(U461))*SIN(RADIANS(V461-T461)/2)^2)))</f>
        <v>42.2322650192233</v>
      </c>
      <c r="F461" t="s" s="48">
        <v>70</v>
      </c>
      <c r="G461" t="s" s="48">
        <v>69</v>
      </c>
      <c r="H461" t="s" s="48">
        <v>69</v>
      </c>
      <c r="I461" t="s" s="48">
        <v>69</v>
      </c>
      <c r="J461" t="s" s="48">
        <v>69</v>
      </c>
      <c r="K461" s="72"/>
      <c r="L461" s="72"/>
      <c r="M461" s="50"/>
      <c r="N461" s="49"/>
      <c r="O461" s="50"/>
      <c r="P461" s="50"/>
      <c r="Q461" s="32">
        <v>457</v>
      </c>
      <c r="R461" s="64"/>
      <c r="S461" s="54">
        <f>INDEX('Locations'!$D$6:$D$455,MATCH(B461,'Locations'!$A$6:$A$455,0))</f>
        <v>42.7317732059718</v>
      </c>
      <c r="T461" s="54">
        <f>INDEX('Locations'!$E$6:$E$455,MATCH(B461,'Locations'!$A$6:$A$455,0))</f>
        <v>-73.66976418417489</v>
      </c>
      <c r="U461" s="54">
        <f>INDEX('Locations'!$D$6:$D$455,MATCH(C461,'Locations'!$A$6:$A$455,0))</f>
        <v>42.7321437395256</v>
      </c>
      <c r="V461" s="75">
        <f>INDEX('Locations'!$E$6:$E$455,MATCH(C461,'Locations'!$A$6:$A$455,0))</f>
        <v>-73.66965064056549</v>
      </c>
      <c r="W461" s="44"/>
    </row>
    <row r="462" ht="23.1" customHeight="1">
      <c r="A462" t="s" s="21">
        <v>1072</v>
      </c>
      <c r="B462" t="s" s="45">
        <v>498</v>
      </c>
      <c r="C462" t="s" s="45">
        <v>510</v>
      </c>
      <c r="D462" t="s" s="45">
        <v>614</v>
      </c>
      <c r="E462" s="71">
        <f>2*6371000*ASIN(SQRT(MIN(1,SIN(RADIANS(U462-S462)/2)^2+COS(RADIANS(S462))*COS(RADIANS(U462))*SIN(RADIANS(V462-T462)/2)^2)))</f>
        <v>45.2549010781998</v>
      </c>
      <c r="F462" t="s" s="48">
        <v>70</v>
      </c>
      <c r="G462" t="s" s="48">
        <v>69</v>
      </c>
      <c r="H462" t="s" s="48">
        <v>69</v>
      </c>
      <c r="I462" t="s" s="48">
        <v>69</v>
      </c>
      <c r="J462" t="s" s="48">
        <v>69</v>
      </c>
      <c r="K462" s="72"/>
      <c r="L462" s="72"/>
      <c r="M462" s="50"/>
      <c r="N462" s="49"/>
      <c r="O462" s="50"/>
      <c r="P462" s="50"/>
      <c r="Q462" s="30">
        <v>458</v>
      </c>
      <c r="R462" s="61"/>
      <c r="S462" s="46">
        <f>INDEX('Locations'!$D$6:$D$455,MATCH(B462,'Locations'!$A$6:$A$455,0))</f>
        <v>42.7318605689693</v>
      </c>
      <c r="T462" s="46">
        <f>INDEX('Locations'!$E$6:$E$455,MATCH(B462,'Locations'!$A$6:$A$455,0))</f>
        <v>-73.6703053406649</v>
      </c>
      <c r="U462" s="46">
        <f>INDEX('Locations'!$D$6:$D$455,MATCH(C462,'Locations'!$A$6:$A$455,0))</f>
        <v>42.7317732059718</v>
      </c>
      <c r="V462" s="73">
        <f>INDEX('Locations'!$E$6:$E$455,MATCH(C462,'Locations'!$A$6:$A$455,0))</f>
        <v>-73.66976418417489</v>
      </c>
      <c r="W462" s="44"/>
    </row>
    <row r="463" ht="23.1" customHeight="1">
      <c r="A463" t="s" s="24">
        <v>1073</v>
      </c>
      <c r="B463" t="s" s="53">
        <v>509</v>
      </c>
      <c r="C463" t="s" s="53">
        <v>510</v>
      </c>
      <c r="D463" t="s" s="53">
        <v>614</v>
      </c>
      <c r="E463" s="74">
        <f>2*6371000*ASIN(SQRT(MIN(1,SIN(RADIANS(U463-S463)/2)^2+COS(RADIANS(S463))*COS(RADIANS(U463))*SIN(RADIANS(V463-T463)/2)^2)))</f>
        <v>77.3440578100371</v>
      </c>
      <c r="F463" t="s" s="48">
        <v>70</v>
      </c>
      <c r="G463" t="s" s="48">
        <v>69</v>
      </c>
      <c r="H463" t="s" s="48">
        <v>69</v>
      </c>
      <c r="I463" t="s" s="48">
        <v>69</v>
      </c>
      <c r="J463" t="s" s="48">
        <v>69</v>
      </c>
      <c r="K463" s="72"/>
      <c r="L463" s="72"/>
      <c r="M463" s="50"/>
      <c r="N463" s="49"/>
      <c r="O463" s="50"/>
      <c r="P463" s="50"/>
      <c r="Q463" s="32">
        <v>459</v>
      </c>
      <c r="R463" s="64"/>
      <c r="S463" s="54">
        <f>INDEX('Locations'!$D$6:$D$455,MATCH(B463,'Locations'!$A$6:$A$455,0))</f>
        <v>42.7317168798287</v>
      </c>
      <c r="T463" s="54">
        <f>INDEX('Locations'!$E$6:$E$455,MATCH(B463,'Locations'!$A$6:$A$455,0))</f>
        <v>-73.66882034359089</v>
      </c>
      <c r="U463" s="54">
        <f>INDEX('Locations'!$D$6:$D$455,MATCH(C463,'Locations'!$A$6:$A$455,0))</f>
        <v>42.7317732059718</v>
      </c>
      <c r="V463" s="75">
        <f>INDEX('Locations'!$E$6:$E$455,MATCH(C463,'Locations'!$A$6:$A$455,0))</f>
        <v>-73.66976418417489</v>
      </c>
      <c r="W463" s="44"/>
    </row>
    <row r="464" ht="23.1" customHeight="1">
      <c r="A464" t="s" s="21">
        <v>1074</v>
      </c>
      <c r="B464" t="s" s="45">
        <v>508</v>
      </c>
      <c r="C464" t="s" s="45">
        <v>509</v>
      </c>
      <c r="D464" t="s" s="45">
        <v>614</v>
      </c>
      <c r="E464" s="71">
        <f>2*6371000*ASIN(SQRT(MIN(1,SIN(RADIANS(U464-S464)/2)^2+COS(RADIANS(S464))*COS(RADIANS(U464))*SIN(RADIANS(V464-T464)/2)^2)))</f>
        <v>68.3970046427151</v>
      </c>
      <c r="F464" t="s" s="48">
        <v>70</v>
      </c>
      <c r="G464" t="s" s="48">
        <v>69</v>
      </c>
      <c r="H464" t="s" s="48">
        <v>69</v>
      </c>
      <c r="I464" t="s" s="48">
        <v>69</v>
      </c>
      <c r="J464" t="s" s="48">
        <v>69</v>
      </c>
      <c r="K464" s="72"/>
      <c r="L464" s="72"/>
      <c r="M464" s="50"/>
      <c r="N464" s="49"/>
      <c r="O464" s="50"/>
      <c r="P464" s="50"/>
      <c r="Q464" s="30">
        <v>460</v>
      </c>
      <c r="R464" s="61"/>
      <c r="S464" s="46">
        <f>INDEX('Locations'!$D$6:$D$455,MATCH(B464,'Locations'!$A$6:$A$455,0))</f>
        <v>42.732315776167</v>
      </c>
      <c r="T464" s="46">
        <f>INDEX('Locations'!$E$6:$E$455,MATCH(B464,'Locations'!$A$6:$A$455,0))</f>
        <v>-73.6686293471826</v>
      </c>
      <c r="U464" s="46">
        <f>INDEX('Locations'!$D$6:$D$455,MATCH(C464,'Locations'!$A$6:$A$455,0))</f>
        <v>42.7317168798287</v>
      </c>
      <c r="V464" s="73">
        <f>INDEX('Locations'!$E$6:$E$455,MATCH(C464,'Locations'!$A$6:$A$455,0))</f>
        <v>-73.66882034359089</v>
      </c>
      <c r="W464" s="44"/>
    </row>
    <row r="465" ht="23.1" customHeight="1">
      <c r="A465" t="s" s="24">
        <v>1075</v>
      </c>
      <c r="B465" t="s" s="53">
        <v>506</v>
      </c>
      <c r="C465" t="s" s="53">
        <v>507</v>
      </c>
      <c r="D465" t="s" s="53">
        <v>614</v>
      </c>
      <c r="E465" s="74">
        <f>2*6371000*ASIN(SQRT(MIN(1,SIN(RADIANS(U465-S465)/2)^2+COS(RADIANS(S465))*COS(RADIANS(U465))*SIN(RADIANS(V465-T465)/2)^2)))</f>
        <v>47.2151874540341</v>
      </c>
      <c r="F465" t="s" s="48">
        <v>70</v>
      </c>
      <c r="G465" t="s" s="48">
        <v>69</v>
      </c>
      <c r="H465" t="s" s="48">
        <v>69</v>
      </c>
      <c r="I465" t="s" s="48">
        <v>69</v>
      </c>
      <c r="J465" t="s" s="48">
        <v>69</v>
      </c>
      <c r="K465" s="72"/>
      <c r="L465" s="72"/>
      <c r="M465" s="50"/>
      <c r="N465" s="49"/>
      <c r="O465" s="50"/>
      <c r="P465" s="50"/>
      <c r="Q465" s="32">
        <v>461</v>
      </c>
      <c r="R465" s="64"/>
      <c r="S465" s="54">
        <f>INDEX('Locations'!$D$6:$D$455,MATCH(B465,'Locations'!$A$6:$A$455,0))</f>
        <v>42.7325410807395</v>
      </c>
      <c r="T465" s="54">
        <f>INDEX('Locations'!$E$6:$E$455,MATCH(B465,'Locations'!$A$6:$A$455,0))</f>
        <v>-73.670178009726</v>
      </c>
      <c r="U465" s="54">
        <f>INDEX('Locations'!$D$6:$D$455,MATCH(C465,'Locations'!$A$6:$A$455,0))</f>
        <v>42.7324767080045</v>
      </c>
      <c r="V465" s="75">
        <f>INDEX('Locations'!$E$6:$E$455,MATCH(C465,'Locations'!$A$6:$A$455,0))</f>
        <v>-73.6696066121381</v>
      </c>
      <c r="W465" s="44"/>
    </row>
    <row r="466" ht="23.1" customHeight="1">
      <c r="A466" t="s" s="21">
        <v>1076</v>
      </c>
      <c r="B466" t="s" s="45">
        <v>508</v>
      </c>
      <c r="C466" t="s" s="45">
        <v>507</v>
      </c>
      <c r="D466" t="s" s="45">
        <v>614</v>
      </c>
      <c r="E466" s="71">
        <f>2*6371000*ASIN(SQRT(MIN(1,SIN(RADIANS(U466-S466)/2)^2+COS(RADIANS(S466))*COS(RADIANS(U466))*SIN(RADIANS(V466-T466)/2)^2)))</f>
        <v>81.8005556940242</v>
      </c>
      <c r="F466" t="s" s="48">
        <v>70</v>
      </c>
      <c r="G466" t="s" s="48">
        <v>69</v>
      </c>
      <c r="H466" t="s" s="48">
        <v>69</v>
      </c>
      <c r="I466" t="s" s="48">
        <v>69</v>
      </c>
      <c r="J466" t="s" s="48">
        <v>69</v>
      </c>
      <c r="K466" s="72"/>
      <c r="L466" s="72"/>
      <c r="M466" s="50"/>
      <c r="N466" s="49"/>
      <c r="O466" s="50"/>
      <c r="P466" s="50"/>
      <c r="Q466" s="30">
        <v>462</v>
      </c>
      <c r="R466" s="61"/>
      <c r="S466" s="46">
        <f>INDEX('Locations'!$D$6:$D$455,MATCH(B466,'Locations'!$A$6:$A$455,0))</f>
        <v>42.732315776167</v>
      </c>
      <c r="T466" s="46">
        <f>INDEX('Locations'!$E$6:$E$455,MATCH(B466,'Locations'!$A$6:$A$455,0))</f>
        <v>-73.6686293471826</v>
      </c>
      <c r="U466" s="46">
        <f>INDEX('Locations'!$D$6:$D$455,MATCH(C466,'Locations'!$A$6:$A$455,0))</f>
        <v>42.7324767080045</v>
      </c>
      <c r="V466" s="73">
        <f>INDEX('Locations'!$E$6:$E$455,MATCH(C466,'Locations'!$A$6:$A$455,0))</f>
        <v>-73.6696066121381</v>
      </c>
      <c r="W466" s="44"/>
    </row>
    <row r="467" ht="23.1" customHeight="1">
      <c r="A467" t="s" s="24">
        <v>1077</v>
      </c>
      <c r="B467" t="s" s="53">
        <v>497</v>
      </c>
      <c r="C467" t="s" s="53">
        <v>511</v>
      </c>
      <c r="D467" t="s" s="53">
        <v>614</v>
      </c>
      <c r="E467" s="74">
        <f>2*6371000*ASIN(SQRT(MIN(1,SIN(RADIANS(U467-S467)/2)^2+COS(RADIANS(S467))*COS(RADIANS(U467))*SIN(RADIANS(V467-T467)/2)^2)))</f>
        <v>117.566069319247</v>
      </c>
      <c r="F467" t="s" s="48">
        <v>70</v>
      </c>
      <c r="G467" t="s" s="48">
        <v>69</v>
      </c>
      <c r="H467" t="s" s="48">
        <v>69</v>
      </c>
      <c r="I467" t="s" s="48">
        <v>69</v>
      </c>
      <c r="J467" t="s" s="48">
        <v>69</v>
      </c>
      <c r="K467" s="72"/>
      <c r="L467" s="72"/>
      <c r="M467" s="50"/>
      <c r="N467" s="49"/>
      <c r="O467" s="50"/>
      <c r="P467" s="50"/>
      <c r="Q467" s="32">
        <v>463</v>
      </c>
      <c r="R467" s="64"/>
      <c r="S467" s="54">
        <f>INDEX('Locations'!$D$6:$D$455,MATCH(B467,'Locations'!$A$6:$A$455,0))</f>
        <v>42.7316053770555</v>
      </c>
      <c r="T467" s="54">
        <f>INDEX('Locations'!$E$6:$E$455,MATCH(B467,'Locations'!$A$6:$A$455,0))</f>
        <v>-73.6704597294282</v>
      </c>
      <c r="U467" s="54">
        <f>INDEX('Locations'!$D$6:$D$455,MATCH(C467,'Locations'!$A$6:$A$455,0))</f>
        <v>42.731361680273</v>
      </c>
      <c r="V467" s="75">
        <f>INDEX('Locations'!$E$6:$E$455,MATCH(C467,'Locations'!$A$6:$A$455,0))</f>
        <v>-73.6690590891012</v>
      </c>
      <c r="W467" s="44"/>
    </row>
    <row r="468" ht="23.1" customHeight="1">
      <c r="A468" t="s" s="21">
        <v>1078</v>
      </c>
      <c r="B468" t="s" s="45">
        <v>509</v>
      </c>
      <c r="C468" t="s" s="45">
        <v>513</v>
      </c>
      <c r="D468" t="s" s="45">
        <v>614</v>
      </c>
      <c r="E468" s="71">
        <f>2*6371000*ASIN(SQRT(MIN(1,SIN(RADIANS(U468-S468)/2)^2+COS(RADIANS(S468))*COS(RADIANS(U468))*SIN(RADIANS(V468-T468)/2)^2)))</f>
        <v>15.9689474600715</v>
      </c>
      <c r="F468" t="s" s="48">
        <v>70</v>
      </c>
      <c r="G468" t="s" s="48">
        <v>69</v>
      </c>
      <c r="H468" t="s" s="48">
        <v>69</v>
      </c>
      <c r="I468" t="s" s="48">
        <v>69</v>
      </c>
      <c r="J468" t="s" s="48">
        <v>69</v>
      </c>
      <c r="K468" s="72"/>
      <c r="L468" s="72"/>
      <c r="M468" s="50"/>
      <c r="N468" s="49"/>
      <c r="O468" s="50"/>
      <c r="P468" s="50"/>
      <c r="Q468" s="30">
        <v>464</v>
      </c>
      <c r="R468" s="61"/>
      <c r="S468" s="46">
        <f>INDEX('Locations'!$D$6:$D$455,MATCH(B468,'Locations'!$A$6:$A$455,0))</f>
        <v>42.7317168798287</v>
      </c>
      <c r="T468" s="46">
        <f>INDEX('Locations'!$E$6:$E$455,MATCH(B468,'Locations'!$A$6:$A$455,0))</f>
        <v>-73.66882034359089</v>
      </c>
      <c r="U468" s="46">
        <f>INDEX('Locations'!$D$6:$D$455,MATCH(C468,'Locations'!$A$6:$A$455,0))</f>
        <v>42.7315846858193</v>
      </c>
      <c r="V468" s="73">
        <f>INDEX('Locations'!$E$6:$E$455,MATCH(C468,'Locations'!$A$6:$A$455,0))</f>
        <v>-73.6688967421542</v>
      </c>
      <c r="W468" s="44"/>
    </row>
    <row r="469" ht="23.1" customHeight="1">
      <c r="A469" t="s" s="24">
        <v>1079</v>
      </c>
      <c r="B469" t="s" s="53">
        <v>511</v>
      </c>
      <c r="C469" t="s" s="53">
        <v>513</v>
      </c>
      <c r="D469" t="s" s="53">
        <v>614</v>
      </c>
      <c r="E469" s="74">
        <f>2*6371000*ASIN(SQRT(MIN(1,SIN(RADIANS(U469-S469)/2)^2+COS(RADIANS(S469))*COS(RADIANS(U469))*SIN(RADIANS(V469-T469)/2)^2)))</f>
        <v>28.1198295303261</v>
      </c>
      <c r="F469" t="s" s="48">
        <v>70</v>
      </c>
      <c r="G469" t="s" s="48">
        <v>69</v>
      </c>
      <c r="H469" t="s" s="48">
        <v>69</v>
      </c>
      <c r="I469" t="s" s="48">
        <v>69</v>
      </c>
      <c r="J469" t="s" s="48">
        <v>69</v>
      </c>
      <c r="K469" s="72"/>
      <c r="L469" s="72"/>
      <c r="M469" s="50"/>
      <c r="N469" s="49"/>
      <c r="O469" s="50"/>
      <c r="P469" s="50"/>
      <c r="Q469" s="32">
        <v>465</v>
      </c>
      <c r="R469" s="64"/>
      <c r="S469" s="54">
        <f>INDEX('Locations'!$D$6:$D$455,MATCH(B469,'Locations'!$A$6:$A$455,0))</f>
        <v>42.731361680273</v>
      </c>
      <c r="T469" s="54">
        <f>INDEX('Locations'!$E$6:$E$455,MATCH(B469,'Locations'!$A$6:$A$455,0))</f>
        <v>-73.6690590891012</v>
      </c>
      <c r="U469" s="54">
        <f>INDEX('Locations'!$D$6:$D$455,MATCH(C469,'Locations'!$A$6:$A$455,0))</f>
        <v>42.7315846858193</v>
      </c>
      <c r="V469" s="75">
        <f>INDEX('Locations'!$E$6:$E$455,MATCH(C469,'Locations'!$A$6:$A$455,0))</f>
        <v>-73.6688967421542</v>
      </c>
      <c r="W469" s="44"/>
    </row>
    <row r="470" ht="23.1" customHeight="1">
      <c r="A470" t="s" s="21">
        <v>1080</v>
      </c>
      <c r="B470" t="s" s="45">
        <v>512</v>
      </c>
      <c r="C470" t="s" s="45">
        <v>513</v>
      </c>
      <c r="D470" t="s" s="45">
        <v>614</v>
      </c>
      <c r="E470" s="71">
        <f>2*6371000*ASIN(SQRT(MIN(1,SIN(RADIANS(U470-S470)/2)^2+COS(RADIANS(S470))*COS(RADIANS(U470))*SIN(RADIANS(V470-T470)/2)^2)))</f>
        <v>21.2280654614079</v>
      </c>
      <c r="F470" t="s" s="48">
        <v>70</v>
      </c>
      <c r="G470" t="s" s="48">
        <v>69</v>
      </c>
      <c r="H470" t="s" s="48">
        <v>69</v>
      </c>
      <c r="I470" t="s" s="48">
        <v>69</v>
      </c>
      <c r="J470" t="s" s="48">
        <v>69</v>
      </c>
      <c r="K470" s="72"/>
      <c r="L470" s="72"/>
      <c r="M470" s="50"/>
      <c r="N470" s="49"/>
      <c r="O470" s="50"/>
      <c r="P470" s="50"/>
      <c r="Q470" s="30">
        <v>466</v>
      </c>
      <c r="R470" s="61"/>
      <c r="S470" s="46">
        <f>INDEX('Locations'!$D$6:$D$455,MATCH(B470,'Locations'!$A$6:$A$455,0))</f>
        <v>42.731490425743</v>
      </c>
      <c r="T470" s="46">
        <f>INDEX('Locations'!$E$6:$E$455,MATCH(B470,'Locations'!$A$6:$A$455,0))</f>
        <v>-73.6686707297378</v>
      </c>
      <c r="U470" s="46">
        <f>INDEX('Locations'!$D$6:$D$455,MATCH(C470,'Locations'!$A$6:$A$455,0))</f>
        <v>42.7315846858193</v>
      </c>
      <c r="V470" s="73">
        <f>INDEX('Locations'!$E$6:$E$455,MATCH(C470,'Locations'!$A$6:$A$455,0))</f>
        <v>-73.6688967421542</v>
      </c>
      <c r="W470" s="44"/>
    </row>
    <row r="471" ht="23.1" customHeight="1">
      <c r="A471" t="s" s="24">
        <v>1081</v>
      </c>
      <c r="B471" t="s" s="53">
        <v>512</v>
      </c>
      <c r="C471" t="s" s="53">
        <v>514</v>
      </c>
      <c r="D471" t="s" s="53">
        <v>614</v>
      </c>
      <c r="E471" s="74">
        <f>2*6371000*ASIN(SQRT(MIN(1,SIN(RADIANS(U471-S471)/2)^2+COS(RADIANS(S471))*COS(RADIANS(U471))*SIN(RADIANS(V471-T471)/2)^2)))</f>
        <v>50.8724761499133</v>
      </c>
      <c r="F471" t="s" s="48">
        <v>70</v>
      </c>
      <c r="G471" t="s" s="48">
        <v>69</v>
      </c>
      <c r="H471" t="s" s="48">
        <v>69</v>
      </c>
      <c r="I471" t="s" s="48">
        <v>69</v>
      </c>
      <c r="J471" t="s" s="48">
        <v>69</v>
      </c>
      <c r="K471" s="72"/>
      <c r="L471" s="72"/>
      <c r="M471" s="50"/>
      <c r="N471" s="49"/>
      <c r="O471" s="50"/>
      <c r="P471" s="50"/>
      <c r="Q471" s="32">
        <v>467</v>
      </c>
      <c r="R471" s="64"/>
      <c r="S471" s="54">
        <f>INDEX('Locations'!$D$6:$D$455,MATCH(B471,'Locations'!$A$6:$A$455,0))</f>
        <v>42.731490425743</v>
      </c>
      <c r="T471" s="54">
        <f>INDEX('Locations'!$E$6:$E$455,MATCH(B471,'Locations'!$A$6:$A$455,0))</f>
        <v>-73.6686707297378</v>
      </c>
      <c r="U471" s="54">
        <f>INDEX('Locations'!$D$6:$D$455,MATCH(C471,'Locations'!$A$6:$A$455,0))</f>
        <v>42.7311202825166</v>
      </c>
      <c r="V471" s="75">
        <f>INDEX('Locations'!$E$6:$E$455,MATCH(C471,'Locations'!$A$6:$A$455,0))</f>
        <v>-73.6690368061869</v>
      </c>
      <c r="W471" s="44"/>
    </row>
    <row r="472" ht="23.1" customHeight="1">
      <c r="A472" t="s" s="21">
        <v>1082</v>
      </c>
      <c r="B472" t="s" s="45">
        <v>171</v>
      </c>
      <c r="C472" t="s" s="45">
        <v>515</v>
      </c>
      <c r="D472" t="s" s="45">
        <v>614</v>
      </c>
      <c r="E472" s="71">
        <f>2*6371000*ASIN(SQRT(MIN(1,SIN(RADIANS(U472-S472)/2)^2+COS(RADIANS(S472))*COS(RADIANS(U472))*SIN(RADIANS(V472-T472)/2)^2)))</f>
        <v>27.3083562571769</v>
      </c>
      <c r="F472" t="s" s="48">
        <v>70</v>
      </c>
      <c r="G472" t="s" s="48">
        <v>69</v>
      </c>
      <c r="H472" t="s" s="48">
        <v>69</v>
      </c>
      <c r="I472" t="s" s="48">
        <v>69</v>
      </c>
      <c r="J472" t="s" s="48">
        <v>69</v>
      </c>
      <c r="K472" s="72"/>
      <c r="L472" s="72"/>
      <c r="M472" s="50"/>
      <c r="N472" s="49"/>
      <c r="O472" s="50"/>
      <c r="P472" s="50"/>
      <c r="Q472" s="30">
        <v>468</v>
      </c>
      <c r="R472" s="61"/>
      <c r="S472" s="46">
        <f>INDEX('Locations'!$D$6:$D$455,MATCH(B472,'Locations'!$A$6:$A$455,0))</f>
        <v>42.7310122669798</v>
      </c>
      <c r="T472" s="46">
        <f>INDEX('Locations'!$E$6:$E$455,MATCH(B472,'Locations'!$A$6:$A$455,0))</f>
        <v>-73.6694188616615</v>
      </c>
      <c r="U472" s="46">
        <f>INDEX('Locations'!$D$6:$D$455,MATCH(C472,'Locations'!$A$6:$A$455,0))</f>
        <v>42.7312421309079</v>
      </c>
      <c r="V472" s="73">
        <f>INDEX('Locations'!$E$6:$E$455,MATCH(C472,'Locations'!$A$6:$A$455,0))</f>
        <v>-73.6695365801217</v>
      </c>
      <c r="W472" s="44"/>
    </row>
    <row r="473" ht="23.1" customHeight="1">
      <c r="A473" t="s" s="24">
        <v>1083</v>
      </c>
      <c r="B473" t="s" s="53">
        <v>514</v>
      </c>
      <c r="C473" t="s" s="53">
        <v>515</v>
      </c>
      <c r="D473" t="s" s="53">
        <v>614</v>
      </c>
      <c r="E473" s="74">
        <f>2*6371000*ASIN(SQRT(MIN(1,SIN(RADIANS(U473-S473)/2)^2+COS(RADIANS(S473))*COS(RADIANS(U473))*SIN(RADIANS(V473-T473)/2)^2)))</f>
        <v>43.0102101563857</v>
      </c>
      <c r="F473" t="s" s="48">
        <v>70</v>
      </c>
      <c r="G473" t="s" s="48">
        <v>69</v>
      </c>
      <c r="H473" t="s" s="48">
        <v>69</v>
      </c>
      <c r="I473" t="s" s="48">
        <v>69</v>
      </c>
      <c r="J473" t="s" s="48">
        <v>69</v>
      </c>
      <c r="K473" s="72"/>
      <c r="L473" s="72"/>
      <c r="M473" s="50"/>
      <c r="N473" s="49"/>
      <c r="O473" s="50"/>
      <c r="P473" s="50"/>
      <c r="Q473" s="32">
        <v>469</v>
      </c>
      <c r="R473" s="64"/>
      <c r="S473" s="54">
        <f>INDEX('Locations'!$D$6:$D$455,MATCH(B473,'Locations'!$A$6:$A$455,0))</f>
        <v>42.7311202825166</v>
      </c>
      <c r="T473" s="54">
        <f>INDEX('Locations'!$E$6:$E$455,MATCH(B473,'Locations'!$A$6:$A$455,0))</f>
        <v>-73.6690368061869</v>
      </c>
      <c r="U473" s="54">
        <f>INDEX('Locations'!$D$6:$D$455,MATCH(C473,'Locations'!$A$6:$A$455,0))</f>
        <v>42.7312421309079</v>
      </c>
      <c r="V473" s="75">
        <f>INDEX('Locations'!$E$6:$E$455,MATCH(C473,'Locations'!$A$6:$A$455,0))</f>
        <v>-73.6695365801217</v>
      </c>
      <c r="W473" s="44"/>
    </row>
    <row r="474" ht="23.1" customHeight="1">
      <c r="A474" t="s" s="21">
        <v>1084</v>
      </c>
      <c r="B474" t="s" s="45">
        <v>516</v>
      </c>
      <c r="C474" t="s" s="45">
        <v>515</v>
      </c>
      <c r="D474" t="s" s="45">
        <v>614</v>
      </c>
      <c r="E474" s="71">
        <f>2*6371000*ASIN(SQRT(MIN(1,SIN(RADIANS(U474-S474)/2)^2+COS(RADIANS(S474))*COS(RADIANS(U474))*SIN(RADIANS(V474-T474)/2)^2)))</f>
        <v>48.900991590639</v>
      </c>
      <c r="F474" t="s" s="48">
        <v>70</v>
      </c>
      <c r="G474" t="s" s="48">
        <v>69</v>
      </c>
      <c r="H474" t="s" s="48">
        <v>69</v>
      </c>
      <c r="I474" t="s" s="48">
        <v>69</v>
      </c>
      <c r="J474" t="s" s="48">
        <v>69</v>
      </c>
      <c r="K474" s="72"/>
      <c r="L474" s="72"/>
      <c r="M474" s="50"/>
      <c r="N474" s="49"/>
      <c r="O474" s="50"/>
      <c r="P474" s="50"/>
      <c r="Q474" s="30">
        <v>470</v>
      </c>
      <c r="R474" s="61"/>
      <c r="S474" s="46">
        <f>INDEX('Locations'!$D$6:$D$455,MATCH(B474,'Locations'!$A$6:$A$455,0))</f>
        <v>42.7312766163017</v>
      </c>
      <c r="T474" s="46">
        <f>INDEX('Locations'!$E$6:$E$455,MATCH(B474,'Locations'!$A$6:$A$455,0))</f>
        <v>-73.6701334438975</v>
      </c>
      <c r="U474" s="46">
        <f>INDEX('Locations'!$D$6:$D$455,MATCH(C474,'Locations'!$A$6:$A$455,0))</f>
        <v>42.7312421309079</v>
      </c>
      <c r="V474" s="73">
        <f>INDEX('Locations'!$E$6:$E$455,MATCH(C474,'Locations'!$A$6:$A$455,0))</f>
        <v>-73.6695365801217</v>
      </c>
      <c r="W474" s="44"/>
    </row>
    <row r="475" ht="23.1" customHeight="1">
      <c r="A475" t="s" s="24">
        <v>1085</v>
      </c>
      <c r="B475" t="s" s="53">
        <v>517</v>
      </c>
      <c r="C475" t="s" s="53">
        <v>516</v>
      </c>
      <c r="D475" t="s" s="53">
        <v>614</v>
      </c>
      <c r="E475" s="74">
        <f>2*6371000*ASIN(SQRT(MIN(1,SIN(RADIANS(U475-S475)/2)^2+COS(RADIANS(S475))*COS(RADIANS(U475))*SIN(RADIANS(V475-T475)/2)^2)))</f>
        <v>47.7306839046504</v>
      </c>
      <c r="F475" t="s" s="48">
        <v>70</v>
      </c>
      <c r="G475" t="s" s="48">
        <v>69</v>
      </c>
      <c r="H475" t="s" s="48">
        <v>69</v>
      </c>
      <c r="I475" t="s" s="48">
        <v>69</v>
      </c>
      <c r="J475" t="s" s="48">
        <v>69</v>
      </c>
      <c r="K475" s="72"/>
      <c r="L475" s="72"/>
      <c r="M475" s="50"/>
      <c r="N475" s="49"/>
      <c r="O475" s="50"/>
      <c r="P475" s="50"/>
      <c r="Q475" s="32">
        <v>471</v>
      </c>
      <c r="R475" s="64"/>
      <c r="S475" s="54">
        <f>INDEX('Locations'!$D$6:$D$455,MATCH(B475,'Locations'!$A$6:$A$455,0))</f>
        <v>42.7308489974191</v>
      </c>
      <c r="T475" s="54">
        <f>INDEX('Locations'!$E$6:$E$455,MATCH(B475,'Locations'!$A$6:$A$455,0))</f>
        <v>-73.670184376273</v>
      </c>
      <c r="U475" s="54">
        <f>INDEX('Locations'!$D$6:$D$455,MATCH(C475,'Locations'!$A$6:$A$455,0))</f>
        <v>42.7312766163017</v>
      </c>
      <c r="V475" s="75">
        <f>INDEX('Locations'!$E$6:$E$455,MATCH(C475,'Locations'!$A$6:$A$455,0))</f>
        <v>-73.6701334438975</v>
      </c>
      <c r="W475" s="44"/>
    </row>
    <row r="476" ht="23.1" customHeight="1">
      <c r="A476" t="s" s="21">
        <v>1086</v>
      </c>
      <c r="B476" t="s" s="45">
        <v>492</v>
      </c>
      <c r="C476" t="s" s="45">
        <v>517</v>
      </c>
      <c r="D476" t="s" s="45">
        <v>614</v>
      </c>
      <c r="E476" s="71">
        <f>2*6371000*ASIN(SQRT(MIN(1,SIN(RADIANS(U476-S476)/2)^2+COS(RADIANS(S476))*COS(RADIANS(U476))*SIN(RADIANS(V476-T476)/2)^2)))</f>
        <v>33.1514855602755</v>
      </c>
      <c r="F476" t="s" s="48">
        <v>70</v>
      </c>
      <c r="G476" t="s" s="48">
        <v>69</v>
      </c>
      <c r="H476" t="s" s="48">
        <v>69</v>
      </c>
      <c r="I476" t="s" s="48">
        <v>69</v>
      </c>
      <c r="J476" t="s" s="48">
        <v>69</v>
      </c>
      <c r="K476" s="72"/>
      <c r="L476" s="72"/>
      <c r="M476" s="50"/>
      <c r="N476" s="49"/>
      <c r="O476" s="50"/>
      <c r="P476" s="50"/>
      <c r="Q476" s="30">
        <v>472</v>
      </c>
      <c r="R476" s="61"/>
      <c r="S476" s="46">
        <f>INDEX('Locations'!$D$6:$D$455,MATCH(B476,'Locations'!$A$6:$A$455,0))</f>
        <v>42.7308512964453</v>
      </c>
      <c r="T476" s="46">
        <f>INDEX('Locations'!$E$6:$E$455,MATCH(B476,'Locations'!$A$6:$A$455,0))</f>
        <v>-73.6705902436405</v>
      </c>
      <c r="U476" s="46">
        <f>INDEX('Locations'!$D$6:$D$455,MATCH(C476,'Locations'!$A$6:$A$455,0))</f>
        <v>42.7308489974191</v>
      </c>
      <c r="V476" s="73">
        <f>INDEX('Locations'!$E$6:$E$455,MATCH(C476,'Locations'!$A$6:$A$455,0))</f>
        <v>-73.670184376273</v>
      </c>
      <c r="W476" s="44"/>
    </row>
    <row r="477" ht="23.1" customHeight="1">
      <c r="A477" t="s" s="24">
        <v>1087</v>
      </c>
      <c r="B477" t="s" s="53">
        <v>514</v>
      </c>
      <c r="C477" t="s" s="53">
        <v>518</v>
      </c>
      <c r="D477" t="s" s="53">
        <v>614</v>
      </c>
      <c r="E477" s="74">
        <f>2*6371000*ASIN(SQRT(MIN(1,SIN(RADIANS(U477-S477)/2)^2+COS(RADIANS(S477))*COS(RADIANS(U477))*SIN(RADIANS(V477-T477)/2)^2)))</f>
        <v>24.7786090775547</v>
      </c>
      <c r="F477" t="s" s="48">
        <v>70</v>
      </c>
      <c r="G477" t="s" s="48">
        <v>69</v>
      </c>
      <c r="H477" t="s" s="48">
        <v>69</v>
      </c>
      <c r="I477" t="s" s="48">
        <v>69</v>
      </c>
      <c r="J477" t="s" s="48">
        <v>69</v>
      </c>
      <c r="K477" s="72"/>
      <c r="L477" s="72"/>
      <c r="M477" s="50"/>
      <c r="N477" s="49"/>
      <c r="O477" s="50"/>
      <c r="P477" s="50"/>
      <c r="Q477" s="32">
        <v>473</v>
      </c>
      <c r="R477" s="64"/>
      <c r="S477" s="54">
        <f>INDEX('Locations'!$D$6:$D$455,MATCH(B477,'Locations'!$A$6:$A$455,0))</f>
        <v>42.7311202825166</v>
      </c>
      <c r="T477" s="54">
        <f>INDEX('Locations'!$E$6:$E$455,MATCH(B477,'Locations'!$A$6:$A$455,0))</f>
        <v>-73.6690368061869</v>
      </c>
      <c r="U477" s="54">
        <f>INDEX('Locations'!$D$6:$D$455,MATCH(C477,'Locations'!$A$6:$A$455,0))</f>
        <v>42.7309087721016</v>
      </c>
      <c r="V477" s="75">
        <f>INDEX('Locations'!$E$6:$E$455,MATCH(C477,'Locations'!$A$6:$A$455,0))</f>
        <v>-73.669132304391</v>
      </c>
      <c r="W477" s="44"/>
    </row>
    <row r="478" ht="23.1" customHeight="1">
      <c r="A478" t="s" s="21">
        <v>1088</v>
      </c>
      <c r="B478" t="s" s="45">
        <v>519</v>
      </c>
      <c r="C478" t="s" s="45">
        <v>518</v>
      </c>
      <c r="D478" t="s" s="45">
        <v>614</v>
      </c>
      <c r="E478" s="71">
        <f>2*6371000*ASIN(SQRT(MIN(1,SIN(RADIANS(U478-S478)/2)^2+COS(RADIANS(S478))*COS(RADIANS(U478))*SIN(RADIANS(V478-T478)/2)^2)))</f>
        <v>61.6642015653518</v>
      </c>
      <c r="F478" t="s" s="48">
        <v>70</v>
      </c>
      <c r="G478" t="s" s="48">
        <v>69</v>
      </c>
      <c r="H478" t="s" s="48">
        <v>69</v>
      </c>
      <c r="I478" t="s" s="48">
        <v>69</v>
      </c>
      <c r="J478" t="s" s="48">
        <v>69</v>
      </c>
      <c r="K478" s="72"/>
      <c r="L478" s="72"/>
      <c r="M478" s="50"/>
      <c r="N478" s="49"/>
      <c r="O478" s="50"/>
      <c r="P478" s="50"/>
      <c r="Q478" s="30">
        <v>474</v>
      </c>
      <c r="R478" s="61"/>
      <c r="S478" s="46">
        <f>INDEX('Locations'!$D$6:$D$455,MATCH(B478,'Locations'!$A$6:$A$455,0))</f>
        <v>42.7305294327702</v>
      </c>
      <c r="T478" s="46">
        <f>INDEX('Locations'!$E$6:$E$455,MATCH(B478,'Locations'!$A$6:$A$455,0))</f>
        <v>-73.66858159808061</v>
      </c>
      <c r="U478" s="46">
        <f>INDEX('Locations'!$D$6:$D$455,MATCH(C478,'Locations'!$A$6:$A$455,0))</f>
        <v>42.7309087721016</v>
      </c>
      <c r="V478" s="73">
        <f>INDEX('Locations'!$E$6:$E$455,MATCH(C478,'Locations'!$A$6:$A$455,0))</f>
        <v>-73.669132304391</v>
      </c>
      <c r="W478" s="44"/>
    </row>
    <row r="479" ht="23.1" customHeight="1">
      <c r="A479" t="s" s="24">
        <v>1089</v>
      </c>
      <c r="B479" t="s" s="53">
        <v>521</v>
      </c>
      <c r="C479" t="s" s="53">
        <v>520</v>
      </c>
      <c r="D479" t="s" s="53">
        <v>614</v>
      </c>
      <c r="E479" s="74">
        <f>2*6371000*ASIN(SQRT(MIN(1,SIN(RADIANS(U479-S479)/2)^2+COS(RADIANS(S479))*COS(RADIANS(U479))*SIN(RADIANS(V479-T479)/2)^2)))</f>
        <v>63.2364026235219</v>
      </c>
      <c r="F479" t="s" s="48">
        <v>70</v>
      </c>
      <c r="G479" t="s" s="48">
        <v>69</v>
      </c>
      <c r="H479" t="s" s="48">
        <v>69</v>
      </c>
      <c r="I479" t="s" s="48">
        <v>69</v>
      </c>
      <c r="J479" t="s" s="48">
        <v>69</v>
      </c>
      <c r="K479" s="72"/>
      <c r="L479" s="72"/>
      <c r="M479" s="50"/>
      <c r="N479" s="49"/>
      <c r="O479" s="50"/>
      <c r="P479" s="50"/>
      <c r="Q479" s="32">
        <v>475</v>
      </c>
      <c r="R479" s="64"/>
      <c r="S479" s="54">
        <f>INDEX('Locations'!$D$6:$D$455,MATCH(B479,'Locations'!$A$6:$A$455,0))</f>
        <v>42.7312536260392</v>
      </c>
      <c r="T479" s="54">
        <f>INDEX('Locations'!$E$6:$E$455,MATCH(B479,'Locations'!$A$6:$A$455,0))</f>
        <v>-73.66808341578241</v>
      </c>
      <c r="U479" s="54">
        <f>INDEX('Locations'!$D$6:$D$455,MATCH(C479,'Locations'!$A$6:$A$455,0))</f>
        <v>42.7307076073047</v>
      </c>
      <c r="V479" s="75">
        <f>INDEX('Locations'!$E$6:$E$455,MATCH(C479,'Locations'!$A$6:$A$455,0))</f>
        <v>-73.66829987837841</v>
      </c>
      <c r="W479" s="44"/>
    </row>
    <row r="480" ht="23.1" customHeight="1">
      <c r="A480" t="s" s="21">
        <v>1090</v>
      </c>
      <c r="B480" t="s" s="45">
        <v>519</v>
      </c>
      <c r="C480" t="s" s="45">
        <v>520</v>
      </c>
      <c r="D480" t="s" s="45">
        <v>614</v>
      </c>
      <c r="E480" s="71">
        <f>2*6371000*ASIN(SQRT(MIN(1,SIN(RADIANS(U480-S480)/2)^2+COS(RADIANS(S480))*COS(RADIANS(U480))*SIN(RADIANS(V480-T480)/2)^2)))</f>
        <v>30.3644446625083</v>
      </c>
      <c r="F480" t="s" s="48">
        <v>70</v>
      </c>
      <c r="G480" t="s" s="48">
        <v>69</v>
      </c>
      <c r="H480" t="s" s="48">
        <v>69</v>
      </c>
      <c r="I480" t="s" s="48">
        <v>69</v>
      </c>
      <c r="J480" t="s" s="48">
        <v>69</v>
      </c>
      <c r="K480" s="72"/>
      <c r="L480" s="72"/>
      <c r="M480" s="50"/>
      <c r="N480" s="49"/>
      <c r="O480" s="50"/>
      <c r="P480" s="50"/>
      <c r="Q480" s="30">
        <v>476</v>
      </c>
      <c r="R480" s="61"/>
      <c r="S480" s="46">
        <f>INDEX('Locations'!$D$6:$D$455,MATCH(B480,'Locations'!$A$6:$A$455,0))</f>
        <v>42.7305294327702</v>
      </c>
      <c r="T480" s="46">
        <f>INDEX('Locations'!$E$6:$E$455,MATCH(B480,'Locations'!$A$6:$A$455,0))</f>
        <v>-73.66858159808061</v>
      </c>
      <c r="U480" s="46">
        <f>INDEX('Locations'!$D$6:$D$455,MATCH(C480,'Locations'!$A$6:$A$455,0))</f>
        <v>42.7307076073047</v>
      </c>
      <c r="V480" s="73">
        <f>INDEX('Locations'!$E$6:$E$455,MATCH(C480,'Locations'!$A$6:$A$455,0))</f>
        <v>-73.66829987837841</v>
      </c>
      <c r="W480" s="44"/>
    </row>
    <row r="481" ht="23.1" customHeight="1">
      <c r="A481" t="s" s="24">
        <v>1091</v>
      </c>
      <c r="B481" t="s" s="53">
        <v>512</v>
      </c>
      <c r="C481" t="s" s="53">
        <v>522</v>
      </c>
      <c r="D481" t="s" s="53">
        <v>614</v>
      </c>
      <c r="E481" s="74">
        <f>2*6371000*ASIN(SQRT(MIN(1,SIN(RADIANS(U481-S481)/2)^2+COS(RADIANS(S481))*COS(RADIANS(U481))*SIN(RADIANS(V481-T481)/2)^2)))</f>
        <v>86.1568948525258</v>
      </c>
      <c r="F481" t="s" s="48">
        <v>70</v>
      </c>
      <c r="G481" t="s" s="48">
        <v>69</v>
      </c>
      <c r="H481" t="s" s="48">
        <v>69</v>
      </c>
      <c r="I481" t="s" s="48">
        <v>69</v>
      </c>
      <c r="J481" t="s" s="48">
        <v>69</v>
      </c>
      <c r="K481" s="72"/>
      <c r="L481" s="72"/>
      <c r="M481" s="50"/>
      <c r="N481" s="49"/>
      <c r="O481" s="50"/>
      <c r="P481" s="50"/>
      <c r="Q481" s="32">
        <v>477</v>
      </c>
      <c r="R481" s="64"/>
      <c r="S481" s="54">
        <f>INDEX('Locations'!$D$6:$D$455,MATCH(B481,'Locations'!$A$6:$A$455,0))</f>
        <v>42.731490425743</v>
      </c>
      <c r="T481" s="54">
        <f>INDEX('Locations'!$E$6:$E$455,MATCH(B481,'Locations'!$A$6:$A$455,0))</f>
        <v>-73.6686707297378</v>
      </c>
      <c r="U481" s="54">
        <f>INDEX('Locations'!$D$6:$D$455,MATCH(C481,'Locations'!$A$6:$A$455,0))</f>
        <v>42.7321801336182</v>
      </c>
      <c r="V481" s="75">
        <f>INDEX('Locations'!$E$6:$E$455,MATCH(C481,'Locations'!$A$6:$A$455,0))</f>
        <v>-73.6681900554437</v>
      </c>
      <c r="W481" s="44"/>
    </row>
    <row r="482" ht="23.1" customHeight="1">
      <c r="A482" t="s" s="21">
        <v>1092</v>
      </c>
      <c r="B482" t="s" s="45">
        <v>523</v>
      </c>
      <c r="C482" t="s" s="45">
        <v>522</v>
      </c>
      <c r="D482" t="s" s="45">
        <v>614</v>
      </c>
      <c r="E482" s="71">
        <f>2*6371000*ASIN(SQRT(MIN(1,SIN(RADIANS(U482-S482)/2)^2+COS(RADIANS(S482))*COS(RADIANS(U482))*SIN(RADIANS(V482-T482)/2)^2)))</f>
        <v>22.4249477520163</v>
      </c>
      <c r="F482" t="s" s="48">
        <v>70</v>
      </c>
      <c r="G482" t="s" s="48">
        <v>69</v>
      </c>
      <c r="H482" t="s" s="48">
        <v>69</v>
      </c>
      <c r="I482" t="s" s="48">
        <v>69</v>
      </c>
      <c r="J482" t="s" s="48">
        <v>69</v>
      </c>
      <c r="K482" s="72"/>
      <c r="L482" s="72"/>
      <c r="M482" s="50"/>
      <c r="N482" s="49"/>
      <c r="O482" s="50"/>
      <c r="P482" s="50"/>
      <c r="Q482" s="30">
        <v>478</v>
      </c>
      <c r="R482" s="61"/>
      <c r="S482" s="46">
        <f>INDEX('Locations'!$D$6:$D$455,MATCH(B482,'Locations'!$A$6:$A$455,0))</f>
        <v>42.7323778498757</v>
      </c>
      <c r="T482" s="46">
        <f>INDEX('Locations'!$E$6:$E$455,MATCH(B482,'Locations'!$A$6:$A$455,0))</f>
        <v>-73.66813593979469</v>
      </c>
      <c r="U482" s="46">
        <f>INDEX('Locations'!$D$6:$D$455,MATCH(C482,'Locations'!$A$6:$A$455,0))</f>
        <v>42.7321801336182</v>
      </c>
      <c r="V482" s="73">
        <f>INDEX('Locations'!$E$6:$E$455,MATCH(C482,'Locations'!$A$6:$A$455,0))</f>
        <v>-73.6681900554437</v>
      </c>
      <c r="W482" s="44"/>
    </row>
    <row r="483" ht="23.1" customHeight="1">
      <c r="A483" t="s" s="24">
        <v>1093</v>
      </c>
      <c r="B483" t="s" s="53">
        <v>121</v>
      </c>
      <c r="C483" t="s" s="53">
        <v>523</v>
      </c>
      <c r="D483" t="s" s="53">
        <v>614</v>
      </c>
      <c r="E483" s="74">
        <f>2*6371000*ASIN(SQRT(MIN(1,SIN(RADIANS(U483-S483)/2)^2+COS(RADIANS(S483))*COS(RADIANS(U483))*SIN(RADIANS(V483-T483)/2)^2)))</f>
        <v>41.8445972710312</v>
      </c>
      <c r="F483" t="s" s="48">
        <v>70</v>
      </c>
      <c r="G483" t="s" s="48">
        <v>69</v>
      </c>
      <c r="H483" t="s" s="48">
        <v>69</v>
      </c>
      <c r="I483" t="s" s="48">
        <v>69</v>
      </c>
      <c r="J483" t="s" s="48">
        <v>69</v>
      </c>
      <c r="K483" s="72"/>
      <c r="L483" s="72"/>
      <c r="M483" s="50"/>
      <c r="N483" s="49"/>
      <c r="O483" s="50"/>
      <c r="P483" s="50"/>
      <c r="Q483" s="32">
        <v>479</v>
      </c>
      <c r="R483" s="64"/>
      <c r="S483" s="54">
        <f>INDEX('Locations'!$D$6:$D$455,MATCH(B483,'Locations'!$A$6:$A$455,0))</f>
        <v>42.732367962673</v>
      </c>
      <c r="T483" s="54">
        <f>INDEX('Locations'!$E$6:$E$455,MATCH(B483,'Locations'!$A$6:$A$455,0))</f>
        <v>-73.6676237933532</v>
      </c>
      <c r="U483" s="54">
        <f>INDEX('Locations'!$D$6:$D$455,MATCH(C483,'Locations'!$A$6:$A$455,0))</f>
        <v>42.7323778498757</v>
      </c>
      <c r="V483" s="75">
        <f>INDEX('Locations'!$E$6:$E$455,MATCH(C483,'Locations'!$A$6:$A$455,0))</f>
        <v>-73.66813593979469</v>
      </c>
      <c r="W483" s="44"/>
    </row>
    <row r="484" ht="23.1" customHeight="1">
      <c r="A484" t="s" s="21">
        <v>1094</v>
      </c>
      <c r="B484" t="s" s="45">
        <v>524</v>
      </c>
      <c r="C484" t="s" s="45">
        <v>523</v>
      </c>
      <c r="D484" t="s" s="45">
        <v>614</v>
      </c>
      <c r="E484" s="71">
        <f>2*6371000*ASIN(SQRT(MIN(1,SIN(RADIANS(U484-S484)/2)^2+COS(RADIANS(S484))*COS(RADIANS(U484))*SIN(RADIANS(V484-T484)/2)^2)))</f>
        <v>31.4019860447373</v>
      </c>
      <c r="F484" t="s" s="48">
        <v>70</v>
      </c>
      <c r="G484" t="s" s="48">
        <v>69</v>
      </c>
      <c r="H484" t="s" s="48">
        <v>69</v>
      </c>
      <c r="I484" t="s" s="48">
        <v>69</v>
      </c>
      <c r="J484" t="s" s="48">
        <v>69</v>
      </c>
      <c r="K484" s="72"/>
      <c r="L484" s="72"/>
      <c r="M484" s="50"/>
      <c r="N484" s="49"/>
      <c r="O484" s="50"/>
      <c r="P484" s="50"/>
      <c r="Q484" s="30">
        <v>480</v>
      </c>
      <c r="R484" s="61"/>
      <c r="S484" s="46">
        <f>INDEX('Locations'!$D$6:$D$455,MATCH(B484,'Locations'!$A$6:$A$455,0))</f>
        <v>42.732426129427</v>
      </c>
      <c r="T484" s="46">
        <f>INDEX('Locations'!$E$6:$E$455,MATCH(B484,'Locations'!$A$6:$A$455,0))</f>
        <v>-73.6685147493377</v>
      </c>
      <c r="U484" s="46">
        <f>INDEX('Locations'!$D$6:$D$455,MATCH(C484,'Locations'!$A$6:$A$455,0))</f>
        <v>42.7323778498757</v>
      </c>
      <c r="V484" s="73">
        <f>INDEX('Locations'!$E$6:$E$455,MATCH(C484,'Locations'!$A$6:$A$455,0))</f>
        <v>-73.66813593979469</v>
      </c>
      <c r="W484" s="44"/>
    </row>
    <row r="485" ht="23.1" customHeight="1">
      <c r="A485" t="s" s="24">
        <v>1095</v>
      </c>
      <c r="B485" t="s" s="53">
        <v>508</v>
      </c>
      <c r="C485" t="s" s="53">
        <v>524</v>
      </c>
      <c r="D485" t="s" s="53">
        <v>614</v>
      </c>
      <c r="E485" s="74">
        <f>2*6371000*ASIN(SQRT(MIN(1,SIN(RADIANS(U485-S485)/2)^2+COS(RADIANS(S485))*COS(RADIANS(U485))*SIN(RADIANS(V485-T485)/2)^2)))</f>
        <v>15.4330353498847</v>
      </c>
      <c r="F485" t="s" s="48">
        <v>70</v>
      </c>
      <c r="G485" t="s" s="48">
        <v>69</v>
      </c>
      <c r="H485" t="s" s="48">
        <v>69</v>
      </c>
      <c r="I485" t="s" s="48">
        <v>69</v>
      </c>
      <c r="J485" t="s" s="48">
        <v>69</v>
      </c>
      <c r="K485" s="72"/>
      <c r="L485" s="72"/>
      <c r="M485" s="50"/>
      <c r="N485" s="49"/>
      <c r="O485" s="50"/>
      <c r="P485" s="50"/>
      <c r="Q485" s="32">
        <v>481</v>
      </c>
      <c r="R485" s="64"/>
      <c r="S485" s="54">
        <f>INDEX('Locations'!$D$6:$D$455,MATCH(B485,'Locations'!$A$6:$A$455,0))</f>
        <v>42.732315776167</v>
      </c>
      <c r="T485" s="54">
        <f>INDEX('Locations'!$E$6:$E$455,MATCH(B485,'Locations'!$A$6:$A$455,0))</f>
        <v>-73.6686293471826</v>
      </c>
      <c r="U485" s="54">
        <f>INDEX('Locations'!$D$6:$D$455,MATCH(C485,'Locations'!$A$6:$A$455,0))</f>
        <v>42.732426129427</v>
      </c>
      <c r="V485" s="75">
        <f>INDEX('Locations'!$E$6:$E$455,MATCH(C485,'Locations'!$A$6:$A$455,0))</f>
        <v>-73.6685147493377</v>
      </c>
      <c r="W485" s="44"/>
    </row>
    <row r="486" ht="23.1" customHeight="1">
      <c r="A486" t="s" s="21">
        <v>1096</v>
      </c>
      <c r="B486" t="s" s="45">
        <v>521</v>
      </c>
      <c r="C486" t="s" s="45">
        <v>525</v>
      </c>
      <c r="D486" t="s" s="45">
        <v>614</v>
      </c>
      <c r="E486" s="71">
        <f>2*6371000*ASIN(SQRT(MIN(1,SIN(RADIANS(U486-S486)/2)^2+COS(RADIANS(S486))*COS(RADIANS(U486))*SIN(RADIANS(V486-T486)/2)^2)))</f>
        <v>96.4926358891407</v>
      </c>
      <c r="F486" t="s" s="48">
        <v>70</v>
      </c>
      <c r="G486" t="s" s="48">
        <v>69</v>
      </c>
      <c r="H486" t="s" s="48">
        <v>69</v>
      </c>
      <c r="I486" t="s" s="48">
        <v>69</v>
      </c>
      <c r="J486" t="s" s="48">
        <v>69</v>
      </c>
      <c r="K486" s="72"/>
      <c r="L486" s="72"/>
      <c r="M486" s="50"/>
      <c r="N486" s="49"/>
      <c r="O486" s="50"/>
      <c r="P486" s="50"/>
      <c r="Q486" s="30">
        <v>482</v>
      </c>
      <c r="R486" s="61"/>
      <c r="S486" s="46">
        <f>INDEX('Locations'!$D$6:$D$455,MATCH(B486,'Locations'!$A$6:$A$455,0))</f>
        <v>42.7312536260392</v>
      </c>
      <c r="T486" s="46">
        <f>INDEX('Locations'!$E$6:$E$455,MATCH(B486,'Locations'!$A$6:$A$455,0))</f>
        <v>-73.66808341578241</v>
      </c>
      <c r="U486" s="46">
        <f>INDEX('Locations'!$D$6:$D$455,MATCH(C486,'Locations'!$A$6:$A$455,0))</f>
        <v>42.7308432498534</v>
      </c>
      <c r="V486" s="73">
        <f>INDEX('Locations'!$E$6:$E$455,MATCH(C486,'Locations'!$A$6:$A$455,0))</f>
        <v>-73.6670424853576</v>
      </c>
      <c r="W486" s="44"/>
    </row>
    <row r="487" ht="23.1" customHeight="1">
      <c r="A487" t="s" s="24">
        <v>1097</v>
      </c>
      <c r="B487" t="s" s="53">
        <v>526</v>
      </c>
      <c r="C487" t="s" s="53">
        <v>525</v>
      </c>
      <c r="D487" t="s" s="53">
        <v>614</v>
      </c>
      <c r="E487" s="74">
        <f>2*6371000*ASIN(SQRT(MIN(1,SIN(RADIANS(U487-S487)/2)^2+COS(RADIANS(S487))*COS(RADIANS(U487))*SIN(RADIANS(V487-T487)/2)^2)))</f>
        <v>125.413015115840</v>
      </c>
      <c r="F487" t="s" s="48">
        <v>70</v>
      </c>
      <c r="G487" t="s" s="48">
        <v>69</v>
      </c>
      <c r="H487" t="s" s="48">
        <v>69</v>
      </c>
      <c r="I487" t="s" s="48">
        <v>69</v>
      </c>
      <c r="J487" t="s" s="48">
        <v>69</v>
      </c>
      <c r="K487" s="72"/>
      <c r="L487" s="72"/>
      <c r="M487" s="50"/>
      <c r="N487" s="49"/>
      <c r="O487" s="50"/>
      <c r="P487" s="50"/>
      <c r="Q487" s="32">
        <v>483</v>
      </c>
      <c r="R487" s="64"/>
      <c r="S487" s="54">
        <f>INDEX('Locations'!$D$6:$D$455,MATCH(B487,'Locations'!$A$6:$A$455,0))</f>
        <v>42.7297650065419</v>
      </c>
      <c r="T487" s="54">
        <f>INDEX('Locations'!$E$6:$E$455,MATCH(B487,'Locations'!$A$6:$A$455,0))</f>
        <v>-73.66749291855361</v>
      </c>
      <c r="U487" s="54">
        <f>INDEX('Locations'!$D$6:$D$455,MATCH(C487,'Locations'!$A$6:$A$455,0))</f>
        <v>42.7308432498534</v>
      </c>
      <c r="V487" s="75">
        <f>INDEX('Locations'!$E$6:$E$455,MATCH(C487,'Locations'!$A$6:$A$455,0))</f>
        <v>-73.6670424853576</v>
      </c>
      <c r="W487" s="44"/>
    </row>
    <row r="488" ht="23.1" customHeight="1">
      <c r="A488" t="s" s="21">
        <v>1098</v>
      </c>
      <c r="B488" t="s" s="45">
        <v>527</v>
      </c>
      <c r="C488" t="s" s="45">
        <v>526</v>
      </c>
      <c r="D488" t="s" s="45">
        <v>614</v>
      </c>
      <c r="E488" s="71">
        <f>2*6371000*ASIN(SQRT(MIN(1,SIN(RADIANS(U488-S488)/2)^2+COS(RADIANS(S488))*COS(RADIANS(U488))*SIN(RADIANS(V488-T488)/2)^2)))</f>
        <v>96.15431197584709</v>
      </c>
      <c r="F488" t="s" s="48">
        <v>70</v>
      </c>
      <c r="G488" t="s" s="48">
        <v>69</v>
      </c>
      <c r="H488" t="s" s="48">
        <v>69</v>
      </c>
      <c r="I488" t="s" s="48">
        <v>69</v>
      </c>
      <c r="J488" t="s" s="48">
        <v>69</v>
      </c>
      <c r="K488" s="72"/>
      <c r="L488" s="72"/>
      <c r="M488" s="50"/>
      <c r="N488" s="49"/>
      <c r="O488" s="50"/>
      <c r="P488" s="50"/>
      <c r="Q488" s="30">
        <v>484</v>
      </c>
      <c r="R488" s="61"/>
      <c r="S488" s="46">
        <f>INDEX('Locations'!$D$6:$D$455,MATCH(B488,'Locations'!$A$6:$A$455,0))</f>
        <v>42.7290189725236</v>
      </c>
      <c r="T488" s="46">
        <f>INDEX('Locations'!$E$6:$E$455,MATCH(B488,'Locations'!$A$6:$A$455,0))</f>
        <v>-73.6680881906926</v>
      </c>
      <c r="U488" s="46">
        <f>INDEX('Locations'!$D$6:$D$455,MATCH(C488,'Locations'!$A$6:$A$455,0))</f>
        <v>42.7297650065419</v>
      </c>
      <c r="V488" s="73">
        <f>INDEX('Locations'!$E$6:$E$455,MATCH(C488,'Locations'!$A$6:$A$455,0))</f>
        <v>-73.66749291855361</v>
      </c>
      <c r="W488" s="44"/>
    </row>
    <row r="489" ht="23.1" customHeight="1">
      <c r="A489" t="s" s="24">
        <v>1099</v>
      </c>
      <c r="B489" t="s" s="53">
        <v>527</v>
      </c>
      <c r="C489" t="s" s="53">
        <v>528</v>
      </c>
      <c r="D489" t="s" s="53">
        <v>614</v>
      </c>
      <c r="E489" s="74">
        <f>2*6371000*ASIN(SQRT(MIN(1,SIN(RADIANS(U489-S489)/2)^2+COS(RADIANS(S489))*COS(RADIANS(U489))*SIN(RADIANS(V489-T489)/2)^2)))</f>
        <v>14.8271232140341</v>
      </c>
      <c r="F489" t="s" s="48">
        <v>70</v>
      </c>
      <c r="G489" t="s" s="48">
        <v>69</v>
      </c>
      <c r="H489" t="s" s="48">
        <v>69</v>
      </c>
      <c r="I489" t="s" s="48">
        <v>69</v>
      </c>
      <c r="J489" t="s" s="48">
        <v>69</v>
      </c>
      <c r="K489" s="72"/>
      <c r="L489" s="72"/>
      <c r="M489" s="50"/>
      <c r="N489" s="49"/>
      <c r="O489" s="50"/>
      <c r="P489" s="50"/>
      <c r="Q489" s="32">
        <v>485</v>
      </c>
      <c r="R489" s="64"/>
      <c r="S489" s="54">
        <f>INDEX('Locations'!$D$6:$D$455,MATCH(B489,'Locations'!$A$6:$A$455,0))</f>
        <v>42.7290189725236</v>
      </c>
      <c r="T489" s="54">
        <f>INDEX('Locations'!$E$6:$E$455,MATCH(B489,'Locations'!$A$6:$A$455,0))</f>
        <v>-73.6680881906926</v>
      </c>
      <c r="U489" s="54">
        <f>INDEX('Locations'!$D$6:$D$455,MATCH(C489,'Locations'!$A$6:$A$455,0))</f>
        <v>42.728885629001</v>
      </c>
      <c r="V489" s="75">
        <f>INDEX('Locations'!$E$6:$E$455,MATCH(C489,'Locations'!$A$6:$A$455,0))</f>
        <v>-73.6680881906926</v>
      </c>
      <c r="W489" s="44"/>
    </row>
    <row r="490" ht="23.1" customHeight="1">
      <c r="A490" t="s" s="21">
        <v>1100</v>
      </c>
      <c r="B490" t="s" s="45">
        <v>129</v>
      </c>
      <c r="C490" t="s" s="45">
        <v>528</v>
      </c>
      <c r="D490" t="s" s="45">
        <v>614</v>
      </c>
      <c r="E490" s="71">
        <f>2*6371000*ASIN(SQRT(MIN(1,SIN(RADIANS(U490-S490)/2)^2+COS(RADIANS(S490))*COS(RADIANS(U490))*SIN(RADIANS(V490-T490)/2)^2)))</f>
        <v>14.2103858654875</v>
      </c>
      <c r="F490" t="s" s="48">
        <v>70</v>
      </c>
      <c r="G490" t="s" s="48">
        <v>69</v>
      </c>
      <c r="H490" t="s" s="48">
        <v>69</v>
      </c>
      <c r="I490" t="s" s="48">
        <v>69</v>
      </c>
      <c r="J490" t="s" s="48">
        <v>69</v>
      </c>
      <c r="K490" s="72"/>
      <c r="L490" s="72"/>
      <c r="M490" s="50"/>
      <c r="N490" s="49"/>
      <c r="O490" s="50"/>
      <c r="P490" s="50"/>
      <c r="Q490" s="30">
        <v>486</v>
      </c>
      <c r="R490" s="61"/>
      <c r="S490" s="46">
        <f>INDEX('Locations'!$D$6:$D$455,MATCH(B490,'Locations'!$A$6:$A$455,0))</f>
        <v>42.7288083242615</v>
      </c>
      <c r="T490" s="46">
        <f>INDEX('Locations'!$E$6:$E$455,MATCH(B490,'Locations'!$A$6:$A$455,0))</f>
        <v>-73.6679496547526</v>
      </c>
      <c r="U490" s="46">
        <f>INDEX('Locations'!$D$6:$D$455,MATCH(C490,'Locations'!$A$6:$A$455,0))</f>
        <v>42.728885629001</v>
      </c>
      <c r="V490" s="73">
        <f>INDEX('Locations'!$E$6:$E$455,MATCH(C490,'Locations'!$A$6:$A$455,0))</f>
        <v>-73.6680881906926</v>
      </c>
      <c r="W490" s="44"/>
    </row>
    <row r="491" ht="23.1" customHeight="1">
      <c r="A491" t="s" s="24">
        <v>1101</v>
      </c>
      <c r="B491" t="s" s="53">
        <v>525</v>
      </c>
      <c r="C491" t="s" s="53">
        <v>529</v>
      </c>
      <c r="D491" t="s" s="53">
        <v>614</v>
      </c>
      <c r="E491" s="74">
        <f>2*6371000*ASIN(SQRT(MIN(1,SIN(RADIANS(U491-S491)/2)^2+COS(RADIANS(S491))*COS(RADIANS(U491))*SIN(RADIANS(V491-T491)/2)^2)))</f>
        <v>20.4527406927995</v>
      </c>
      <c r="F491" t="s" s="48">
        <v>70</v>
      </c>
      <c r="G491" t="s" s="48">
        <v>69</v>
      </c>
      <c r="H491" t="s" s="48">
        <v>69</v>
      </c>
      <c r="I491" t="s" s="48">
        <v>69</v>
      </c>
      <c r="J491" t="s" s="48">
        <v>69</v>
      </c>
      <c r="K491" s="72"/>
      <c r="L491" s="72"/>
      <c r="M491" s="50"/>
      <c r="N491" s="49"/>
      <c r="O491" s="50"/>
      <c r="P491" s="50"/>
      <c r="Q491" s="32">
        <v>487</v>
      </c>
      <c r="R491" s="64"/>
      <c r="S491" s="54">
        <f>INDEX('Locations'!$D$6:$D$455,MATCH(B491,'Locations'!$A$6:$A$455,0))</f>
        <v>42.7308432498534</v>
      </c>
      <c r="T491" s="54">
        <f>INDEX('Locations'!$E$6:$E$455,MATCH(B491,'Locations'!$A$6:$A$455,0))</f>
        <v>-73.6670424853576</v>
      </c>
      <c r="U491" s="54">
        <f>INDEX('Locations'!$D$6:$D$455,MATCH(C491,'Locations'!$A$6:$A$455,0))</f>
        <v>42.7309271643116</v>
      </c>
      <c r="V491" s="75">
        <f>INDEX('Locations'!$E$6:$E$455,MATCH(C491,'Locations'!$A$6:$A$455,0))</f>
        <v>-73.6668196562146</v>
      </c>
      <c r="W491" s="44"/>
    </row>
    <row r="492" ht="23.1" customHeight="1">
      <c r="A492" t="s" s="21">
        <v>1102</v>
      </c>
      <c r="B492" t="s" s="45">
        <v>530</v>
      </c>
      <c r="C492" t="s" s="45">
        <v>529</v>
      </c>
      <c r="D492" t="s" s="45">
        <v>614</v>
      </c>
      <c r="E492" s="71">
        <f>2*6371000*ASIN(SQRT(MIN(1,SIN(RADIANS(U492-S492)/2)^2+COS(RADIANS(S492))*COS(RADIANS(U492))*SIN(RADIANS(V492-T492)/2)^2)))</f>
        <v>41.6848029982134</v>
      </c>
      <c r="F492" t="s" s="48">
        <v>70</v>
      </c>
      <c r="G492" t="s" s="48">
        <v>69</v>
      </c>
      <c r="H492" t="s" s="48">
        <v>69</v>
      </c>
      <c r="I492" t="s" s="48">
        <v>69</v>
      </c>
      <c r="J492" t="s" s="48">
        <v>69</v>
      </c>
      <c r="K492" s="72"/>
      <c r="L492" s="72"/>
      <c r="M492" s="50"/>
      <c r="N492" s="49"/>
      <c r="O492" s="50"/>
      <c r="P492" s="50"/>
      <c r="Q492" s="30">
        <v>488</v>
      </c>
      <c r="R492" s="61"/>
      <c r="S492" s="46">
        <f>INDEX('Locations'!$D$6:$D$455,MATCH(B492,'Locations'!$A$6:$A$455,0))</f>
        <v>42.7307363451328</v>
      </c>
      <c r="T492" s="46">
        <f>INDEX('Locations'!$E$6:$E$455,MATCH(B492,'Locations'!$A$6:$A$455,0))</f>
        <v>-73.6663803644757</v>
      </c>
      <c r="U492" s="46">
        <f>INDEX('Locations'!$D$6:$D$455,MATCH(C492,'Locations'!$A$6:$A$455,0))</f>
        <v>42.7309271643116</v>
      </c>
      <c r="V492" s="73">
        <f>INDEX('Locations'!$E$6:$E$455,MATCH(C492,'Locations'!$A$6:$A$455,0))</f>
        <v>-73.6668196562146</v>
      </c>
      <c r="W492" s="44"/>
    </row>
    <row r="493" ht="23.1" customHeight="1">
      <c r="A493" t="s" s="24">
        <v>1103</v>
      </c>
      <c r="B493" t="s" s="53">
        <v>531</v>
      </c>
      <c r="C493" t="s" s="53">
        <v>530</v>
      </c>
      <c r="D493" t="s" s="53">
        <v>614</v>
      </c>
      <c r="E493" s="74">
        <f>2*6371000*ASIN(SQRT(MIN(1,SIN(RADIANS(U493-S493)/2)^2+COS(RADIANS(S493))*COS(RADIANS(U493))*SIN(RADIANS(V493-T493)/2)^2)))</f>
        <v>23.8037778634103</v>
      </c>
      <c r="F493" t="s" s="48">
        <v>70</v>
      </c>
      <c r="G493" t="s" s="48">
        <v>69</v>
      </c>
      <c r="H493" t="s" s="48">
        <v>69</v>
      </c>
      <c r="I493" t="s" s="48">
        <v>69</v>
      </c>
      <c r="J493" t="s" s="48">
        <v>69</v>
      </c>
      <c r="K493" s="72"/>
      <c r="L493" s="72"/>
      <c r="M493" s="50"/>
      <c r="N493" s="49"/>
      <c r="O493" s="50"/>
      <c r="P493" s="50"/>
      <c r="Q493" s="32">
        <v>489</v>
      </c>
      <c r="R493" s="64"/>
      <c r="S493" s="54">
        <f>INDEX('Locations'!$D$6:$D$455,MATCH(B493,'Locations'!$A$6:$A$455,0))</f>
        <v>42.7305236852046</v>
      </c>
      <c r="T493" s="54">
        <f>INDEX('Locations'!$E$6:$E$455,MATCH(B493,'Locations'!$A$6:$A$455,0))</f>
        <v>-73.66641378884719</v>
      </c>
      <c r="U493" s="54">
        <f>INDEX('Locations'!$D$6:$D$455,MATCH(C493,'Locations'!$A$6:$A$455,0))</f>
        <v>42.7307363451328</v>
      </c>
      <c r="V493" s="75">
        <f>INDEX('Locations'!$E$6:$E$455,MATCH(C493,'Locations'!$A$6:$A$455,0))</f>
        <v>-73.6663803644757</v>
      </c>
      <c r="W493" s="44"/>
    </row>
    <row r="494" ht="23.1" customHeight="1">
      <c r="A494" t="s" s="21">
        <v>1104</v>
      </c>
      <c r="B494" t="s" s="45">
        <v>529</v>
      </c>
      <c r="C494" t="s" s="45">
        <v>532</v>
      </c>
      <c r="D494" t="s" s="45">
        <v>614</v>
      </c>
      <c r="E494" s="71">
        <f>2*6371000*ASIN(SQRT(MIN(1,SIN(RADIANS(U494-S494)/2)^2+COS(RADIANS(S494))*COS(RADIANS(U494))*SIN(RADIANS(V494-T494)/2)^2)))</f>
        <v>68.0778424360349</v>
      </c>
      <c r="F494" t="s" s="48">
        <v>70</v>
      </c>
      <c r="G494" t="s" s="48">
        <v>69</v>
      </c>
      <c r="H494" t="s" s="48">
        <v>69</v>
      </c>
      <c r="I494" t="s" s="48">
        <v>69</v>
      </c>
      <c r="J494" t="s" s="48">
        <v>69</v>
      </c>
      <c r="K494" s="72"/>
      <c r="L494" s="72"/>
      <c r="M494" s="50"/>
      <c r="N494" s="49"/>
      <c r="O494" s="50"/>
      <c r="P494" s="50"/>
      <c r="Q494" s="30">
        <v>490</v>
      </c>
      <c r="R494" s="61"/>
      <c r="S494" s="46">
        <f>INDEX('Locations'!$D$6:$D$455,MATCH(B494,'Locations'!$A$6:$A$455,0))</f>
        <v>42.7309271643116</v>
      </c>
      <c r="T494" s="46">
        <f>INDEX('Locations'!$E$6:$E$455,MATCH(B494,'Locations'!$A$6:$A$455,0))</f>
        <v>-73.6668196562146</v>
      </c>
      <c r="U494" s="46">
        <f>INDEX('Locations'!$D$6:$D$455,MATCH(C494,'Locations'!$A$6:$A$455,0))</f>
        <v>42.7314180064161</v>
      </c>
      <c r="V494" s="73">
        <f>INDEX('Locations'!$E$6:$E$455,MATCH(C494,'Locations'!$A$6:$A$455,0))</f>
        <v>-73.6663214739165</v>
      </c>
      <c r="W494" s="44"/>
    </row>
    <row r="495" ht="23.1" customHeight="1">
      <c r="A495" t="s" s="24">
        <v>1105</v>
      </c>
      <c r="B495" t="s" s="53">
        <v>512</v>
      </c>
      <c r="C495" t="s" s="53">
        <v>534</v>
      </c>
      <c r="D495" t="s" s="53">
        <v>614</v>
      </c>
      <c r="E495" s="74">
        <f>2*6371000*ASIN(SQRT(MIN(1,SIN(RADIANS(U495-S495)/2)^2+COS(RADIANS(S495))*COS(RADIANS(U495))*SIN(RADIANS(V495-T495)/2)^2)))</f>
        <v>35.0906209036867</v>
      </c>
      <c r="F495" t="s" s="48">
        <v>70</v>
      </c>
      <c r="G495" t="s" s="48">
        <v>69</v>
      </c>
      <c r="H495" t="s" s="48">
        <v>69</v>
      </c>
      <c r="I495" t="s" s="48">
        <v>69</v>
      </c>
      <c r="J495" t="s" s="48">
        <v>69</v>
      </c>
      <c r="K495" s="72"/>
      <c r="L495" s="72"/>
      <c r="M495" s="50"/>
      <c r="N495" s="49"/>
      <c r="O495" s="50"/>
      <c r="P495" s="50"/>
      <c r="Q495" s="32">
        <v>491</v>
      </c>
      <c r="R495" s="64"/>
      <c r="S495" s="54">
        <f>INDEX('Locations'!$D$6:$D$455,MATCH(B495,'Locations'!$A$6:$A$455,0))</f>
        <v>42.731490425743</v>
      </c>
      <c r="T495" s="54">
        <f>INDEX('Locations'!$E$6:$E$455,MATCH(B495,'Locations'!$A$6:$A$455,0))</f>
        <v>-73.6686707297378</v>
      </c>
      <c r="U495" s="54">
        <f>INDEX('Locations'!$D$6:$D$455,MATCH(C495,'Locations'!$A$6:$A$455,0))</f>
        <v>42.7313605307598</v>
      </c>
      <c r="V495" s="75">
        <f>INDEX('Locations'!$E$6:$E$455,MATCH(C495,'Locations'!$A$6:$A$455,0))</f>
        <v>-73.66827918710089</v>
      </c>
      <c r="W495" s="44"/>
    </row>
    <row r="496" ht="23.1" customHeight="1">
      <c r="A496" t="s" s="21">
        <v>1106</v>
      </c>
      <c r="B496" t="s" s="45">
        <v>521</v>
      </c>
      <c r="C496" t="s" s="45">
        <v>534</v>
      </c>
      <c r="D496" t="s" s="45">
        <v>614</v>
      </c>
      <c r="E496" s="71">
        <f>2*6371000*ASIN(SQRT(MIN(1,SIN(RADIANS(U496-S496)/2)^2+COS(RADIANS(S496))*COS(RADIANS(U496))*SIN(RADIANS(V496-T496)/2)^2)))</f>
        <v>19.9246343835901</v>
      </c>
      <c r="F496" t="s" s="48">
        <v>70</v>
      </c>
      <c r="G496" t="s" s="48">
        <v>69</v>
      </c>
      <c r="H496" t="s" s="48">
        <v>69</v>
      </c>
      <c r="I496" t="s" s="48">
        <v>69</v>
      </c>
      <c r="J496" t="s" s="48">
        <v>69</v>
      </c>
      <c r="K496" s="72"/>
      <c r="L496" s="72"/>
      <c r="M496" s="50"/>
      <c r="N496" s="49"/>
      <c r="O496" s="50"/>
      <c r="P496" s="50"/>
      <c r="Q496" s="30">
        <v>492</v>
      </c>
      <c r="R496" s="61"/>
      <c r="S496" s="46">
        <f>INDEX('Locations'!$D$6:$D$455,MATCH(B496,'Locations'!$A$6:$A$455,0))</f>
        <v>42.7312536260392</v>
      </c>
      <c r="T496" s="46">
        <f>INDEX('Locations'!$E$6:$E$455,MATCH(B496,'Locations'!$A$6:$A$455,0))</f>
        <v>-73.66808341578241</v>
      </c>
      <c r="U496" s="46">
        <f>INDEX('Locations'!$D$6:$D$455,MATCH(C496,'Locations'!$A$6:$A$455,0))</f>
        <v>42.7313605307598</v>
      </c>
      <c r="V496" s="73">
        <f>INDEX('Locations'!$E$6:$E$455,MATCH(C496,'Locations'!$A$6:$A$455,0))</f>
        <v>-73.66827918710089</v>
      </c>
      <c r="W496" s="44"/>
    </row>
    <row r="497" ht="23.1" customHeight="1">
      <c r="A497" t="s" s="24">
        <v>1107</v>
      </c>
      <c r="B497" t="s" s="53">
        <v>529</v>
      </c>
      <c r="C497" t="s" s="53">
        <v>537</v>
      </c>
      <c r="D497" t="s" s="53">
        <v>614</v>
      </c>
      <c r="E497" s="74">
        <f>2*6371000*ASIN(SQRT(MIN(1,SIN(RADIANS(U497-S497)/2)^2+COS(RADIANS(S497))*COS(RADIANS(U497))*SIN(RADIANS(V497-T497)/2)^2)))</f>
        <v>44.0274453244255</v>
      </c>
      <c r="F497" t="s" s="48">
        <v>70</v>
      </c>
      <c r="G497" t="s" s="48">
        <v>69</v>
      </c>
      <c r="H497" t="s" s="48">
        <v>69</v>
      </c>
      <c r="I497" t="s" s="48">
        <v>69</v>
      </c>
      <c r="J497" t="s" s="48">
        <v>69</v>
      </c>
      <c r="K497" s="72"/>
      <c r="L497" s="72"/>
      <c r="M497" s="50"/>
      <c r="N497" s="49"/>
      <c r="O497" s="50"/>
      <c r="P497" s="50"/>
      <c r="Q497" s="32">
        <v>493</v>
      </c>
      <c r="R497" s="64"/>
      <c r="S497" s="54">
        <f>INDEX('Locations'!$D$6:$D$455,MATCH(B497,'Locations'!$A$6:$A$455,0))</f>
        <v>42.7309271643116</v>
      </c>
      <c r="T497" s="54">
        <f>INDEX('Locations'!$E$6:$E$455,MATCH(B497,'Locations'!$A$6:$A$455,0))</f>
        <v>-73.6668196562146</v>
      </c>
      <c r="U497" s="54">
        <f>INDEX('Locations'!$D$6:$D$455,MATCH(C497,'Locations'!$A$6:$A$455,0))</f>
        <v>42.7313168492611</v>
      </c>
      <c r="V497" s="75">
        <f>INDEX('Locations'!$E$6:$E$455,MATCH(C497,'Locations'!$A$6:$A$455,0))</f>
        <v>-73.6669151544188</v>
      </c>
      <c r="W497" s="44"/>
    </row>
    <row r="498" ht="23.1" customHeight="1">
      <c r="A498" t="s" s="21">
        <v>1108</v>
      </c>
      <c r="B498" t="s" s="45">
        <v>535</v>
      </c>
      <c r="C498" t="s" s="45">
        <v>536</v>
      </c>
      <c r="D498" t="s" s="45">
        <v>614</v>
      </c>
      <c r="E498" s="71">
        <f>2*6371000*ASIN(SQRT(MIN(1,SIN(RADIANS(U498-S498)/2)^2+COS(RADIANS(S498))*COS(RADIANS(U498))*SIN(RADIANS(V498-T498)/2)^2)))</f>
        <v>70.58925745778011</v>
      </c>
      <c r="F498" t="s" s="48">
        <v>70</v>
      </c>
      <c r="G498" t="s" s="48">
        <v>69</v>
      </c>
      <c r="H498" t="s" s="48">
        <v>69</v>
      </c>
      <c r="I498" t="s" s="48">
        <v>69</v>
      </c>
      <c r="J498" t="s" s="48">
        <v>69</v>
      </c>
      <c r="K498" s="72"/>
      <c r="L498" s="72"/>
      <c r="M498" s="50"/>
      <c r="N498" s="49"/>
      <c r="O498" s="50"/>
      <c r="P498" s="50"/>
      <c r="Q498" s="30">
        <v>494</v>
      </c>
      <c r="R498" s="61"/>
      <c r="S498" s="46">
        <f>INDEX('Locations'!$D$6:$D$455,MATCH(B498,'Locations'!$A$6:$A$455,0))</f>
        <v>42.7313030551036</v>
      </c>
      <c r="T498" s="46">
        <f>INDEX('Locations'!$E$6:$E$455,MATCH(B498,'Locations'!$A$6:$A$455,0))</f>
        <v>-73.6678160208109</v>
      </c>
      <c r="U498" s="46">
        <f>INDEX('Locations'!$D$6:$D$455,MATCH(C498,'Locations'!$A$6:$A$455,0))</f>
        <v>42.7318053923393</v>
      </c>
      <c r="V498" s="73">
        <f>INDEX('Locations'!$E$6:$E$455,MATCH(C498,'Locations'!$A$6:$A$455,0))</f>
        <v>-73.6672875974148</v>
      </c>
      <c r="W498" s="44"/>
    </row>
    <row r="499" ht="23.1" customHeight="1">
      <c r="A499" t="s" s="24">
        <v>1109</v>
      </c>
      <c r="B499" t="s" s="53">
        <v>521</v>
      </c>
      <c r="C499" t="s" s="53">
        <v>535</v>
      </c>
      <c r="D499" t="s" s="53">
        <v>614</v>
      </c>
      <c r="E499" s="74">
        <f>2*6371000*ASIN(SQRT(MIN(1,SIN(RADIANS(U499-S499)/2)^2+COS(RADIANS(S499))*COS(RADIANS(U499))*SIN(RADIANS(V499-T499)/2)^2)))</f>
        <v>22.5211519800379</v>
      </c>
      <c r="F499" t="s" s="48">
        <v>70</v>
      </c>
      <c r="G499" t="s" s="48">
        <v>69</v>
      </c>
      <c r="H499" t="s" s="48">
        <v>69</v>
      </c>
      <c r="I499" t="s" s="48">
        <v>69</v>
      </c>
      <c r="J499" t="s" s="48">
        <v>69</v>
      </c>
      <c r="K499" s="72"/>
      <c r="L499" s="72"/>
      <c r="M499" s="50"/>
      <c r="N499" s="49"/>
      <c r="O499" s="50"/>
      <c r="P499" s="50"/>
      <c r="Q499" s="32">
        <v>495</v>
      </c>
      <c r="R499" s="64"/>
      <c r="S499" s="54">
        <f>INDEX('Locations'!$D$6:$D$455,MATCH(B499,'Locations'!$A$6:$A$455,0))</f>
        <v>42.7312536260392</v>
      </c>
      <c r="T499" s="54">
        <f>INDEX('Locations'!$E$6:$E$455,MATCH(B499,'Locations'!$A$6:$A$455,0))</f>
        <v>-73.66808341578241</v>
      </c>
      <c r="U499" s="54">
        <f>INDEX('Locations'!$D$6:$D$455,MATCH(C499,'Locations'!$A$6:$A$455,0))</f>
        <v>42.7313030551036</v>
      </c>
      <c r="V499" s="75">
        <f>INDEX('Locations'!$E$6:$E$455,MATCH(C499,'Locations'!$A$6:$A$455,0))</f>
        <v>-73.6678160208109</v>
      </c>
      <c r="W499" s="44"/>
    </row>
    <row r="500" ht="23.1" customHeight="1">
      <c r="A500" t="s" s="21">
        <v>1110</v>
      </c>
      <c r="B500" t="s" s="45">
        <v>533</v>
      </c>
      <c r="C500" t="s" s="45">
        <v>536</v>
      </c>
      <c r="D500" t="s" s="45">
        <v>614</v>
      </c>
      <c r="E500" s="71">
        <f>2*6371000*ASIN(SQRT(MIN(1,SIN(RADIANS(U500-S500)/2)^2+COS(RADIANS(S500))*COS(RADIANS(U500))*SIN(RADIANS(V500-T500)/2)^2)))</f>
        <v>42.7278128677852</v>
      </c>
      <c r="F500" t="s" s="48">
        <v>70</v>
      </c>
      <c r="G500" t="s" s="48">
        <v>69</v>
      </c>
      <c r="H500" t="s" s="48">
        <v>69</v>
      </c>
      <c r="I500" t="s" s="48">
        <v>69</v>
      </c>
      <c r="J500" t="s" s="48">
        <v>69</v>
      </c>
      <c r="K500" s="72"/>
      <c r="L500" s="72"/>
      <c r="M500" s="50"/>
      <c r="N500" s="49"/>
      <c r="O500" s="50"/>
      <c r="P500" s="50"/>
      <c r="Q500" s="30">
        <v>496</v>
      </c>
      <c r="R500" s="61"/>
      <c r="S500" s="46">
        <f>INDEX('Locations'!$D$6:$D$455,MATCH(B500,'Locations'!$A$6:$A$455,0))</f>
        <v>42.7320008095706</v>
      </c>
      <c r="T500" s="46">
        <f>INDEX('Locations'!$E$6:$E$455,MATCH(B500,'Locations'!$A$6:$A$455,0))</f>
        <v>-73.66773803061091</v>
      </c>
      <c r="U500" s="46">
        <f>INDEX('Locations'!$D$6:$D$455,MATCH(C500,'Locations'!$A$6:$A$455,0))</f>
        <v>42.7318053923393</v>
      </c>
      <c r="V500" s="73">
        <f>INDEX('Locations'!$E$6:$E$455,MATCH(C500,'Locations'!$A$6:$A$455,0))</f>
        <v>-73.6672875974148</v>
      </c>
      <c r="W500" s="44"/>
    </row>
    <row r="501" ht="23.1" customHeight="1">
      <c r="A501" t="s" s="24">
        <v>1111</v>
      </c>
      <c r="B501" t="s" s="53">
        <v>533</v>
      </c>
      <c r="C501" t="s" s="53">
        <v>534</v>
      </c>
      <c r="D501" t="s" s="53">
        <v>614</v>
      </c>
      <c r="E501" s="74">
        <f>2*6371000*ASIN(SQRT(MIN(1,SIN(RADIANS(U501-S501)/2)^2+COS(RADIANS(S501))*COS(RADIANS(U501))*SIN(RADIANS(V501-T501)/2)^2)))</f>
        <v>83.800251706141</v>
      </c>
      <c r="F501" t="s" s="48">
        <v>70</v>
      </c>
      <c r="G501" t="s" s="48">
        <v>69</v>
      </c>
      <c r="H501" t="s" s="48">
        <v>69</v>
      </c>
      <c r="I501" t="s" s="48">
        <v>69</v>
      </c>
      <c r="J501" t="s" s="48">
        <v>69</v>
      </c>
      <c r="K501" s="72"/>
      <c r="L501" s="72"/>
      <c r="M501" s="50"/>
      <c r="N501" s="49"/>
      <c r="O501" s="50"/>
      <c r="P501" s="50"/>
      <c r="Q501" s="32">
        <v>497</v>
      </c>
      <c r="R501" s="64"/>
      <c r="S501" s="54">
        <f>INDEX('Locations'!$D$6:$D$455,MATCH(B501,'Locations'!$A$6:$A$455,0))</f>
        <v>42.7320008095706</v>
      </c>
      <c r="T501" s="54">
        <f>INDEX('Locations'!$E$6:$E$455,MATCH(B501,'Locations'!$A$6:$A$455,0))</f>
        <v>-73.66773803061091</v>
      </c>
      <c r="U501" s="54">
        <f>INDEX('Locations'!$D$6:$D$455,MATCH(C501,'Locations'!$A$6:$A$455,0))</f>
        <v>42.7313605307598</v>
      </c>
      <c r="V501" s="75">
        <f>INDEX('Locations'!$E$6:$E$455,MATCH(C501,'Locations'!$A$6:$A$455,0))</f>
        <v>-73.66827918710089</v>
      </c>
      <c r="W501" s="44"/>
    </row>
    <row r="502" ht="23.1" customHeight="1">
      <c r="A502" t="s" s="21">
        <v>1112</v>
      </c>
      <c r="B502" t="s" s="45">
        <v>538</v>
      </c>
      <c r="C502" t="s" s="45">
        <v>523</v>
      </c>
      <c r="D502" t="s" s="45">
        <v>614</v>
      </c>
      <c r="E502" s="71">
        <f>2*6371000*ASIN(SQRT(MIN(1,SIN(RADIANS(U502-S502)/2)^2+COS(RADIANS(S502))*COS(RADIANS(U502))*SIN(RADIANS(V502-T502)/2)^2)))</f>
        <v>166.045310025895</v>
      </c>
      <c r="F502" t="s" s="48">
        <v>70</v>
      </c>
      <c r="G502" t="s" s="48">
        <v>69</v>
      </c>
      <c r="H502" t="s" s="48">
        <v>69</v>
      </c>
      <c r="I502" t="s" s="48">
        <v>69</v>
      </c>
      <c r="J502" t="s" s="48">
        <v>69</v>
      </c>
      <c r="K502" s="72"/>
      <c r="L502" s="72"/>
      <c r="M502" s="50"/>
      <c r="N502" s="49"/>
      <c r="O502" s="50"/>
      <c r="P502" s="50"/>
      <c r="Q502" s="30">
        <v>498</v>
      </c>
      <c r="R502" s="61"/>
      <c r="S502" s="46">
        <f>INDEX('Locations'!$D$6:$D$455,MATCH(B502,'Locations'!$A$6:$A$455,0))</f>
        <v>42.7338342830055</v>
      </c>
      <c r="T502" s="46">
        <f>INDEX('Locations'!$E$6:$E$455,MATCH(B502,'Locations'!$A$6:$A$455,0))</f>
        <v>-73.6676870982354</v>
      </c>
      <c r="U502" s="46">
        <f>INDEX('Locations'!$D$6:$D$455,MATCH(C502,'Locations'!$A$6:$A$455,0))</f>
        <v>42.7323778498757</v>
      </c>
      <c r="V502" s="73">
        <f>INDEX('Locations'!$E$6:$E$455,MATCH(C502,'Locations'!$A$6:$A$455,0))</f>
        <v>-73.66813593979469</v>
      </c>
      <c r="W502" s="44"/>
    </row>
    <row r="503" ht="23.1" customHeight="1">
      <c r="A503" t="s" s="24">
        <v>1113</v>
      </c>
      <c r="B503" t="s" s="53">
        <v>539</v>
      </c>
      <c r="C503" t="s" s="53">
        <v>542</v>
      </c>
      <c r="D503" t="s" s="53">
        <v>614</v>
      </c>
      <c r="E503" s="74">
        <f>2*6371000*ASIN(SQRT(MIN(1,SIN(RADIANS(U503-S503)/2)^2+COS(RADIANS(S503))*COS(RADIANS(U503))*SIN(RADIANS(V503-T503)/2)^2)))</f>
        <v>86.4739985765994</v>
      </c>
      <c r="F503" t="s" s="48">
        <v>70</v>
      </c>
      <c r="G503" t="s" s="48">
        <v>69</v>
      </c>
      <c r="H503" t="s" s="48">
        <v>69</v>
      </c>
      <c r="I503" t="s" s="48">
        <v>69</v>
      </c>
      <c r="J503" t="s" s="48">
        <v>69</v>
      </c>
      <c r="K503" s="72"/>
      <c r="L503" s="72"/>
      <c r="M503" s="50"/>
      <c r="N503" s="49"/>
      <c r="O503" s="50"/>
      <c r="P503" s="50"/>
      <c r="Q503" s="32">
        <v>499</v>
      </c>
      <c r="R503" s="64"/>
      <c r="S503" s="54">
        <f>INDEX('Locations'!$D$6:$D$455,MATCH(B503,'Locations'!$A$6:$A$455,0))</f>
        <v>42.7337515180605</v>
      </c>
      <c r="T503" s="54">
        <f>INDEX('Locations'!$E$6:$E$455,MATCH(B503,'Locations'!$A$6:$A$455,0))</f>
        <v>-73.6671968741209</v>
      </c>
      <c r="U503" s="54">
        <f>INDEX('Locations'!$D$6:$D$455,MATCH(C503,'Locations'!$A$6:$A$455,0))</f>
        <v>42.7336032308673</v>
      </c>
      <c r="V503" s="75">
        <f>INDEX('Locations'!$E$6:$E$455,MATCH(C503,'Locations'!$A$6:$A$455,0))</f>
        <v>-73.6661575353328</v>
      </c>
      <c r="W503" s="44"/>
    </row>
    <row r="504" ht="23.1" customHeight="1">
      <c r="A504" t="s" s="21">
        <v>1114</v>
      </c>
      <c r="B504" t="s" s="45">
        <v>538</v>
      </c>
      <c r="C504" t="s" s="45">
        <v>539</v>
      </c>
      <c r="D504" t="s" s="45">
        <v>614</v>
      </c>
      <c r="E504" s="71">
        <f>2*6371000*ASIN(SQRT(MIN(1,SIN(RADIANS(U504-S504)/2)^2+COS(RADIANS(S504))*COS(RADIANS(U504))*SIN(RADIANS(V504-T504)/2)^2)))</f>
        <v>41.082767665913</v>
      </c>
      <c r="F504" t="s" s="48">
        <v>70</v>
      </c>
      <c r="G504" t="s" s="48">
        <v>69</v>
      </c>
      <c r="H504" t="s" s="48">
        <v>69</v>
      </c>
      <c r="I504" t="s" s="48">
        <v>69</v>
      </c>
      <c r="J504" t="s" s="48">
        <v>69</v>
      </c>
      <c r="K504" s="72"/>
      <c r="L504" s="72"/>
      <c r="M504" s="50"/>
      <c r="N504" s="49"/>
      <c r="O504" s="50"/>
      <c r="P504" s="50"/>
      <c r="Q504" s="30">
        <v>500</v>
      </c>
      <c r="R504" s="61"/>
      <c r="S504" s="46">
        <f>INDEX('Locations'!$D$6:$D$455,MATCH(B504,'Locations'!$A$6:$A$455,0))</f>
        <v>42.7338342830055</v>
      </c>
      <c r="T504" s="46">
        <f>INDEX('Locations'!$E$6:$E$455,MATCH(B504,'Locations'!$A$6:$A$455,0))</f>
        <v>-73.6676870982354</v>
      </c>
      <c r="U504" s="46">
        <f>INDEX('Locations'!$D$6:$D$455,MATCH(C504,'Locations'!$A$6:$A$455,0))</f>
        <v>42.7337515180605</v>
      </c>
      <c r="V504" s="73">
        <f>INDEX('Locations'!$E$6:$E$455,MATCH(C504,'Locations'!$A$6:$A$455,0))</f>
        <v>-73.6671968741209</v>
      </c>
      <c r="W504" s="44"/>
    </row>
    <row r="505" ht="23.1" customHeight="1">
      <c r="A505" t="s" s="24">
        <v>1115</v>
      </c>
      <c r="B505" t="s" s="53">
        <v>542</v>
      </c>
      <c r="C505" t="s" s="53">
        <v>541</v>
      </c>
      <c r="D505" t="s" s="53">
        <v>614</v>
      </c>
      <c r="E505" s="74">
        <f>2*6371000*ASIN(SQRT(MIN(1,SIN(RADIANS(U505-S505)/2)^2+COS(RADIANS(S505))*COS(RADIANS(U505))*SIN(RADIANS(V505-T505)/2)^2)))</f>
        <v>123.350075211174</v>
      </c>
      <c r="F505" t="s" s="48">
        <v>70</v>
      </c>
      <c r="G505" t="s" s="48">
        <v>69</v>
      </c>
      <c r="H505" t="s" s="48">
        <v>69</v>
      </c>
      <c r="I505" t="s" s="48">
        <v>69</v>
      </c>
      <c r="J505" t="s" s="48">
        <v>69</v>
      </c>
      <c r="K505" s="72"/>
      <c r="L505" s="72"/>
      <c r="M505" s="50"/>
      <c r="N505" s="49"/>
      <c r="O505" s="50"/>
      <c r="P505" s="50"/>
      <c r="Q505" s="32">
        <v>501</v>
      </c>
      <c r="R505" s="64"/>
      <c r="S505" s="54">
        <f>INDEX('Locations'!$D$6:$D$455,MATCH(B505,'Locations'!$A$6:$A$455,0))</f>
        <v>42.7336032308673</v>
      </c>
      <c r="T505" s="54">
        <f>INDEX('Locations'!$E$6:$E$455,MATCH(B505,'Locations'!$A$6:$A$455,0))</f>
        <v>-73.6661575353328</v>
      </c>
      <c r="U505" s="54">
        <f>INDEX('Locations'!$D$6:$D$455,MATCH(C505,'Locations'!$A$6:$A$455,0))</f>
        <v>42.7325249875558</v>
      </c>
      <c r="V505" s="75">
        <f>INDEX('Locations'!$E$6:$E$455,MATCH(C505,'Locations'!$A$6:$A$455,0))</f>
        <v>-73.6665124703247</v>
      </c>
      <c r="W505" s="44"/>
    </row>
    <row r="506" ht="23.1" customHeight="1">
      <c r="A506" t="s" s="21">
        <v>1116</v>
      </c>
      <c r="B506" t="s" s="45">
        <v>540</v>
      </c>
      <c r="C506" t="s" s="45">
        <v>541</v>
      </c>
      <c r="D506" t="s" s="45">
        <v>614</v>
      </c>
      <c r="E506" s="71">
        <f>2*6371000*ASIN(SQRT(MIN(1,SIN(RADIANS(U506-S506)/2)^2+COS(RADIANS(S506))*COS(RADIANS(U506))*SIN(RADIANS(V506-T506)/2)^2)))</f>
        <v>79.0528838287821</v>
      </c>
      <c r="F506" t="s" s="48">
        <v>70</v>
      </c>
      <c r="G506" t="s" s="48">
        <v>69</v>
      </c>
      <c r="H506" t="s" s="48">
        <v>69</v>
      </c>
      <c r="I506" t="s" s="48">
        <v>69</v>
      </c>
      <c r="J506" t="s" s="48">
        <v>69</v>
      </c>
      <c r="K506" s="72"/>
      <c r="L506" s="72"/>
      <c r="M506" s="50"/>
      <c r="N506" s="49"/>
      <c r="O506" s="50"/>
      <c r="P506" s="50"/>
      <c r="Q506" s="30">
        <v>502</v>
      </c>
      <c r="R506" s="61"/>
      <c r="S506" s="46">
        <f>INDEX('Locations'!$D$6:$D$455,MATCH(B506,'Locations'!$A$6:$A$455,0))</f>
        <v>42.7326824708539</v>
      </c>
      <c r="T506" s="46">
        <f>INDEX('Locations'!$E$6:$E$455,MATCH(B506,'Locations'!$A$6:$A$455,0))</f>
        <v>-73.6674563109087</v>
      </c>
      <c r="U506" s="46">
        <f>INDEX('Locations'!$D$6:$D$455,MATCH(C506,'Locations'!$A$6:$A$455,0))</f>
        <v>42.7325249875558</v>
      </c>
      <c r="V506" s="73">
        <f>INDEX('Locations'!$E$6:$E$455,MATCH(C506,'Locations'!$A$6:$A$455,0))</f>
        <v>-73.6665124703247</v>
      </c>
      <c r="W506" s="44"/>
    </row>
    <row r="507" ht="23.1" customHeight="1">
      <c r="A507" t="s" s="24">
        <v>1117</v>
      </c>
      <c r="B507" t="s" s="53">
        <v>198</v>
      </c>
      <c r="C507" t="s" s="53">
        <v>540</v>
      </c>
      <c r="D507" t="s" s="53">
        <v>614</v>
      </c>
      <c r="E507" s="74">
        <f>2*6371000*ASIN(SQRT(MIN(1,SIN(RADIANS(U507-S507)/2)^2+COS(RADIANS(S507))*COS(RADIANS(U507))*SIN(RADIANS(V507-T507)/2)^2)))</f>
        <v>57.9012296286372</v>
      </c>
      <c r="F507" t="s" s="48">
        <v>70</v>
      </c>
      <c r="G507" t="s" s="48">
        <v>69</v>
      </c>
      <c r="H507" t="s" s="48">
        <v>69</v>
      </c>
      <c r="I507" t="s" s="48">
        <v>69</v>
      </c>
      <c r="J507" t="s" s="48">
        <v>69</v>
      </c>
      <c r="K507" s="72"/>
      <c r="L507" s="72"/>
      <c r="M507" s="50"/>
      <c r="N507" s="49"/>
      <c r="O507" s="50"/>
      <c r="P507" s="50"/>
      <c r="Q507" s="32">
        <v>503</v>
      </c>
      <c r="R507" s="64"/>
      <c r="S507" s="54">
        <f>INDEX('Locations'!$D$6:$D$455,MATCH(B507,'Locations'!$A$6:$A$455,0))</f>
        <v>42.7330440756996</v>
      </c>
      <c r="T507" s="54">
        <f>INDEX('Locations'!$E$6:$E$455,MATCH(B507,'Locations'!$A$6:$A$455,0))</f>
        <v>-73.6669462049943</v>
      </c>
      <c r="U507" s="54">
        <f>INDEX('Locations'!$D$6:$D$455,MATCH(C507,'Locations'!$A$6:$A$455,0))</f>
        <v>42.7326824708539</v>
      </c>
      <c r="V507" s="75">
        <f>INDEX('Locations'!$E$6:$E$455,MATCH(C507,'Locations'!$A$6:$A$455,0))</f>
        <v>-73.6674563109087</v>
      </c>
      <c r="W507" s="44"/>
    </row>
    <row r="508" ht="23.1" customHeight="1">
      <c r="A508" t="s" s="21">
        <v>1118</v>
      </c>
      <c r="B508" t="s" s="45">
        <v>198</v>
      </c>
      <c r="C508" t="s" s="45">
        <v>539</v>
      </c>
      <c r="D508" t="s" s="45">
        <v>614</v>
      </c>
      <c r="E508" s="71">
        <f>2*6371000*ASIN(SQRT(MIN(1,SIN(RADIANS(U508-S508)/2)^2+COS(RADIANS(S508))*COS(RADIANS(U508))*SIN(RADIANS(V508-T508)/2)^2)))</f>
        <v>81.2845819706348</v>
      </c>
      <c r="F508" t="s" s="48">
        <v>70</v>
      </c>
      <c r="G508" t="s" s="48">
        <v>69</v>
      </c>
      <c r="H508" t="s" s="48">
        <v>69</v>
      </c>
      <c r="I508" t="s" s="48">
        <v>69</v>
      </c>
      <c r="J508" t="s" s="48">
        <v>69</v>
      </c>
      <c r="K508" s="72"/>
      <c r="L508" s="72"/>
      <c r="M508" s="50"/>
      <c r="N508" s="49"/>
      <c r="O508" s="50"/>
      <c r="P508" s="50"/>
      <c r="Q508" s="30">
        <v>504</v>
      </c>
      <c r="R508" s="61"/>
      <c r="S508" s="46">
        <f>INDEX('Locations'!$D$6:$D$455,MATCH(B508,'Locations'!$A$6:$A$455,0))</f>
        <v>42.7330440756996</v>
      </c>
      <c r="T508" s="46">
        <f>INDEX('Locations'!$E$6:$E$455,MATCH(B508,'Locations'!$A$6:$A$455,0))</f>
        <v>-73.6669462049943</v>
      </c>
      <c r="U508" s="46">
        <f>INDEX('Locations'!$D$6:$D$455,MATCH(C508,'Locations'!$A$6:$A$455,0))</f>
        <v>42.7337515180605</v>
      </c>
      <c r="V508" s="73">
        <f>INDEX('Locations'!$E$6:$E$455,MATCH(C508,'Locations'!$A$6:$A$455,0))</f>
        <v>-73.6671968741209</v>
      </c>
      <c r="W508" s="44"/>
    </row>
    <row r="509" ht="23.1" customHeight="1">
      <c r="A509" t="s" s="24">
        <v>1119</v>
      </c>
      <c r="B509" t="s" s="53">
        <v>540</v>
      </c>
      <c r="C509" t="s" s="53">
        <v>539</v>
      </c>
      <c r="D509" t="s" s="53">
        <v>614</v>
      </c>
      <c r="E509" s="74">
        <f>2*6371000*ASIN(SQRT(MIN(1,SIN(RADIANS(U509-S509)/2)^2+COS(RADIANS(S509))*COS(RADIANS(U509))*SIN(RADIANS(V509-T509)/2)^2)))</f>
        <v>120.746414093866</v>
      </c>
      <c r="F509" t="s" s="48">
        <v>70</v>
      </c>
      <c r="G509" t="s" s="48">
        <v>69</v>
      </c>
      <c r="H509" t="s" s="48">
        <v>69</v>
      </c>
      <c r="I509" t="s" s="48">
        <v>69</v>
      </c>
      <c r="J509" t="s" s="48">
        <v>69</v>
      </c>
      <c r="K509" s="72"/>
      <c r="L509" s="72"/>
      <c r="M509" s="50"/>
      <c r="N509" s="49"/>
      <c r="O509" s="50"/>
      <c r="P509" s="50"/>
      <c r="Q509" s="32">
        <v>505</v>
      </c>
      <c r="R509" s="64"/>
      <c r="S509" s="54">
        <f>INDEX('Locations'!$D$6:$D$455,MATCH(B509,'Locations'!$A$6:$A$455,0))</f>
        <v>42.7326824708539</v>
      </c>
      <c r="T509" s="54">
        <f>INDEX('Locations'!$E$6:$E$455,MATCH(B509,'Locations'!$A$6:$A$455,0))</f>
        <v>-73.6674563109087</v>
      </c>
      <c r="U509" s="54">
        <f>INDEX('Locations'!$D$6:$D$455,MATCH(C509,'Locations'!$A$6:$A$455,0))</f>
        <v>42.7337515180605</v>
      </c>
      <c r="V509" s="75">
        <f>INDEX('Locations'!$E$6:$E$455,MATCH(C509,'Locations'!$A$6:$A$455,0))</f>
        <v>-73.6671968741209</v>
      </c>
      <c r="W509" s="44"/>
    </row>
    <row r="510" ht="23.1" customHeight="1">
      <c r="A510" t="s" s="21">
        <v>1120</v>
      </c>
      <c r="B510" t="s" s="45">
        <v>542</v>
      </c>
      <c r="C510" t="s" s="45">
        <v>198</v>
      </c>
      <c r="D510" t="s" s="45">
        <v>614</v>
      </c>
      <c r="E510" s="71">
        <f>2*6371000*ASIN(SQRT(MIN(1,SIN(RADIANS(U510-S510)/2)^2+COS(RADIANS(S510))*COS(RADIANS(U510))*SIN(RADIANS(V510-T510)/2)^2)))</f>
        <v>89.52646449270949</v>
      </c>
      <c r="F510" t="s" s="48">
        <v>70</v>
      </c>
      <c r="G510" t="s" s="48">
        <v>69</v>
      </c>
      <c r="H510" t="s" s="48">
        <v>69</v>
      </c>
      <c r="I510" t="s" s="48">
        <v>69</v>
      </c>
      <c r="J510" t="s" s="48">
        <v>69</v>
      </c>
      <c r="K510" s="72"/>
      <c r="L510" s="72"/>
      <c r="M510" s="50"/>
      <c r="N510" s="49"/>
      <c r="O510" s="50"/>
      <c r="P510" s="50"/>
      <c r="Q510" s="30">
        <v>506</v>
      </c>
      <c r="R510" s="61"/>
      <c r="S510" s="46">
        <f>INDEX('Locations'!$D$6:$D$455,MATCH(B510,'Locations'!$A$6:$A$455,0))</f>
        <v>42.7336032308673</v>
      </c>
      <c r="T510" s="46">
        <f>INDEX('Locations'!$E$6:$E$455,MATCH(B510,'Locations'!$A$6:$A$455,0))</f>
        <v>-73.6661575353328</v>
      </c>
      <c r="U510" s="46">
        <f>INDEX('Locations'!$D$6:$D$455,MATCH(C510,'Locations'!$A$6:$A$455,0))</f>
        <v>42.7330440756996</v>
      </c>
      <c r="V510" s="73">
        <f>INDEX('Locations'!$E$6:$E$455,MATCH(C510,'Locations'!$A$6:$A$455,0))</f>
        <v>-73.6669462049943</v>
      </c>
      <c r="W510" s="44"/>
    </row>
    <row r="511" ht="23.1" customHeight="1">
      <c r="A511" t="s" s="24">
        <v>1121</v>
      </c>
      <c r="B511" t="s" s="53">
        <v>541</v>
      </c>
      <c r="C511" t="s" s="53">
        <v>198</v>
      </c>
      <c r="D511" t="s" s="53">
        <v>614</v>
      </c>
      <c r="E511" s="74">
        <f>2*6371000*ASIN(SQRT(MIN(1,SIN(RADIANS(U511-S511)/2)^2+COS(RADIANS(S511))*COS(RADIANS(U511))*SIN(RADIANS(V511-T511)/2)^2)))</f>
        <v>67.7241755199547</v>
      </c>
      <c r="F511" t="s" s="48">
        <v>70</v>
      </c>
      <c r="G511" t="s" s="48">
        <v>69</v>
      </c>
      <c r="H511" t="s" s="48">
        <v>69</v>
      </c>
      <c r="I511" t="s" s="48">
        <v>69</v>
      </c>
      <c r="J511" t="s" s="48">
        <v>69</v>
      </c>
      <c r="K511" s="72"/>
      <c r="L511" s="72"/>
      <c r="M511" s="50"/>
      <c r="N511" s="49"/>
      <c r="O511" s="50"/>
      <c r="P511" s="50"/>
      <c r="Q511" s="32">
        <v>507</v>
      </c>
      <c r="R511" s="64"/>
      <c r="S511" s="54">
        <f>INDEX('Locations'!$D$6:$D$455,MATCH(B511,'Locations'!$A$6:$A$455,0))</f>
        <v>42.7325249875558</v>
      </c>
      <c r="T511" s="54">
        <f>INDEX('Locations'!$E$6:$E$455,MATCH(B511,'Locations'!$A$6:$A$455,0))</f>
        <v>-73.6665124703247</v>
      </c>
      <c r="U511" s="54">
        <f>INDEX('Locations'!$D$6:$D$455,MATCH(C511,'Locations'!$A$6:$A$455,0))</f>
        <v>42.7330440756996</v>
      </c>
      <c r="V511" s="75">
        <f>INDEX('Locations'!$E$6:$E$455,MATCH(C511,'Locations'!$A$6:$A$455,0))</f>
        <v>-73.6669462049943</v>
      </c>
      <c r="W511" s="44"/>
    </row>
    <row r="512" ht="23.1" customHeight="1">
      <c r="A512" t="s" s="21">
        <v>1122</v>
      </c>
      <c r="B512" t="s" s="45">
        <v>541</v>
      </c>
      <c r="C512" t="s" s="45">
        <v>543</v>
      </c>
      <c r="D512" t="s" s="45">
        <v>614</v>
      </c>
      <c r="E512" s="71">
        <f>2*6371000*ASIN(SQRT(MIN(1,SIN(RADIANS(U512-S512)/2)^2+COS(RADIANS(S512))*COS(RADIANS(U512))*SIN(RADIANS(V512-T512)/2)^2)))</f>
        <v>99.9256960168657</v>
      </c>
      <c r="F512" t="s" s="48">
        <v>70</v>
      </c>
      <c r="G512" t="s" s="48">
        <v>69</v>
      </c>
      <c r="H512" t="s" s="48">
        <v>69</v>
      </c>
      <c r="I512" t="s" s="48">
        <v>69</v>
      </c>
      <c r="J512" t="s" s="48">
        <v>69</v>
      </c>
      <c r="K512" s="72"/>
      <c r="L512" s="72"/>
      <c r="M512" s="50"/>
      <c r="N512" s="49"/>
      <c r="O512" s="50"/>
      <c r="P512" s="50"/>
      <c r="Q512" s="30">
        <v>508</v>
      </c>
      <c r="R512" s="61"/>
      <c r="S512" s="46">
        <f>INDEX('Locations'!$D$6:$D$455,MATCH(B512,'Locations'!$A$6:$A$455,0))</f>
        <v>42.7325249875558</v>
      </c>
      <c r="T512" s="46">
        <f>INDEX('Locations'!$E$6:$E$455,MATCH(B512,'Locations'!$A$6:$A$455,0))</f>
        <v>-73.6665124703247</v>
      </c>
      <c r="U512" s="46">
        <f>INDEX('Locations'!$D$6:$D$455,MATCH(C512,'Locations'!$A$6:$A$455,0))</f>
        <v>42.7316502080674</v>
      </c>
      <c r="V512" s="73">
        <f>INDEX('Locations'!$E$6:$E$455,MATCH(C512,'Locations'!$A$6:$A$455,0))</f>
        <v>-73.6667925983901</v>
      </c>
      <c r="W512" s="44"/>
    </row>
    <row r="513" ht="23.1" customHeight="1">
      <c r="A513" t="s" s="24">
        <v>1123</v>
      </c>
      <c r="B513" t="s" s="53">
        <v>532</v>
      </c>
      <c r="C513" t="s" s="53">
        <v>543</v>
      </c>
      <c r="D513" t="s" s="53">
        <v>614</v>
      </c>
      <c r="E513" s="74">
        <f>2*6371000*ASIN(SQRT(MIN(1,SIN(RADIANS(U513-S513)/2)^2+COS(RADIANS(S513))*COS(RADIANS(U513))*SIN(RADIANS(V513-T513)/2)^2)))</f>
        <v>46.3397938877691</v>
      </c>
      <c r="F513" t="s" s="48">
        <v>70</v>
      </c>
      <c r="G513" t="s" s="48">
        <v>69</v>
      </c>
      <c r="H513" t="s" s="48">
        <v>69</v>
      </c>
      <c r="I513" t="s" s="48">
        <v>69</v>
      </c>
      <c r="J513" t="s" s="48">
        <v>69</v>
      </c>
      <c r="K513" s="72"/>
      <c r="L513" s="72"/>
      <c r="M513" s="50"/>
      <c r="N513" s="49"/>
      <c r="O513" s="50"/>
      <c r="P513" s="50"/>
      <c r="Q513" s="32">
        <v>509</v>
      </c>
      <c r="R513" s="64"/>
      <c r="S513" s="54">
        <f>INDEX('Locations'!$D$6:$D$455,MATCH(B513,'Locations'!$A$6:$A$455,0))</f>
        <v>42.7314180064161</v>
      </c>
      <c r="T513" s="54">
        <f>INDEX('Locations'!$E$6:$E$455,MATCH(B513,'Locations'!$A$6:$A$455,0))</f>
        <v>-73.6663214739165</v>
      </c>
      <c r="U513" s="54">
        <f>INDEX('Locations'!$D$6:$D$455,MATCH(C513,'Locations'!$A$6:$A$455,0))</f>
        <v>42.7316502080674</v>
      </c>
      <c r="V513" s="75">
        <f>INDEX('Locations'!$E$6:$E$455,MATCH(C513,'Locations'!$A$6:$A$455,0))</f>
        <v>-73.6667925983901</v>
      </c>
      <c r="W513" s="44"/>
    </row>
    <row r="514" ht="23.1" customHeight="1">
      <c r="A514" t="s" s="21">
        <v>1124</v>
      </c>
      <c r="B514" t="s" s="45">
        <v>536</v>
      </c>
      <c r="C514" t="s" s="45">
        <v>543</v>
      </c>
      <c r="D514" t="s" s="45">
        <v>614</v>
      </c>
      <c r="E514" s="71">
        <f>2*6371000*ASIN(SQRT(MIN(1,SIN(RADIANS(U514-S514)/2)^2+COS(RADIANS(S514))*COS(RADIANS(U514))*SIN(RADIANS(V514-T514)/2)^2)))</f>
        <v>43.9584718645358</v>
      </c>
      <c r="F514" t="s" s="48">
        <v>70</v>
      </c>
      <c r="G514" t="s" s="48">
        <v>69</v>
      </c>
      <c r="H514" t="s" s="48">
        <v>69</v>
      </c>
      <c r="I514" t="s" s="48">
        <v>69</v>
      </c>
      <c r="J514" t="s" s="48">
        <v>69</v>
      </c>
      <c r="K514" s="72"/>
      <c r="L514" s="72"/>
      <c r="M514" s="50"/>
      <c r="N514" s="49"/>
      <c r="O514" s="50"/>
      <c r="P514" s="50"/>
      <c r="Q514" s="30">
        <v>510</v>
      </c>
      <c r="R514" s="61"/>
      <c r="S514" s="46">
        <f>INDEX('Locations'!$D$6:$D$455,MATCH(B514,'Locations'!$A$6:$A$455,0))</f>
        <v>42.7318053923393</v>
      </c>
      <c r="T514" s="46">
        <f>INDEX('Locations'!$E$6:$E$455,MATCH(B514,'Locations'!$A$6:$A$455,0))</f>
        <v>-73.6672875974148</v>
      </c>
      <c r="U514" s="46">
        <f>INDEX('Locations'!$D$6:$D$455,MATCH(C514,'Locations'!$A$6:$A$455,0))</f>
        <v>42.7316502080674</v>
      </c>
      <c r="V514" s="73">
        <f>INDEX('Locations'!$E$6:$E$455,MATCH(C514,'Locations'!$A$6:$A$455,0))</f>
        <v>-73.6667925983901</v>
      </c>
      <c r="W514" s="44"/>
    </row>
    <row r="515" ht="23.1" customHeight="1">
      <c r="A515" t="s" s="24">
        <v>1125</v>
      </c>
      <c r="B515" t="s" s="53">
        <v>545</v>
      </c>
      <c r="C515" t="s" s="53">
        <v>544</v>
      </c>
      <c r="D515" t="s" s="53">
        <v>614</v>
      </c>
      <c r="E515" s="74">
        <f>2*6371000*ASIN(SQRT(MIN(1,SIN(RADIANS(U515-S515)/2)^2+COS(RADIANS(S515))*COS(RADIANS(U515))*SIN(RADIANS(V515-T515)/2)^2)))</f>
        <v>101.711358535148</v>
      </c>
      <c r="F515" t="s" s="48">
        <v>70</v>
      </c>
      <c r="G515" t="s" s="48">
        <v>69</v>
      </c>
      <c r="H515" t="s" s="48">
        <v>69</v>
      </c>
      <c r="I515" t="s" s="48">
        <v>69</v>
      </c>
      <c r="J515" t="s" s="48">
        <v>69</v>
      </c>
      <c r="K515" s="72"/>
      <c r="L515" s="72"/>
      <c r="M515" s="50"/>
      <c r="N515" s="49"/>
      <c r="O515" s="50"/>
      <c r="P515" s="50"/>
      <c r="Q515" s="32">
        <v>511</v>
      </c>
      <c r="R515" s="64"/>
      <c r="S515" s="54">
        <f>INDEX('Locations'!$D$6:$D$455,MATCH(B515,'Locations'!$A$6:$A$455,0))</f>
        <v>42.7328284590208</v>
      </c>
      <c r="T515" s="54">
        <f>INDEX('Locations'!$E$6:$E$455,MATCH(B515,'Locations'!$A$6:$A$455,0))</f>
        <v>-73.6647616699159</v>
      </c>
      <c r="U515" s="54">
        <f>INDEX('Locations'!$D$6:$D$455,MATCH(C515,'Locations'!$A$6:$A$455,0))</f>
        <v>42.7321502462769</v>
      </c>
      <c r="V515" s="75">
        <f>INDEX('Locations'!$E$6:$E$455,MATCH(C515,'Locations'!$A$6:$A$455,0))</f>
        <v>-73.665597279202</v>
      </c>
      <c r="W515" s="44"/>
    </row>
    <row r="516" ht="23.1" customHeight="1">
      <c r="A516" t="s" s="21">
        <v>1126</v>
      </c>
      <c r="B516" t="s" s="45">
        <v>532</v>
      </c>
      <c r="C516" t="s" s="45">
        <v>544</v>
      </c>
      <c r="D516" t="s" s="45">
        <v>614</v>
      </c>
      <c r="E516" s="71">
        <f>2*6371000*ASIN(SQRT(MIN(1,SIN(RADIANS(U516-S516)/2)^2+COS(RADIANS(S516))*COS(RADIANS(U516))*SIN(RADIANS(V516-T516)/2)^2)))</f>
        <v>100.638760526058</v>
      </c>
      <c r="F516" t="s" s="48">
        <v>70</v>
      </c>
      <c r="G516" t="s" s="48">
        <v>69</v>
      </c>
      <c r="H516" t="s" s="48">
        <v>69</v>
      </c>
      <c r="I516" t="s" s="48">
        <v>69</v>
      </c>
      <c r="J516" t="s" s="48">
        <v>69</v>
      </c>
      <c r="K516" s="72"/>
      <c r="L516" s="72"/>
      <c r="M516" s="50"/>
      <c r="N516" s="49"/>
      <c r="O516" s="50"/>
      <c r="P516" s="50"/>
      <c r="Q516" s="30">
        <v>512</v>
      </c>
      <c r="R516" s="61"/>
      <c r="S516" s="46">
        <f>INDEX('Locations'!$D$6:$D$455,MATCH(B516,'Locations'!$A$6:$A$455,0))</f>
        <v>42.7314180064161</v>
      </c>
      <c r="T516" s="46">
        <f>INDEX('Locations'!$E$6:$E$455,MATCH(B516,'Locations'!$A$6:$A$455,0))</f>
        <v>-73.6663214739165</v>
      </c>
      <c r="U516" s="46">
        <f>INDEX('Locations'!$D$6:$D$455,MATCH(C516,'Locations'!$A$6:$A$455,0))</f>
        <v>42.7321502462769</v>
      </c>
      <c r="V516" s="73">
        <f>INDEX('Locations'!$E$6:$E$455,MATCH(C516,'Locations'!$A$6:$A$455,0))</f>
        <v>-73.665597279202</v>
      </c>
      <c r="W516" s="44"/>
    </row>
    <row r="517" ht="23.1" customHeight="1">
      <c r="A517" t="s" s="24">
        <v>1127</v>
      </c>
      <c r="B517" t="s" s="53">
        <v>541</v>
      </c>
      <c r="C517" t="s" s="53">
        <v>550</v>
      </c>
      <c r="D517" t="s" s="53">
        <v>614</v>
      </c>
      <c r="E517" s="74">
        <f>2*6371000*ASIN(SQRT(MIN(1,SIN(RADIANS(U517-S517)/2)^2+COS(RADIANS(S517))*COS(RADIANS(U517))*SIN(RADIANS(V517-T517)/2)^2)))</f>
        <v>22.0911501500008</v>
      </c>
      <c r="F517" t="s" s="48">
        <v>70</v>
      </c>
      <c r="G517" t="s" s="48">
        <v>69</v>
      </c>
      <c r="H517" t="s" s="48">
        <v>69</v>
      </c>
      <c r="I517" t="s" s="48">
        <v>69</v>
      </c>
      <c r="J517" t="s" s="48">
        <v>69</v>
      </c>
      <c r="K517" s="72"/>
      <c r="L517" s="72"/>
      <c r="M517" s="50"/>
      <c r="N517" s="49"/>
      <c r="O517" s="50"/>
      <c r="P517" s="50"/>
      <c r="Q517" s="32">
        <v>513</v>
      </c>
      <c r="R517" s="64"/>
      <c r="S517" s="54">
        <f>INDEX('Locations'!$D$6:$D$455,MATCH(B517,'Locations'!$A$6:$A$455,0))</f>
        <v>42.7325249875558</v>
      </c>
      <c r="T517" s="54">
        <f>INDEX('Locations'!$E$6:$E$455,MATCH(B517,'Locations'!$A$6:$A$455,0))</f>
        <v>-73.6665124703247</v>
      </c>
      <c r="U517" s="54">
        <f>INDEX('Locations'!$D$6:$D$455,MATCH(C517,'Locations'!$A$6:$A$455,0))</f>
        <v>42.7324951002145</v>
      </c>
      <c r="V517" s="75">
        <f>INDEX('Locations'!$E$6:$E$455,MATCH(C517,'Locations'!$A$6:$A$455,0))</f>
        <v>-73.6662450753532</v>
      </c>
      <c r="W517" s="44"/>
    </row>
    <row r="518" ht="23.1" customHeight="1">
      <c r="A518" t="s" s="21">
        <v>1128</v>
      </c>
      <c r="B518" t="s" s="45">
        <v>549</v>
      </c>
      <c r="C518" t="s" s="45">
        <v>550</v>
      </c>
      <c r="D518" t="s" s="45">
        <v>614</v>
      </c>
      <c r="E518" s="71">
        <f>2*6371000*ASIN(SQRT(MIN(1,SIN(RADIANS(U518-S518)/2)^2+COS(RADIANS(S518))*COS(RADIANS(U518))*SIN(RADIANS(V518-T518)/2)^2)))</f>
        <v>61.771012614482</v>
      </c>
      <c r="F518" t="s" s="48">
        <v>70</v>
      </c>
      <c r="G518" t="s" s="48">
        <v>69</v>
      </c>
      <c r="H518" t="s" s="48">
        <v>69</v>
      </c>
      <c r="I518" t="s" s="48">
        <v>69</v>
      </c>
      <c r="J518" t="s" s="48">
        <v>69</v>
      </c>
      <c r="K518" s="72"/>
      <c r="L518" s="72"/>
      <c r="M518" s="50"/>
      <c r="N518" s="49"/>
      <c r="O518" s="50"/>
      <c r="P518" s="50"/>
      <c r="Q518" s="30">
        <v>514</v>
      </c>
      <c r="R518" s="61"/>
      <c r="S518" s="46">
        <f>INDEX('Locations'!$D$6:$D$455,MATCH(B518,'Locations'!$A$6:$A$455,0))</f>
        <v>42.7330376704096</v>
      </c>
      <c r="T518" s="46">
        <f>INDEX('Locations'!$E$6:$E$455,MATCH(B518,'Locations'!$A$6:$A$455,0))</f>
        <v>-73.6660827284062</v>
      </c>
      <c r="U518" s="46">
        <f>INDEX('Locations'!$D$6:$D$455,MATCH(C518,'Locations'!$A$6:$A$455,0))</f>
        <v>42.7324951002145</v>
      </c>
      <c r="V518" s="73">
        <f>INDEX('Locations'!$E$6:$E$455,MATCH(C518,'Locations'!$A$6:$A$455,0))</f>
        <v>-73.6662450753532</v>
      </c>
      <c r="W518" s="44"/>
    </row>
    <row r="519" ht="23.1" customHeight="1">
      <c r="A519" t="s" s="24">
        <v>1129</v>
      </c>
      <c r="B519" t="s" s="53">
        <v>548</v>
      </c>
      <c r="C519" t="s" s="53">
        <v>549</v>
      </c>
      <c r="D519" t="s" s="53">
        <v>614</v>
      </c>
      <c r="E519" s="74">
        <f>2*6371000*ASIN(SQRT(MIN(1,SIN(RADIANS(U519-S519)/2)^2+COS(RADIANS(S519))*COS(RADIANS(U519))*SIN(RADIANS(V519-T519)/2)^2)))</f>
        <v>9.962140138139191</v>
      </c>
      <c r="F519" t="s" s="48">
        <v>70</v>
      </c>
      <c r="G519" t="s" s="48">
        <v>69</v>
      </c>
      <c r="H519" t="s" s="48">
        <v>69</v>
      </c>
      <c r="I519" t="s" s="48">
        <v>69</v>
      </c>
      <c r="J519" t="s" s="48">
        <v>69</v>
      </c>
      <c r="K519" s="72"/>
      <c r="L519" s="72"/>
      <c r="M519" s="50"/>
      <c r="N519" s="49"/>
      <c r="O519" s="50"/>
      <c r="P519" s="50"/>
      <c r="Q519" s="32">
        <v>515</v>
      </c>
      <c r="R519" s="64"/>
      <c r="S519" s="54">
        <f>INDEX('Locations'!$D$6:$D$455,MATCH(B519,'Locations'!$A$6:$A$455,0))</f>
        <v>42.7330491655409</v>
      </c>
      <c r="T519" s="54">
        <f>INDEX('Locations'!$E$6:$E$455,MATCH(B519,'Locations'!$A$6:$A$455,0))</f>
        <v>-73.6659617640143</v>
      </c>
      <c r="U519" s="54">
        <f>INDEX('Locations'!$D$6:$D$455,MATCH(C519,'Locations'!$A$6:$A$455,0))</f>
        <v>42.7330376704096</v>
      </c>
      <c r="V519" s="75">
        <f>INDEX('Locations'!$E$6:$E$455,MATCH(C519,'Locations'!$A$6:$A$455,0))</f>
        <v>-73.6660827284062</v>
      </c>
      <c r="W519" s="44"/>
    </row>
    <row r="520" ht="23.1" customHeight="1">
      <c r="A520" t="s" s="21">
        <v>1130</v>
      </c>
      <c r="B520" t="s" s="45">
        <v>547</v>
      </c>
      <c r="C520" t="s" s="45">
        <v>548</v>
      </c>
      <c r="D520" t="s" s="45">
        <v>614</v>
      </c>
      <c r="E520" s="71">
        <f>2*6371000*ASIN(SQRT(MIN(1,SIN(RADIANS(U520-S520)/2)^2+COS(RADIANS(S520))*COS(RADIANS(U520))*SIN(RADIANS(V520-T520)/2)^2)))</f>
        <v>22.7305871495879</v>
      </c>
      <c r="F520" t="s" s="48">
        <v>70</v>
      </c>
      <c r="G520" t="s" s="48">
        <v>69</v>
      </c>
      <c r="H520" t="s" s="48">
        <v>69</v>
      </c>
      <c r="I520" t="s" s="48">
        <v>69</v>
      </c>
      <c r="J520" t="s" s="48">
        <v>69</v>
      </c>
      <c r="K520" s="72"/>
      <c r="L520" s="72"/>
      <c r="M520" s="50"/>
      <c r="N520" s="49"/>
      <c r="O520" s="50"/>
      <c r="P520" s="50"/>
      <c r="Q520" s="30">
        <v>516</v>
      </c>
      <c r="R520" s="61"/>
      <c r="S520" s="46">
        <f>INDEX('Locations'!$D$6:$D$455,MATCH(B520,'Locations'!$A$6:$A$455,0))</f>
        <v>42.7330123811209</v>
      </c>
      <c r="T520" s="46">
        <f>INDEX('Locations'!$E$6:$E$455,MATCH(B520,'Locations'!$A$6:$A$455,0))</f>
        <v>-73.6656880024959</v>
      </c>
      <c r="U520" s="46">
        <f>INDEX('Locations'!$D$6:$D$455,MATCH(C520,'Locations'!$A$6:$A$455,0))</f>
        <v>42.7330491655409</v>
      </c>
      <c r="V520" s="73">
        <f>INDEX('Locations'!$E$6:$E$455,MATCH(C520,'Locations'!$A$6:$A$455,0))</f>
        <v>-73.6659617640143</v>
      </c>
      <c r="W520" s="44"/>
    </row>
    <row r="521" ht="23.1" customHeight="1">
      <c r="A521" t="s" s="24">
        <v>1131</v>
      </c>
      <c r="B521" t="s" s="53">
        <v>546</v>
      </c>
      <c r="C521" t="s" s="53">
        <v>547</v>
      </c>
      <c r="D521" t="s" s="53">
        <v>614</v>
      </c>
      <c r="E521" s="74">
        <f>2*6371000*ASIN(SQRT(MIN(1,SIN(RADIANS(U521-S521)/2)^2+COS(RADIANS(S521))*COS(RADIANS(U521))*SIN(RADIANS(V521-T521)/2)^2)))</f>
        <v>29.395367232341</v>
      </c>
      <c r="F521" t="s" s="48">
        <v>70</v>
      </c>
      <c r="G521" t="s" s="48">
        <v>69</v>
      </c>
      <c r="H521" t="s" s="48">
        <v>69</v>
      </c>
      <c r="I521" t="s" s="48">
        <v>69</v>
      </c>
      <c r="J521" t="s" s="48">
        <v>69</v>
      </c>
      <c r="K521" s="72"/>
      <c r="L521" s="72"/>
      <c r="M521" s="50"/>
      <c r="N521" s="49"/>
      <c r="O521" s="50"/>
      <c r="P521" s="50"/>
      <c r="Q521" s="32">
        <v>517</v>
      </c>
      <c r="R521" s="64"/>
      <c r="S521" s="54">
        <f>INDEX('Locations'!$D$6:$D$455,MATCH(B521,'Locations'!$A$6:$A$455,0))</f>
        <v>42.7329204200709</v>
      </c>
      <c r="T521" s="54">
        <f>INDEX('Locations'!$E$6:$E$455,MATCH(B521,'Locations'!$A$6:$A$455,0))</f>
        <v>-73.665350575508</v>
      </c>
      <c r="U521" s="54">
        <f>INDEX('Locations'!$D$6:$D$455,MATCH(C521,'Locations'!$A$6:$A$455,0))</f>
        <v>42.7330123811209</v>
      </c>
      <c r="V521" s="75">
        <f>INDEX('Locations'!$E$6:$E$455,MATCH(C521,'Locations'!$A$6:$A$455,0))</f>
        <v>-73.6656880024959</v>
      </c>
      <c r="W521" s="44"/>
    </row>
    <row r="522" ht="23.1" customHeight="1">
      <c r="A522" t="s" s="21">
        <v>1132</v>
      </c>
      <c r="B522" t="s" s="45">
        <v>546</v>
      </c>
      <c r="C522" t="s" s="45">
        <v>545</v>
      </c>
      <c r="D522" t="s" s="45">
        <v>614</v>
      </c>
      <c r="E522" s="71">
        <f>2*6371000*ASIN(SQRT(MIN(1,SIN(RADIANS(U522-S522)/2)^2+COS(RADIANS(S522))*COS(RADIANS(U522))*SIN(RADIANS(V522-T522)/2)^2)))</f>
        <v>49.1740957552925</v>
      </c>
      <c r="F522" t="s" s="48">
        <v>70</v>
      </c>
      <c r="G522" t="s" s="48">
        <v>69</v>
      </c>
      <c r="H522" t="s" s="48">
        <v>69</v>
      </c>
      <c r="I522" t="s" s="48">
        <v>69</v>
      </c>
      <c r="J522" t="s" s="48">
        <v>69</v>
      </c>
      <c r="K522" s="72"/>
      <c r="L522" s="72"/>
      <c r="M522" s="50"/>
      <c r="N522" s="49"/>
      <c r="O522" s="50"/>
      <c r="P522" s="50"/>
      <c r="Q522" s="30">
        <v>518</v>
      </c>
      <c r="R522" s="61"/>
      <c r="S522" s="46">
        <f>INDEX('Locations'!$D$6:$D$455,MATCH(B522,'Locations'!$A$6:$A$455,0))</f>
        <v>42.7329204200709</v>
      </c>
      <c r="T522" s="46">
        <f>INDEX('Locations'!$E$6:$E$455,MATCH(B522,'Locations'!$A$6:$A$455,0))</f>
        <v>-73.665350575508</v>
      </c>
      <c r="U522" s="46">
        <f>INDEX('Locations'!$D$6:$D$455,MATCH(C522,'Locations'!$A$6:$A$455,0))</f>
        <v>42.7328284590208</v>
      </c>
      <c r="V522" s="73">
        <f>INDEX('Locations'!$E$6:$E$455,MATCH(C522,'Locations'!$A$6:$A$455,0))</f>
        <v>-73.6647616699159</v>
      </c>
      <c r="W522" s="44"/>
    </row>
    <row r="523" ht="23.1" customHeight="1">
      <c r="A523" t="s" s="24">
        <v>1133</v>
      </c>
      <c r="B523" t="s" s="53">
        <v>542</v>
      </c>
      <c r="C523" t="s" s="53">
        <v>551</v>
      </c>
      <c r="D523" t="s" s="53">
        <v>614</v>
      </c>
      <c r="E523" s="74">
        <f>2*6371000*ASIN(SQRT(MIN(1,SIN(RADIANS(U523-S523)/2)^2+COS(RADIANS(S523))*COS(RADIANS(U523))*SIN(RADIANS(V523-T523)/2)^2)))</f>
        <v>24.312312361089</v>
      </c>
      <c r="F523" t="s" s="48">
        <v>70</v>
      </c>
      <c r="G523" t="s" s="48">
        <v>69</v>
      </c>
      <c r="H523" t="s" s="48">
        <v>69</v>
      </c>
      <c r="I523" t="s" s="48">
        <v>69</v>
      </c>
      <c r="J523" t="s" s="48">
        <v>69</v>
      </c>
      <c r="K523" s="72"/>
      <c r="L523" s="72"/>
      <c r="M523" s="50"/>
      <c r="N523" s="49"/>
      <c r="O523" s="50"/>
      <c r="P523" s="50"/>
      <c r="Q523" s="32">
        <v>519</v>
      </c>
      <c r="R523" s="64"/>
      <c r="S523" s="54">
        <f>INDEX('Locations'!$D$6:$D$455,MATCH(B523,'Locations'!$A$6:$A$455,0))</f>
        <v>42.7336032308673</v>
      </c>
      <c r="T523" s="54">
        <f>INDEX('Locations'!$E$6:$E$455,MATCH(B523,'Locations'!$A$6:$A$455,0))</f>
        <v>-73.6661575353328</v>
      </c>
      <c r="U523" s="54">
        <f>INDEX('Locations'!$D$6:$D$455,MATCH(C523,'Locations'!$A$6:$A$455,0))</f>
        <v>42.7335997823279</v>
      </c>
      <c r="V523" s="75">
        <f>INDEX('Locations'!$E$6:$E$455,MATCH(C523,'Locations'!$A$6:$A$455,0))</f>
        <v>-73.6658598992633</v>
      </c>
      <c r="W523" s="44"/>
    </row>
    <row r="524" ht="23.1" customHeight="1">
      <c r="A524" t="s" s="21">
        <v>1134</v>
      </c>
      <c r="B524" t="s" s="45">
        <v>548</v>
      </c>
      <c r="C524" t="s" s="45">
        <v>551</v>
      </c>
      <c r="D524" t="s" s="45">
        <v>614</v>
      </c>
      <c r="E524" s="71">
        <f>2*6371000*ASIN(SQRT(MIN(1,SIN(RADIANS(U524-S524)/2)^2+COS(RADIANS(S524))*COS(RADIANS(U524))*SIN(RADIANS(V524-T524)/2)^2)))</f>
        <v>61.7884837350748</v>
      </c>
      <c r="F524" t="s" s="48">
        <v>70</v>
      </c>
      <c r="G524" t="s" s="48">
        <v>69</v>
      </c>
      <c r="H524" t="s" s="48">
        <v>69</v>
      </c>
      <c r="I524" t="s" s="48">
        <v>69</v>
      </c>
      <c r="J524" t="s" s="48">
        <v>69</v>
      </c>
      <c r="K524" s="72"/>
      <c r="L524" s="72"/>
      <c r="M524" s="50"/>
      <c r="N524" s="49"/>
      <c r="O524" s="50"/>
      <c r="P524" s="50"/>
      <c r="Q524" s="30">
        <v>520</v>
      </c>
      <c r="R524" s="61"/>
      <c r="S524" s="46">
        <f>INDEX('Locations'!$D$6:$D$455,MATCH(B524,'Locations'!$A$6:$A$455,0))</f>
        <v>42.7330491655409</v>
      </c>
      <c r="T524" s="46">
        <f>INDEX('Locations'!$E$6:$E$455,MATCH(B524,'Locations'!$A$6:$A$455,0))</f>
        <v>-73.6659617640143</v>
      </c>
      <c r="U524" s="46">
        <f>INDEX('Locations'!$D$6:$D$455,MATCH(C524,'Locations'!$A$6:$A$455,0))</f>
        <v>42.7335997823279</v>
      </c>
      <c r="V524" s="73">
        <f>INDEX('Locations'!$E$6:$E$455,MATCH(C524,'Locations'!$A$6:$A$455,0))</f>
        <v>-73.6658598992633</v>
      </c>
      <c r="W524" s="44"/>
    </row>
    <row r="525" ht="23.1" customHeight="1">
      <c r="A525" t="s" s="24">
        <v>1135</v>
      </c>
      <c r="B525" t="s" s="53">
        <v>169</v>
      </c>
      <c r="C525" t="s" s="53">
        <v>552</v>
      </c>
      <c r="D525" t="s" s="53">
        <v>614</v>
      </c>
      <c r="E525" s="74">
        <f>2*6371000*ASIN(SQRT(MIN(1,SIN(RADIANS(U525-S525)/2)^2+COS(RADIANS(S525))*COS(RADIANS(U525))*SIN(RADIANS(V525-T525)/2)^2)))</f>
        <v>39.5489802078349</v>
      </c>
      <c r="F525" t="s" s="48">
        <v>70</v>
      </c>
      <c r="G525" t="s" s="48">
        <v>69</v>
      </c>
      <c r="H525" t="s" s="48">
        <v>69</v>
      </c>
      <c r="I525" t="s" s="48">
        <v>69</v>
      </c>
      <c r="J525" t="s" s="48">
        <v>69</v>
      </c>
      <c r="K525" s="72"/>
      <c r="L525" s="72"/>
      <c r="M525" s="50"/>
      <c r="N525" s="49"/>
      <c r="O525" s="50"/>
      <c r="P525" s="50"/>
      <c r="Q525" s="32">
        <v>521</v>
      </c>
      <c r="R525" s="64"/>
      <c r="S525" s="54">
        <f>INDEX('Locations'!$D$6:$D$455,MATCH(B525,'Locations'!$A$6:$A$455,0))</f>
        <v>42.734249293852</v>
      </c>
      <c r="T525" s="54">
        <f>INDEX('Locations'!$E$6:$E$455,MATCH(B525,'Locations'!$A$6:$A$455,0))</f>
        <v>-73.6631980548119</v>
      </c>
      <c r="U525" s="54">
        <f>INDEX('Locations'!$D$6:$D$455,MATCH(C525,'Locations'!$A$6:$A$455,0))</f>
        <v>42.7339273935686</v>
      </c>
      <c r="V525" s="75">
        <f>INDEX('Locations'!$E$6:$E$455,MATCH(C525,'Locations'!$A$6:$A$455,0))</f>
        <v>-73.6634040037808</v>
      </c>
      <c r="W525" s="44"/>
    </row>
    <row r="526" ht="23.1" customHeight="1">
      <c r="A526" t="s" s="21">
        <v>1136</v>
      </c>
      <c r="B526" t="s" s="45">
        <v>545</v>
      </c>
      <c r="C526" t="s" s="45">
        <v>552</v>
      </c>
      <c r="D526" t="s" s="45">
        <v>614</v>
      </c>
      <c r="E526" s="71">
        <f>2*6371000*ASIN(SQRT(MIN(1,SIN(RADIANS(U526-S526)/2)^2+COS(RADIANS(S526))*COS(RADIANS(U526))*SIN(RADIANS(V526-T526)/2)^2)))</f>
        <v>165.008514784721</v>
      </c>
      <c r="F526" t="s" s="48">
        <v>70</v>
      </c>
      <c r="G526" t="s" s="48">
        <v>69</v>
      </c>
      <c r="H526" t="s" s="48">
        <v>69</v>
      </c>
      <c r="I526" t="s" s="48">
        <v>69</v>
      </c>
      <c r="J526" t="s" s="48">
        <v>69</v>
      </c>
      <c r="K526" s="72"/>
      <c r="L526" s="72"/>
      <c r="M526" s="50"/>
      <c r="N526" s="49"/>
      <c r="O526" s="50"/>
      <c r="P526" s="50"/>
      <c r="Q526" s="30">
        <v>522</v>
      </c>
      <c r="R526" s="61"/>
      <c r="S526" s="46">
        <f>INDEX('Locations'!$D$6:$D$455,MATCH(B526,'Locations'!$A$6:$A$455,0))</f>
        <v>42.7328284590208</v>
      </c>
      <c r="T526" s="46">
        <f>INDEX('Locations'!$E$6:$E$455,MATCH(B526,'Locations'!$A$6:$A$455,0))</f>
        <v>-73.6647616699159</v>
      </c>
      <c r="U526" s="46">
        <f>INDEX('Locations'!$D$6:$D$455,MATCH(C526,'Locations'!$A$6:$A$455,0))</f>
        <v>42.7339273935686</v>
      </c>
      <c r="V526" s="73">
        <f>INDEX('Locations'!$E$6:$E$455,MATCH(C526,'Locations'!$A$6:$A$455,0))</f>
        <v>-73.6634040037808</v>
      </c>
      <c r="W526" s="44"/>
    </row>
    <row r="527" ht="23.1" customHeight="1">
      <c r="A527" t="s" s="24">
        <v>1137</v>
      </c>
      <c r="B527" t="s" s="53">
        <v>196</v>
      </c>
      <c r="C527" t="s" s="53">
        <v>553</v>
      </c>
      <c r="D527" t="s" s="53">
        <v>614</v>
      </c>
      <c r="E527" s="74">
        <f>2*6371000*ASIN(SQRT(MIN(1,SIN(RADIANS(U527-S527)/2)^2+COS(RADIANS(S527))*COS(RADIANS(U527))*SIN(RADIANS(V527-T527)/2)^2)))</f>
        <v>39.0795172061596</v>
      </c>
      <c r="F527" t="s" s="48">
        <v>70</v>
      </c>
      <c r="G527" t="s" s="48">
        <v>69</v>
      </c>
      <c r="H527" t="s" s="48">
        <v>69</v>
      </c>
      <c r="I527" t="s" s="48">
        <v>69</v>
      </c>
      <c r="J527" t="s" s="48">
        <v>69</v>
      </c>
      <c r="K527" s="72"/>
      <c r="L527" s="72"/>
      <c r="M527" s="50"/>
      <c r="N527" s="49"/>
      <c r="O527" s="50"/>
      <c r="P527" s="50"/>
      <c r="Q527" s="32">
        <v>523</v>
      </c>
      <c r="R527" s="64"/>
      <c r="S527" s="54">
        <f>INDEX('Locations'!$D$6:$D$455,MATCH(B527,'Locations'!$A$6:$A$455,0))</f>
        <v>42.7337312515574</v>
      </c>
      <c r="T527" s="54">
        <f>INDEX('Locations'!$E$6:$E$455,MATCH(B527,'Locations'!$A$6:$A$455,0))</f>
        <v>-73.6649082730455</v>
      </c>
      <c r="U527" s="54">
        <f>INDEX('Locations'!$D$6:$D$455,MATCH(C527,'Locations'!$A$6:$A$455,0))</f>
        <v>42.7334032155835</v>
      </c>
      <c r="V527" s="75">
        <f>INDEX('Locations'!$E$6:$E$455,MATCH(C527,'Locations'!$A$6:$A$455,0))</f>
        <v>-73.66507999726301</v>
      </c>
      <c r="W527" s="44"/>
    </row>
    <row r="528" ht="23.1" customHeight="1">
      <c r="A528" t="s" s="21">
        <v>1138</v>
      </c>
      <c r="B528" t="s" s="45">
        <v>547</v>
      </c>
      <c r="C528" t="s" s="45">
        <v>553</v>
      </c>
      <c r="D528" t="s" s="45">
        <v>614</v>
      </c>
      <c r="E528" s="71">
        <f>2*6371000*ASIN(SQRT(MIN(1,SIN(RADIANS(U528-S528)/2)^2+COS(RADIANS(S528))*COS(RADIANS(U528))*SIN(RADIANS(V528-T528)/2)^2)))</f>
        <v>65.98992802681509</v>
      </c>
      <c r="F528" t="s" s="48">
        <v>70</v>
      </c>
      <c r="G528" t="s" s="48">
        <v>69</v>
      </c>
      <c r="H528" t="s" s="48">
        <v>69</v>
      </c>
      <c r="I528" t="s" s="48">
        <v>69</v>
      </c>
      <c r="J528" t="s" s="48">
        <v>69</v>
      </c>
      <c r="K528" s="72"/>
      <c r="L528" s="72"/>
      <c r="M528" s="50"/>
      <c r="N528" s="49"/>
      <c r="O528" s="50"/>
      <c r="P528" s="50"/>
      <c r="Q528" s="30">
        <v>524</v>
      </c>
      <c r="R528" s="61"/>
      <c r="S528" s="46">
        <f>INDEX('Locations'!$D$6:$D$455,MATCH(B528,'Locations'!$A$6:$A$455,0))</f>
        <v>42.7330123811209</v>
      </c>
      <c r="T528" s="46">
        <f>INDEX('Locations'!$E$6:$E$455,MATCH(B528,'Locations'!$A$6:$A$455,0))</f>
        <v>-73.6656880024959</v>
      </c>
      <c r="U528" s="46">
        <f>INDEX('Locations'!$D$6:$D$455,MATCH(C528,'Locations'!$A$6:$A$455,0))</f>
        <v>42.7334032155835</v>
      </c>
      <c r="V528" s="73">
        <f>INDEX('Locations'!$E$6:$E$455,MATCH(C528,'Locations'!$A$6:$A$455,0))</f>
        <v>-73.66507999726301</v>
      </c>
      <c r="W528" s="44"/>
    </row>
    <row r="529" ht="23.1" customHeight="1">
      <c r="A529" t="s" s="24">
        <v>1139</v>
      </c>
      <c r="B529" t="s" s="53">
        <v>556</v>
      </c>
      <c r="C529" t="s" s="53">
        <v>555</v>
      </c>
      <c r="D529" t="s" s="53">
        <v>614</v>
      </c>
      <c r="E529" s="74">
        <f>2*6371000*ASIN(SQRT(MIN(1,SIN(RADIANS(U529-S529)/2)^2+COS(RADIANS(S529))*COS(RADIANS(U529))*SIN(RADIANS(V529-T529)/2)^2)))</f>
        <v>44.2119625738779</v>
      </c>
      <c r="F529" t="s" s="48">
        <v>70</v>
      </c>
      <c r="G529" t="s" s="48">
        <v>69</v>
      </c>
      <c r="H529" t="s" s="48">
        <v>69</v>
      </c>
      <c r="I529" t="s" s="48">
        <v>69</v>
      </c>
      <c r="J529" t="s" s="48">
        <v>69</v>
      </c>
      <c r="K529" s="72"/>
      <c r="L529" s="72"/>
      <c r="M529" s="50"/>
      <c r="N529" s="49"/>
      <c r="O529" s="50"/>
      <c r="P529" s="50"/>
      <c r="Q529" s="32">
        <v>525</v>
      </c>
      <c r="R529" s="64"/>
      <c r="S529" s="54">
        <f>INDEX('Locations'!$D$6:$D$455,MATCH(B529,'Locations'!$A$6:$A$455,0))</f>
        <v>42.7346527363507</v>
      </c>
      <c r="T529" s="54">
        <f>INDEX('Locations'!$E$6:$E$455,MATCH(B529,'Locations'!$A$6:$A$455,0))</f>
        <v>-73.66439559346681</v>
      </c>
      <c r="U529" s="54">
        <f>INDEX('Locations'!$D$6:$D$455,MATCH(C529,'Locations'!$A$6:$A$455,0))</f>
        <v>42.734260752375</v>
      </c>
      <c r="V529" s="75">
        <f>INDEX('Locations'!$E$6:$E$455,MATCH(C529,'Locations'!$A$6:$A$455,0))</f>
        <v>-73.6644863167607</v>
      </c>
      <c r="W529" s="44"/>
    </row>
    <row r="530" ht="23.1" customHeight="1">
      <c r="A530" t="s" s="21">
        <v>1140</v>
      </c>
      <c r="B530" t="s" s="45">
        <v>196</v>
      </c>
      <c r="C530" t="s" s="45">
        <v>554</v>
      </c>
      <c r="D530" t="s" s="45">
        <v>614</v>
      </c>
      <c r="E530" s="71">
        <f>2*6371000*ASIN(SQRT(MIN(1,SIN(RADIANS(U530-S530)/2)^2+COS(RADIANS(S530))*COS(RADIANS(U530))*SIN(RADIANS(V530-T530)/2)^2)))</f>
        <v>22.6569783014246</v>
      </c>
      <c r="F530" t="s" s="48">
        <v>70</v>
      </c>
      <c r="G530" t="s" s="48">
        <v>69</v>
      </c>
      <c r="H530" t="s" s="48">
        <v>69</v>
      </c>
      <c r="I530" t="s" s="48">
        <v>69</v>
      </c>
      <c r="J530" t="s" s="48">
        <v>69</v>
      </c>
      <c r="K530" s="72"/>
      <c r="L530" s="72"/>
      <c r="M530" s="50"/>
      <c r="N530" s="49"/>
      <c r="O530" s="50"/>
      <c r="P530" s="50"/>
      <c r="Q530" s="30">
        <v>526</v>
      </c>
      <c r="R530" s="61"/>
      <c r="S530" s="46">
        <f>INDEX('Locations'!$D$6:$D$455,MATCH(B530,'Locations'!$A$6:$A$455,0))</f>
        <v>42.7337312515574</v>
      </c>
      <c r="T530" s="46">
        <f>INDEX('Locations'!$E$6:$E$455,MATCH(B530,'Locations'!$A$6:$A$455,0))</f>
        <v>-73.6649082730455</v>
      </c>
      <c r="U530" s="46">
        <f>INDEX('Locations'!$D$6:$D$455,MATCH(C530,'Locations'!$A$6:$A$455,0))</f>
        <v>42.7339319916211</v>
      </c>
      <c r="V530" s="73">
        <f>INDEX('Locations'!$E$6:$E$455,MATCH(C530,'Locations'!$A$6:$A$455,0))</f>
        <v>-73.6649558495976</v>
      </c>
      <c r="W530" s="44"/>
    </row>
    <row r="531" ht="23.1" customHeight="1">
      <c r="A531" t="s" s="24">
        <v>1141</v>
      </c>
      <c r="B531" t="s" s="53">
        <v>555</v>
      </c>
      <c r="C531" t="s" s="53">
        <v>554</v>
      </c>
      <c r="D531" t="s" s="53">
        <v>614</v>
      </c>
      <c r="E531" s="74">
        <f>2*6371000*ASIN(SQRT(MIN(1,SIN(RADIANS(U531-S531)/2)^2+COS(RADIANS(S531))*COS(RADIANS(U531))*SIN(RADIANS(V531-T531)/2)^2)))</f>
        <v>52.9810591962118</v>
      </c>
      <c r="F531" t="s" s="48">
        <v>70</v>
      </c>
      <c r="G531" t="s" s="48">
        <v>69</v>
      </c>
      <c r="H531" t="s" s="48">
        <v>69</v>
      </c>
      <c r="I531" t="s" s="48">
        <v>69</v>
      </c>
      <c r="J531" t="s" s="48">
        <v>69</v>
      </c>
      <c r="K531" s="72"/>
      <c r="L531" s="72"/>
      <c r="M531" s="50"/>
      <c r="N531" s="49"/>
      <c r="O531" s="50"/>
      <c r="P531" s="50"/>
      <c r="Q531" s="32">
        <v>527</v>
      </c>
      <c r="R531" s="64"/>
      <c r="S531" s="54">
        <f>INDEX('Locations'!$D$6:$D$455,MATCH(B531,'Locations'!$A$6:$A$455,0))</f>
        <v>42.734260752375</v>
      </c>
      <c r="T531" s="54">
        <f>INDEX('Locations'!$E$6:$E$455,MATCH(B531,'Locations'!$A$6:$A$455,0))</f>
        <v>-73.6644863167607</v>
      </c>
      <c r="U531" s="54">
        <f>INDEX('Locations'!$D$6:$D$455,MATCH(C531,'Locations'!$A$6:$A$455,0))</f>
        <v>42.7339319916211</v>
      </c>
      <c r="V531" s="75">
        <f>INDEX('Locations'!$E$6:$E$455,MATCH(C531,'Locations'!$A$6:$A$455,0))</f>
        <v>-73.6649558495976</v>
      </c>
      <c r="W531" s="44"/>
    </row>
    <row r="532" ht="23.1" customHeight="1">
      <c r="A532" t="s" s="21">
        <v>1142</v>
      </c>
      <c r="B532" t="s" s="45">
        <v>557</v>
      </c>
      <c r="C532" t="s" s="45">
        <v>169</v>
      </c>
      <c r="D532" t="s" s="45">
        <v>614</v>
      </c>
      <c r="E532" s="71">
        <f>2*6371000*ASIN(SQRT(MIN(1,SIN(RADIANS(U532-S532)/2)^2+COS(RADIANS(S532))*COS(RADIANS(U532))*SIN(RADIANS(V532-T532)/2)^2)))</f>
        <v>25.8298518920058</v>
      </c>
      <c r="F532" t="s" s="48">
        <v>70</v>
      </c>
      <c r="G532" t="s" s="48">
        <v>69</v>
      </c>
      <c r="H532" t="s" s="48">
        <v>69</v>
      </c>
      <c r="I532" t="s" s="48">
        <v>69</v>
      </c>
      <c r="J532" t="s" s="48">
        <v>69</v>
      </c>
      <c r="K532" s="72"/>
      <c r="L532" s="72"/>
      <c r="M532" s="50"/>
      <c r="N532" s="49"/>
      <c r="O532" s="50"/>
      <c r="P532" s="50"/>
      <c r="Q532" s="30">
        <v>528</v>
      </c>
      <c r="R532" s="61"/>
      <c r="S532" s="46">
        <f>INDEX('Locations'!$D$6:$D$455,MATCH(B532,'Locations'!$A$6:$A$455,0))</f>
        <v>42.734481458895</v>
      </c>
      <c r="T532" s="46">
        <f>INDEX('Locations'!$E$6:$E$455,MATCH(B532,'Locations'!$A$6:$A$455,0))</f>
        <v>-73.6631875411848</v>
      </c>
      <c r="U532" s="46">
        <f>INDEX('Locations'!$D$6:$D$455,MATCH(C532,'Locations'!$A$6:$A$455,0))</f>
        <v>42.734249293852</v>
      </c>
      <c r="V532" s="73">
        <f>INDEX('Locations'!$E$6:$E$455,MATCH(C532,'Locations'!$A$6:$A$455,0))</f>
        <v>-73.6631980548119</v>
      </c>
      <c r="W532" s="44"/>
    </row>
    <row r="533" ht="23.1" customHeight="1">
      <c r="A533" t="s" s="24">
        <v>1143</v>
      </c>
      <c r="B533" t="s" s="53">
        <v>556</v>
      </c>
      <c r="C533" t="s" s="53">
        <v>557</v>
      </c>
      <c r="D533" t="s" s="53">
        <v>614</v>
      </c>
      <c r="E533" s="74">
        <f>2*6371000*ASIN(SQRT(MIN(1,SIN(RADIANS(U533-S533)/2)^2+COS(RADIANS(S533))*COS(RADIANS(U533))*SIN(RADIANS(V533-T533)/2)^2)))</f>
        <v>100.486887877457</v>
      </c>
      <c r="F533" t="s" s="48">
        <v>70</v>
      </c>
      <c r="G533" t="s" s="48">
        <v>69</v>
      </c>
      <c r="H533" t="s" s="48">
        <v>69</v>
      </c>
      <c r="I533" t="s" s="48">
        <v>69</v>
      </c>
      <c r="J533" t="s" s="48">
        <v>69</v>
      </c>
      <c r="K533" s="72"/>
      <c r="L533" s="72"/>
      <c r="M533" s="50"/>
      <c r="N533" s="49"/>
      <c r="O533" s="50"/>
      <c r="P533" s="50"/>
      <c r="Q533" s="32">
        <v>529</v>
      </c>
      <c r="R533" s="64"/>
      <c r="S533" s="54">
        <f>INDEX('Locations'!$D$6:$D$455,MATCH(B533,'Locations'!$A$6:$A$455,0))</f>
        <v>42.7346527363507</v>
      </c>
      <c r="T533" s="54">
        <f>INDEX('Locations'!$E$6:$E$455,MATCH(B533,'Locations'!$A$6:$A$455,0))</f>
        <v>-73.66439559346681</v>
      </c>
      <c r="U533" s="54">
        <f>INDEX('Locations'!$D$6:$D$455,MATCH(C533,'Locations'!$A$6:$A$455,0))</f>
        <v>42.734481458895</v>
      </c>
      <c r="V533" s="75">
        <f>INDEX('Locations'!$E$6:$E$455,MATCH(C533,'Locations'!$A$6:$A$455,0))</f>
        <v>-73.6631875411848</v>
      </c>
      <c r="W533" s="44"/>
    </row>
    <row r="534" ht="23.1" customHeight="1">
      <c r="A534" t="s" s="21">
        <v>1144</v>
      </c>
      <c r="B534" t="s" s="45">
        <v>558</v>
      </c>
      <c r="C534" t="s" s="45">
        <v>556</v>
      </c>
      <c r="D534" t="s" s="45">
        <v>614</v>
      </c>
      <c r="E534" s="71">
        <f>2*6371000*ASIN(SQRT(MIN(1,SIN(RADIANS(U534-S534)/2)^2+COS(RADIANS(S534))*COS(RADIANS(U534))*SIN(RADIANS(V534-T534)/2)^2)))</f>
        <v>104.315319234692</v>
      </c>
      <c r="F534" t="s" s="48">
        <v>70</v>
      </c>
      <c r="G534" t="s" s="48">
        <v>69</v>
      </c>
      <c r="H534" t="s" s="48">
        <v>69</v>
      </c>
      <c r="I534" t="s" s="48">
        <v>69</v>
      </c>
      <c r="J534" t="s" s="48">
        <v>69</v>
      </c>
      <c r="K534" s="72"/>
      <c r="L534" s="72"/>
      <c r="M534" s="50"/>
      <c r="N534" s="49"/>
      <c r="O534" s="50"/>
      <c r="P534" s="50"/>
      <c r="Q534" s="30">
        <v>530</v>
      </c>
      <c r="R534" s="61"/>
      <c r="S534" s="46">
        <f>INDEX('Locations'!$D$6:$D$455,MATCH(B534,'Locations'!$A$6:$A$455,0))</f>
        <v>42.7355872905216</v>
      </c>
      <c r="T534" s="46">
        <f>INDEX('Locations'!$E$6:$E$455,MATCH(B534,'Locations'!$A$6:$A$455,0))</f>
        <v>-73.6642841788954</v>
      </c>
      <c r="U534" s="46">
        <f>INDEX('Locations'!$D$6:$D$455,MATCH(C534,'Locations'!$A$6:$A$455,0))</f>
        <v>42.7346527363507</v>
      </c>
      <c r="V534" s="73">
        <f>INDEX('Locations'!$E$6:$E$455,MATCH(C534,'Locations'!$A$6:$A$455,0))</f>
        <v>-73.66439559346681</v>
      </c>
      <c r="W534" s="44"/>
    </row>
    <row r="535" ht="23.1" customHeight="1">
      <c r="A535" t="s" s="24">
        <v>1145</v>
      </c>
      <c r="B535" t="s" s="53">
        <v>566</v>
      </c>
      <c r="C535" t="s" s="53">
        <v>95</v>
      </c>
      <c r="D535" t="s" s="53">
        <v>614</v>
      </c>
      <c r="E535" s="74">
        <f>2*6371000*ASIN(SQRT(MIN(1,SIN(RADIANS(U535-S535)/2)^2+COS(RADIANS(S535))*COS(RADIANS(U535))*SIN(RADIANS(V535-T535)/2)^2)))</f>
        <v>11.1747232825331</v>
      </c>
      <c r="F535" t="s" s="48">
        <v>70</v>
      </c>
      <c r="G535" t="s" s="48">
        <v>69</v>
      </c>
      <c r="H535" t="s" s="48">
        <v>69</v>
      </c>
      <c r="I535" t="s" s="48">
        <v>69</v>
      </c>
      <c r="J535" t="s" s="48">
        <v>69</v>
      </c>
      <c r="K535" s="72"/>
      <c r="L535" s="72"/>
      <c r="M535" s="50"/>
      <c r="N535" s="49"/>
      <c r="O535" s="50"/>
      <c r="P535" s="50"/>
      <c r="Q535" s="32">
        <v>531</v>
      </c>
      <c r="R535" s="64"/>
      <c r="S535" s="54">
        <f>INDEX('Locations'!$D$6:$D$455,MATCH(B535,'Locations'!$A$6:$A$455,0))</f>
        <v>42.7351010464696</v>
      </c>
      <c r="T535" s="54">
        <f>INDEX('Locations'!$E$6:$E$455,MATCH(B535,'Locations'!$A$6:$A$455,0))</f>
        <v>-73.6638974111687</v>
      </c>
      <c r="U535" s="54">
        <f>INDEX('Locations'!$D$6:$D$455,MATCH(C535,'Locations'!$A$6:$A$455,0))</f>
        <v>42.7350010602975</v>
      </c>
      <c r="V535" s="75">
        <f>INDEX('Locations'!$E$6:$E$455,MATCH(C535,'Locations'!$A$6:$A$455,0))</f>
        <v>-73.6639111850773</v>
      </c>
      <c r="W535" s="44"/>
    </row>
    <row r="536" ht="23.1" customHeight="1">
      <c r="A536" t="s" s="21">
        <v>1146</v>
      </c>
      <c r="B536" t="s" s="45">
        <v>557</v>
      </c>
      <c r="C536" t="s" s="45">
        <v>567</v>
      </c>
      <c r="D536" t="s" s="45">
        <v>614</v>
      </c>
      <c r="E536" s="71">
        <f>2*6371000*ASIN(SQRT(MIN(1,SIN(RADIANS(U536-S536)/2)^2+COS(RADIANS(S536))*COS(RADIANS(U536))*SIN(RADIANS(V536-T536)/2)^2)))</f>
        <v>104.731545112487</v>
      </c>
      <c r="F536" t="s" s="48">
        <v>70</v>
      </c>
      <c r="G536" t="s" s="48">
        <v>69</v>
      </c>
      <c r="H536" t="s" s="48">
        <v>69</v>
      </c>
      <c r="I536" t="s" s="48">
        <v>69</v>
      </c>
      <c r="J536" t="s" s="48">
        <v>69</v>
      </c>
      <c r="K536" s="72"/>
      <c r="L536" s="72"/>
      <c r="M536" s="50"/>
      <c r="N536" s="49"/>
      <c r="O536" s="50"/>
      <c r="P536" s="50"/>
      <c r="Q536" s="30">
        <v>532</v>
      </c>
      <c r="R536" s="61"/>
      <c r="S536" s="46">
        <f>INDEX('Locations'!$D$6:$D$455,MATCH(B536,'Locations'!$A$6:$A$455,0))</f>
        <v>42.734481458895</v>
      </c>
      <c r="T536" s="46">
        <f>INDEX('Locations'!$E$6:$E$455,MATCH(B536,'Locations'!$A$6:$A$455,0))</f>
        <v>-73.6631875411848</v>
      </c>
      <c r="U536" s="46">
        <f>INDEX('Locations'!$D$6:$D$455,MATCH(C536,'Locations'!$A$6:$A$455,0))</f>
        <v>42.7354033684215</v>
      </c>
      <c r="V536" s="73">
        <f>INDEX('Locations'!$E$6:$E$455,MATCH(C536,'Locations'!$A$6:$A$455,0))</f>
        <v>-73.66292492112341</v>
      </c>
      <c r="W536" s="44"/>
    </row>
    <row r="537" ht="23.1" customHeight="1">
      <c r="A537" t="s" s="24">
        <v>1147</v>
      </c>
      <c r="B537" t="s" s="53">
        <v>565</v>
      </c>
      <c r="C537" t="s" s="53">
        <v>563</v>
      </c>
      <c r="D537" t="s" s="53">
        <v>614</v>
      </c>
      <c r="E537" s="74">
        <f>2*6371000*ASIN(SQRT(MIN(1,SIN(RADIANS(U537-S537)/2)^2+COS(RADIANS(S537))*COS(RADIANS(U537))*SIN(RADIANS(V537-T537)/2)^2)))</f>
        <v>37.6025579356434</v>
      </c>
      <c r="F537" t="s" s="48">
        <v>70</v>
      </c>
      <c r="G537" t="s" s="48">
        <v>69</v>
      </c>
      <c r="H537" t="s" s="48">
        <v>69</v>
      </c>
      <c r="I537" t="s" s="48">
        <v>69</v>
      </c>
      <c r="J537" t="s" s="48">
        <v>69</v>
      </c>
      <c r="K537" s="72"/>
      <c r="L537" s="72"/>
      <c r="M537" s="50"/>
      <c r="N537" s="49"/>
      <c r="O537" s="50"/>
      <c r="P537" s="50"/>
      <c r="Q537" s="32">
        <v>533</v>
      </c>
      <c r="R537" s="64"/>
      <c r="S537" s="54">
        <f>INDEX('Locations'!$D$6:$D$455,MATCH(B537,'Locations'!$A$6:$A$455,0))</f>
        <v>42.7349665534339</v>
      </c>
      <c r="T537" s="54">
        <f>INDEX('Locations'!$E$6:$E$455,MATCH(B537,'Locations'!$A$6:$A$455,0))</f>
        <v>-73.6633642128624</v>
      </c>
      <c r="U537" s="54">
        <f>INDEX('Locations'!$D$6:$D$455,MATCH(C537,'Locations'!$A$6:$A$455,0))</f>
        <v>42.7352918656484</v>
      </c>
      <c r="V537" s="75">
        <f>INDEX('Locations'!$E$6:$E$455,MATCH(C537,'Locations'!$A$6:$A$455,0))</f>
        <v>-73.6632384735603</v>
      </c>
      <c r="W537" s="44"/>
    </row>
    <row r="538" ht="23.1" customHeight="1">
      <c r="A538" t="s" s="21">
        <v>1148</v>
      </c>
      <c r="B538" t="s" s="45">
        <v>566</v>
      </c>
      <c r="C538" t="s" s="45">
        <v>565</v>
      </c>
      <c r="D538" t="s" s="45">
        <v>614</v>
      </c>
      <c r="E538" s="71">
        <f>2*6371000*ASIN(SQRT(MIN(1,SIN(RADIANS(U538-S538)/2)^2+COS(RADIANS(S538))*COS(RADIANS(U538))*SIN(RADIANS(V538-T538)/2)^2)))</f>
        <v>46.0440458462653</v>
      </c>
      <c r="F538" t="s" s="48">
        <v>70</v>
      </c>
      <c r="G538" t="s" s="48">
        <v>69</v>
      </c>
      <c r="H538" t="s" s="48">
        <v>69</v>
      </c>
      <c r="I538" t="s" s="48">
        <v>69</v>
      </c>
      <c r="J538" t="s" s="48">
        <v>69</v>
      </c>
      <c r="K538" s="72"/>
      <c r="L538" s="72"/>
      <c r="M538" s="50"/>
      <c r="N538" s="49"/>
      <c r="O538" s="50"/>
      <c r="P538" s="50"/>
      <c r="Q538" s="30">
        <v>534</v>
      </c>
      <c r="R538" s="61"/>
      <c r="S538" s="46">
        <f>INDEX('Locations'!$D$6:$D$455,MATCH(B538,'Locations'!$A$6:$A$455,0))</f>
        <v>42.7351010464696</v>
      </c>
      <c r="T538" s="46">
        <f>INDEX('Locations'!$E$6:$E$455,MATCH(B538,'Locations'!$A$6:$A$455,0))</f>
        <v>-73.6638974111687</v>
      </c>
      <c r="U538" s="46">
        <f>INDEX('Locations'!$D$6:$D$455,MATCH(C538,'Locations'!$A$6:$A$455,0))</f>
        <v>42.7349665534339</v>
      </c>
      <c r="V538" s="73">
        <f>INDEX('Locations'!$E$6:$E$455,MATCH(C538,'Locations'!$A$6:$A$455,0))</f>
        <v>-73.6633642128624</v>
      </c>
      <c r="W538" s="44"/>
    </row>
    <row r="539" ht="23.1" customHeight="1">
      <c r="A539" t="s" s="24">
        <v>1149</v>
      </c>
      <c r="B539" t="s" s="53">
        <v>561</v>
      </c>
      <c r="C539" t="s" s="53">
        <v>566</v>
      </c>
      <c r="D539" t="s" s="53">
        <v>614</v>
      </c>
      <c r="E539" s="74">
        <f>2*6371000*ASIN(SQRT(MIN(1,SIN(RADIANS(U539-S539)/2)^2+COS(RADIANS(S539))*COS(RADIANS(U539))*SIN(RADIANS(V539-T539)/2)^2)))</f>
        <v>31.0039312277566</v>
      </c>
      <c r="F539" t="s" s="48">
        <v>70</v>
      </c>
      <c r="G539" t="s" s="48">
        <v>69</v>
      </c>
      <c r="H539" t="s" s="48">
        <v>69</v>
      </c>
      <c r="I539" t="s" s="48">
        <v>69</v>
      </c>
      <c r="J539" t="s" s="48">
        <v>69</v>
      </c>
      <c r="K539" s="72"/>
      <c r="L539" s="72"/>
      <c r="M539" s="50"/>
      <c r="N539" s="49"/>
      <c r="O539" s="50"/>
      <c r="P539" s="50"/>
      <c r="Q539" s="32">
        <v>535</v>
      </c>
      <c r="R539" s="64"/>
      <c r="S539" s="54">
        <f>INDEX('Locations'!$D$6:$D$455,MATCH(B539,'Locations'!$A$6:$A$455,0))</f>
        <v>42.7353780791328</v>
      </c>
      <c r="T539" s="54">
        <f>INDEX('Locations'!$E$6:$E$455,MATCH(B539,'Locations'!$A$6:$A$455,0))</f>
        <v>-73.66385443697681</v>
      </c>
      <c r="U539" s="54">
        <f>INDEX('Locations'!$D$6:$D$455,MATCH(C539,'Locations'!$A$6:$A$455,0))</f>
        <v>42.7351010464696</v>
      </c>
      <c r="V539" s="75">
        <f>INDEX('Locations'!$E$6:$E$455,MATCH(C539,'Locations'!$A$6:$A$455,0))</f>
        <v>-73.6638974111687</v>
      </c>
      <c r="W539" s="44"/>
    </row>
    <row r="540" ht="23.1" customHeight="1">
      <c r="A540" t="s" s="21">
        <v>1150</v>
      </c>
      <c r="B540" t="s" s="45">
        <v>564</v>
      </c>
      <c r="C540" t="s" s="45">
        <v>559</v>
      </c>
      <c r="D540" t="s" s="45">
        <v>614</v>
      </c>
      <c r="E540" s="71">
        <f>2*6371000*ASIN(SQRT(MIN(1,SIN(RADIANS(U540-S540)/2)^2+COS(RADIANS(S540))*COS(RADIANS(U540))*SIN(RADIANS(V540-T540)/2)^2)))</f>
        <v>19.8463687308027</v>
      </c>
      <c r="F540" t="s" s="48">
        <v>70</v>
      </c>
      <c r="G540" t="s" s="48">
        <v>69</v>
      </c>
      <c r="H540" t="s" s="48">
        <v>69</v>
      </c>
      <c r="I540" t="s" s="48">
        <v>69</v>
      </c>
      <c r="J540" t="s" s="48">
        <v>69</v>
      </c>
      <c r="K540" s="72"/>
      <c r="L540" s="72"/>
      <c r="M540" s="50"/>
      <c r="N540" s="49"/>
      <c r="O540" s="50"/>
      <c r="P540" s="50"/>
      <c r="Q540" s="30">
        <v>536</v>
      </c>
      <c r="R540" s="61"/>
      <c r="S540" s="46">
        <f>INDEX('Locations'!$D$6:$D$455,MATCH(B540,'Locations'!$A$6:$A$455,0))</f>
        <v>42.7353389956865</v>
      </c>
      <c r="T540" s="46">
        <f>INDEX('Locations'!$E$6:$E$455,MATCH(B540,'Locations'!$A$6:$A$455,0))</f>
        <v>-73.6635615758176</v>
      </c>
      <c r="U540" s="46">
        <f>INDEX('Locations'!$D$6:$D$455,MATCH(C540,'Locations'!$A$6:$A$455,0))</f>
        <v>42.7355148711947</v>
      </c>
      <c r="V540" s="73">
        <f>INDEX('Locations'!$E$6:$E$455,MATCH(C540,'Locations'!$A$6:$A$455,0))</f>
        <v>-73.6635201932624</v>
      </c>
      <c r="W540" s="44"/>
    </row>
    <row r="541" ht="23.1" customHeight="1">
      <c r="A541" t="s" s="24">
        <v>1151</v>
      </c>
      <c r="B541" t="s" s="53">
        <v>560</v>
      </c>
      <c r="C541" t="s" s="53">
        <v>561</v>
      </c>
      <c r="D541" t="s" s="53">
        <v>614</v>
      </c>
      <c r="E541" s="74">
        <f>2*6371000*ASIN(SQRT(MIN(1,SIN(RADIANS(U541-S541)/2)^2+COS(RADIANS(S541))*COS(RADIANS(U541))*SIN(RADIANS(V541-T541)/2)^2)))</f>
        <v>16.9845416707768</v>
      </c>
      <c r="F541" t="s" s="48">
        <v>70</v>
      </c>
      <c r="G541" t="s" s="48">
        <v>69</v>
      </c>
      <c r="H541" t="s" s="48">
        <v>69</v>
      </c>
      <c r="I541" t="s" s="48">
        <v>69</v>
      </c>
      <c r="J541" t="s" s="48">
        <v>69</v>
      </c>
      <c r="K541" s="72"/>
      <c r="L541" s="72"/>
      <c r="M541" s="50"/>
      <c r="N541" s="49"/>
      <c r="O541" s="50"/>
      <c r="P541" s="50"/>
      <c r="Q541" s="32">
        <v>537</v>
      </c>
      <c r="R541" s="64"/>
      <c r="S541" s="54">
        <f>INDEX('Locations'!$D$6:$D$455,MATCH(B541,'Locations'!$A$6:$A$455,0))</f>
        <v>42.7355298148653</v>
      </c>
      <c r="T541" s="54">
        <f>INDEX('Locations'!$E$6:$E$455,MATCH(B541,'Locations'!$A$6:$A$455,0))</f>
        <v>-73.6638305624258</v>
      </c>
      <c r="U541" s="54">
        <f>INDEX('Locations'!$D$6:$D$455,MATCH(C541,'Locations'!$A$6:$A$455,0))</f>
        <v>42.7353780791328</v>
      </c>
      <c r="V541" s="75">
        <f>INDEX('Locations'!$E$6:$E$455,MATCH(C541,'Locations'!$A$6:$A$455,0))</f>
        <v>-73.66385443697681</v>
      </c>
      <c r="W541" s="44"/>
    </row>
    <row r="542" ht="23.1" customHeight="1">
      <c r="A542" t="s" s="21">
        <v>1152</v>
      </c>
      <c r="B542" t="s" s="45">
        <v>560</v>
      </c>
      <c r="C542" t="s" s="45">
        <v>559</v>
      </c>
      <c r="D542" t="s" s="45">
        <v>614</v>
      </c>
      <c r="E542" s="71">
        <f>2*6371000*ASIN(SQRT(MIN(1,SIN(RADIANS(U542-S542)/2)^2+COS(RADIANS(S542))*COS(RADIANS(U542))*SIN(RADIANS(V542-T542)/2)^2)))</f>
        <v>25.4028773281525</v>
      </c>
      <c r="F542" t="s" s="48">
        <v>70</v>
      </c>
      <c r="G542" t="s" s="48">
        <v>69</v>
      </c>
      <c r="H542" t="s" s="48">
        <v>69</v>
      </c>
      <c r="I542" t="s" s="48">
        <v>69</v>
      </c>
      <c r="J542" t="s" s="48">
        <v>69</v>
      </c>
      <c r="K542" s="72"/>
      <c r="L542" s="72"/>
      <c r="M542" s="50"/>
      <c r="N542" s="49"/>
      <c r="O542" s="50"/>
      <c r="P542" s="50"/>
      <c r="Q542" s="30">
        <v>538</v>
      </c>
      <c r="R542" s="61"/>
      <c r="S542" s="46">
        <f>INDEX('Locations'!$D$6:$D$455,MATCH(B542,'Locations'!$A$6:$A$455,0))</f>
        <v>42.7355298148653</v>
      </c>
      <c r="T542" s="46">
        <f>INDEX('Locations'!$E$6:$E$455,MATCH(B542,'Locations'!$A$6:$A$455,0))</f>
        <v>-73.6638305624258</v>
      </c>
      <c r="U542" s="46">
        <f>INDEX('Locations'!$D$6:$D$455,MATCH(C542,'Locations'!$A$6:$A$455,0))</f>
        <v>42.7355148711947</v>
      </c>
      <c r="V542" s="73">
        <f>INDEX('Locations'!$E$6:$E$455,MATCH(C542,'Locations'!$A$6:$A$455,0))</f>
        <v>-73.6635201932624</v>
      </c>
      <c r="W542" s="44"/>
    </row>
    <row r="543" ht="23.1" customHeight="1">
      <c r="A543" t="s" s="24">
        <v>1153</v>
      </c>
      <c r="B543" t="s" s="53">
        <v>562</v>
      </c>
      <c r="C543" t="s" s="53">
        <v>563</v>
      </c>
      <c r="D543" t="s" s="53">
        <v>614</v>
      </c>
      <c r="E543" s="74">
        <f>2*6371000*ASIN(SQRT(MIN(1,SIN(RADIANS(U543-S543)/2)^2+COS(RADIANS(S543))*COS(RADIANS(U543))*SIN(RADIANS(V543-T543)/2)^2)))</f>
        <v>16.3208675793068</v>
      </c>
      <c r="F543" t="s" s="48">
        <v>70</v>
      </c>
      <c r="G543" t="s" s="48">
        <v>69</v>
      </c>
      <c r="H543" t="s" s="48">
        <v>69</v>
      </c>
      <c r="I543" t="s" s="48">
        <v>69</v>
      </c>
      <c r="J543" t="s" s="48">
        <v>69</v>
      </c>
      <c r="K543" s="72"/>
      <c r="L543" s="72"/>
      <c r="M543" s="50"/>
      <c r="N543" s="49"/>
      <c r="O543" s="50"/>
      <c r="P543" s="50"/>
      <c r="Q543" s="32">
        <v>539</v>
      </c>
      <c r="R543" s="64"/>
      <c r="S543" s="54">
        <f>INDEX('Locations'!$D$6:$D$455,MATCH(B543,'Locations'!$A$6:$A$455,0))</f>
        <v>42.7354378538153</v>
      </c>
      <c r="T543" s="54">
        <f>INDEX('Locations'!$E$6:$E$455,MATCH(B543,'Locations'!$A$6:$A$455,0))</f>
        <v>-73.6632177822827</v>
      </c>
      <c r="U543" s="54">
        <f>INDEX('Locations'!$D$6:$D$455,MATCH(C543,'Locations'!$A$6:$A$455,0))</f>
        <v>42.7352918656484</v>
      </c>
      <c r="V543" s="75">
        <f>INDEX('Locations'!$E$6:$E$455,MATCH(C543,'Locations'!$A$6:$A$455,0))</f>
        <v>-73.6632384735603</v>
      </c>
      <c r="W543" s="44"/>
    </row>
    <row r="544" ht="23.1" customHeight="1">
      <c r="A544" t="s" s="21">
        <v>1154</v>
      </c>
      <c r="B544" t="s" s="45">
        <v>567</v>
      </c>
      <c r="C544" t="s" s="45">
        <v>562</v>
      </c>
      <c r="D544" t="s" s="45">
        <v>614</v>
      </c>
      <c r="E544" s="71">
        <f>2*6371000*ASIN(SQRT(MIN(1,SIN(RADIANS(U544-S544)/2)^2+COS(RADIANS(S544))*COS(RADIANS(U544))*SIN(RADIANS(V544-T544)/2)^2)))</f>
        <v>24.2240271670506</v>
      </c>
      <c r="F544" t="s" s="48">
        <v>70</v>
      </c>
      <c r="G544" t="s" s="48">
        <v>69</v>
      </c>
      <c r="H544" t="s" s="48">
        <v>69</v>
      </c>
      <c r="I544" t="s" s="48">
        <v>69</v>
      </c>
      <c r="J544" t="s" s="48">
        <v>69</v>
      </c>
      <c r="K544" s="72"/>
      <c r="L544" s="72"/>
      <c r="M544" s="50"/>
      <c r="N544" s="49"/>
      <c r="O544" s="50"/>
      <c r="P544" s="50"/>
      <c r="Q544" s="30">
        <v>540</v>
      </c>
      <c r="R544" s="61"/>
      <c r="S544" s="46">
        <f>INDEX('Locations'!$D$6:$D$455,MATCH(B544,'Locations'!$A$6:$A$455,0))</f>
        <v>42.7354033684215</v>
      </c>
      <c r="T544" s="46">
        <f>INDEX('Locations'!$E$6:$E$455,MATCH(B544,'Locations'!$A$6:$A$455,0))</f>
        <v>-73.66292492112341</v>
      </c>
      <c r="U544" s="46">
        <f>INDEX('Locations'!$D$6:$D$455,MATCH(C544,'Locations'!$A$6:$A$455,0))</f>
        <v>42.7354378538153</v>
      </c>
      <c r="V544" s="73">
        <f>INDEX('Locations'!$E$6:$E$455,MATCH(C544,'Locations'!$A$6:$A$455,0))</f>
        <v>-73.6632177822827</v>
      </c>
      <c r="W544" s="44"/>
    </row>
    <row r="545" ht="23.1" customHeight="1">
      <c r="A545" t="s" s="24">
        <v>1155</v>
      </c>
      <c r="B545" t="s" s="53">
        <v>559</v>
      </c>
      <c r="C545" t="s" s="53">
        <v>562</v>
      </c>
      <c r="D545" t="s" s="53">
        <v>614</v>
      </c>
      <c r="E545" s="74">
        <f>2*6371000*ASIN(SQRT(MIN(1,SIN(RADIANS(U545-S545)/2)^2+COS(RADIANS(S545))*COS(RADIANS(U545))*SIN(RADIANS(V545-T545)/2)^2)))</f>
        <v>26.1411263390403</v>
      </c>
      <c r="F545" t="s" s="48">
        <v>70</v>
      </c>
      <c r="G545" t="s" s="48">
        <v>69</v>
      </c>
      <c r="H545" t="s" s="48">
        <v>69</v>
      </c>
      <c r="I545" t="s" s="48">
        <v>69</v>
      </c>
      <c r="J545" t="s" s="48">
        <v>69</v>
      </c>
      <c r="K545" s="72"/>
      <c r="L545" s="72"/>
      <c r="M545" s="50"/>
      <c r="N545" s="49"/>
      <c r="O545" s="50"/>
      <c r="P545" s="50"/>
      <c r="Q545" s="32">
        <v>541</v>
      </c>
      <c r="R545" s="64"/>
      <c r="S545" s="54">
        <f>INDEX('Locations'!$D$6:$D$455,MATCH(B545,'Locations'!$A$6:$A$455,0))</f>
        <v>42.7355148711947</v>
      </c>
      <c r="T545" s="54">
        <f>INDEX('Locations'!$E$6:$E$455,MATCH(B545,'Locations'!$A$6:$A$455,0))</f>
        <v>-73.6635201932624</v>
      </c>
      <c r="U545" s="54">
        <f>INDEX('Locations'!$D$6:$D$455,MATCH(C545,'Locations'!$A$6:$A$455,0))</f>
        <v>42.7354378538153</v>
      </c>
      <c r="V545" s="75">
        <f>INDEX('Locations'!$E$6:$E$455,MATCH(C545,'Locations'!$A$6:$A$455,0))</f>
        <v>-73.6632177822827</v>
      </c>
      <c r="W545" s="44"/>
    </row>
    <row r="546" ht="23.1" customHeight="1">
      <c r="A546" t="s" s="21">
        <v>1156</v>
      </c>
      <c r="B546" t="s" s="45">
        <v>560</v>
      </c>
      <c r="C546" t="s" s="45">
        <v>558</v>
      </c>
      <c r="D546" t="s" s="45">
        <v>614</v>
      </c>
      <c r="E546" s="71">
        <f>2*6371000*ASIN(SQRT(MIN(1,SIN(RADIANS(U546-S546)/2)^2+COS(RADIANS(S546))*COS(RADIANS(U546))*SIN(RADIANS(V546-T546)/2)^2)))</f>
        <v>37.5949515201773</v>
      </c>
      <c r="F546" t="s" s="48">
        <v>70</v>
      </c>
      <c r="G546" t="s" s="48">
        <v>69</v>
      </c>
      <c r="H546" t="s" s="48">
        <v>69</v>
      </c>
      <c r="I546" t="s" s="48">
        <v>69</v>
      </c>
      <c r="J546" t="s" s="48">
        <v>69</v>
      </c>
      <c r="K546" s="72"/>
      <c r="L546" s="72"/>
      <c r="M546" s="50"/>
      <c r="N546" s="49"/>
      <c r="O546" s="50"/>
      <c r="P546" s="50"/>
      <c r="Q546" s="30">
        <v>542</v>
      </c>
      <c r="R546" s="61"/>
      <c r="S546" s="46">
        <f>INDEX('Locations'!$D$6:$D$455,MATCH(B546,'Locations'!$A$6:$A$455,0))</f>
        <v>42.7355298148653</v>
      </c>
      <c r="T546" s="46">
        <f>INDEX('Locations'!$E$6:$E$455,MATCH(B546,'Locations'!$A$6:$A$455,0))</f>
        <v>-73.6638305624258</v>
      </c>
      <c r="U546" s="46">
        <f>INDEX('Locations'!$D$6:$D$455,MATCH(C546,'Locations'!$A$6:$A$455,0))</f>
        <v>42.7355872905216</v>
      </c>
      <c r="V546" s="73">
        <f>INDEX('Locations'!$E$6:$E$455,MATCH(C546,'Locations'!$A$6:$A$455,0))</f>
        <v>-73.6642841788954</v>
      </c>
      <c r="W546" s="44"/>
    </row>
    <row r="547" ht="23.1" customHeight="1">
      <c r="A547" t="s" s="24">
        <v>1157</v>
      </c>
      <c r="B547" t="s" s="53">
        <v>135</v>
      </c>
      <c r="C547" t="s" s="53">
        <v>568</v>
      </c>
      <c r="D547" t="s" s="53">
        <v>614</v>
      </c>
      <c r="E547" s="74">
        <f>2*6371000*ASIN(SQRT(MIN(1,SIN(RADIANS(U547-S547)/2)^2+COS(RADIANS(S547))*COS(RADIANS(U547))*SIN(RADIANS(V547-T547)/2)^2)))</f>
        <v>66.1545696145959</v>
      </c>
      <c r="F547" t="s" s="48">
        <v>70</v>
      </c>
      <c r="G547" t="s" s="48">
        <v>69</v>
      </c>
      <c r="H547" t="s" s="48">
        <v>69</v>
      </c>
      <c r="I547" t="s" s="48">
        <v>69</v>
      </c>
      <c r="J547" t="s" s="48">
        <v>69</v>
      </c>
      <c r="K547" s="72"/>
      <c r="L547" s="72"/>
      <c r="M547" s="50"/>
      <c r="N547" s="49"/>
      <c r="O547" s="50"/>
      <c r="P547" s="50"/>
      <c r="Q547" s="32">
        <v>543</v>
      </c>
      <c r="R547" s="64"/>
      <c r="S547" s="54">
        <f>INDEX('Locations'!$D$6:$D$455,MATCH(B547,'Locations'!$A$6:$A$455,0))</f>
        <v>42.7331555238384</v>
      </c>
      <c r="T547" s="54">
        <f>INDEX('Locations'!$E$6:$E$455,MATCH(B547,'Locations'!$A$6:$A$455,0))</f>
        <v>-73.6689110910544</v>
      </c>
      <c r="U547" s="54">
        <f>INDEX('Locations'!$D$6:$D$455,MATCH(C547,'Locations'!$A$6:$A$455,0))</f>
        <v>42.7327433950496</v>
      </c>
      <c r="V547" s="75">
        <f>INDEX('Locations'!$E$6:$E$455,MATCH(C547,'Locations'!$A$6:$A$455,0))</f>
        <v>-73.6683269362029</v>
      </c>
      <c r="W547" s="44"/>
    </row>
    <row r="548" ht="23.1" customHeight="1">
      <c r="A548" t="s" s="21">
        <v>1158</v>
      </c>
      <c r="B548" t="s" s="45">
        <v>524</v>
      </c>
      <c r="C548" t="s" s="45">
        <v>568</v>
      </c>
      <c r="D548" t="s" s="45">
        <v>614</v>
      </c>
      <c r="E548" s="71">
        <f>2*6371000*ASIN(SQRT(MIN(1,SIN(RADIANS(U548-S548)/2)^2+COS(RADIANS(S548))*COS(RADIANS(U548))*SIN(RADIANS(V548-T548)/2)^2)))</f>
        <v>38.4690776476749</v>
      </c>
      <c r="F548" t="s" s="48">
        <v>70</v>
      </c>
      <c r="G548" t="s" s="48">
        <v>69</v>
      </c>
      <c r="H548" t="s" s="48">
        <v>69</v>
      </c>
      <c r="I548" t="s" s="48">
        <v>69</v>
      </c>
      <c r="J548" t="s" s="48">
        <v>69</v>
      </c>
      <c r="K548" s="72"/>
      <c r="L548" s="72"/>
      <c r="M548" s="50"/>
      <c r="N548" s="49"/>
      <c r="O548" s="50"/>
      <c r="P548" s="50"/>
      <c r="Q548" s="30">
        <v>544</v>
      </c>
      <c r="R548" s="61"/>
      <c r="S548" s="46">
        <f>INDEX('Locations'!$D$6:$D$455,MATCH(B548,'Locations'!$A$6:$A$455,0))</f>
        <v>42.732426129427</v>
      </c>
      <c r="T548" s="46">
        <f>INDEX('Locations'!$E$6:$E$455,MATCH(B548,'Locations'!$A$6:$A$455,0))</f>
        <v>-73.6685147493377</v>
      </c>
      <c r="U548" s="46">
        <f>INDEX('Locations'!$D$6:$D$455,MATCH(C548,'Locations'!$A$6:$A$455,0))</f>
        <v>42.7327433950496</v>
      </c>
      <c r="V548" s="73">
        <f>INDEX('Locations'!$E$6:$E$455,MATCH(C548,'Locations'!$A$6:$A$455,0))</f>
        <v>-73.6683269362029</v>
      </c>
      <c r="W548" s="44"/>
    </row>
    <row r="549" ht="23.1" customHeight="1">
      <c r="A549" t="s" s="24">
        <v>1159</v>
      </c>
      <c r="B549" t="s" s="53">
        <v>569</v>
      </c>
      <c r="C549" t="s" s="53">
        <v>551</v>
      </c>
      <c r="D549" t="s" s="53">
        <v>614</v>
      </c>
      <c r="E549" s="74">
        <f>2*6371000*ASIN(SQRT(MIN(1,SIN(RADIANS(U549-S549)/2)^2+COS(RADIANS(S549))*COS(RADIANS(U549))*SIN(RADIANS(V549-T549)/2)^2)))</f>
        <v>38.3759795316897</v>
      </c>
      <c r="F549" t="s" s="48">
        <v>70</v>
      </c>
      <c r="G549" t="s" s="48">
        <v>69</v>
      </c>
      <c r="H549" t="s" s="48">
        <v>69</v>
      </c>
      <c r="I549" t="s" s="48">
        <v>69</v>
      </c>
      <c r="J549" t="s" s="48">
        <v>69</v>
      </c>
      <c r="K549" s="72"/>
      <c r="L549" s="72"/>
      <c r="M549" s="50"/>
      <c r="N549" s="49"/>
      <c r="O549" s="50"/>
      <c r="P549" s="50"/>
      <c r="Q549" s="32">
        <v>545</v>
      </c>
      <c r="R549" s="64"/>
      <c r="S549" s="54">
        <f>INDEX('Locations'!$D$6:$D$455,MATCH(B549,'Locations'!$A$6:$A$455,0))</f>
        <v>42.7339319916211</v>
      </c>
      <c r="T549" s="54">
        <f>INDEX('Locations'!$E$6:$E$455,MATCH(B549,'Locations'!$A$6:$A$455,0))</f>
        <v>-73.6657325683245</v>
      </c>
      <c r="U549" s="54">
        <f>INDEX('Locations'!$D$6:$D$455,MATCH(C549,'Locations'!$A$6:$A$455,0))</f>
        <v>42.7335997823279</v>
      </c>
      <c r="V549" s="75">
        <f>INDEX('Locations'!$E$6:$E$455,MATCH(C549,'Locations'!$A$6:$A$455,0))</f>
        <v>-73.6658598992633</v>
      </c>
      <c r="W549" s="44"/>
    </row>
    <row r="550" ht="23.1" customHeight="1">
      <c r="A550" t="s" s="21">
        <v>1160</v>
      </c>
      <c r="B550" t="s" s="45">
        <v>570</v>
      </c>
      <c r="C550" t="s" s="45">
        <v>569</v>
      </c>
      <c r="D550" t="s" s="45">
        <v>614</v>
      </c>
      <c r="E550" s="71">
        <f>2*6371000*ASIN(SQRT(MIN(1,SIN(RADIANS(U550-S550)/2)^2+COS(RADIANS(S550))*COS(RADIANS(U550))*SIN(RADIANS(V550-T550)/2)^2)))</f>
        <v>36.6366592285119</v>
      </c>
      <c r="F550" t="s" s="48">
        <v>70</v>
      </c>
      <c r="G550" t="s" s="48">
        <v>69</v>
      </c>
      <c r="H550" t="s" s="48">
        <v>69</v>
      </c>
      <c r="I550" t="s" s="48">
        <v>69</v>
      </c>
      <c r="J550" t="s" s="48">
        <v>69</v>
      </c>
      <c r="K550" s="72"/>
      <c r="L550" s="72"/>
      <c r="M550" s="50"/>
      <c r="N550" s="49"/>
      <c r="O550" s="50"/>
      <c r="P550" s="50"/>
      <c r="Q550" s="30">
        <v>546</v>
      </c>
      <c r="R550" s="61"/>
      <c r="S550" s="46">
        <f>INDEX('Locations'!$D$6:$D$455,MATCH(B550,'Locations'!$A$6:$A$455,0))</f>
        <v>42.7339986633824</v>
      </c>
      <c r="T550" s="46">
        <f>INDEX('Locations'!$E$6:$E$455,MATCH(B550,'Locations'!$A$6:$A$455,0))</f>
        <v>-73.6661718600634</v>
      </c>
      <c r="U550" s="46">
        <f>INDEX('Locations'!$D$6:$D$455,MATCH(C550,'Locations'!$A$6:$A$455,0))</f>
        <v>42.7339319916211</v>
      </c>
      <c r="V550" s="73">
        <f>INDEX('Locations'!$E$6:$E$455,MATCH(C550,'Locations'!$A$6:$A$455,0))</f>
        <v>-73.6657325683245</v>
      </c>
      <c r="W550" s="44"/>
    </row>
    <row r="551" ht="23.1" customHeight="1">
      <c r="A551" t="s" s="24">
        <v>1161</v>
      </c>
      <c r="B551" t="s" s="53">
        <v>571</v>
      </c>
      <c r="C551" t="s" s="53">
        <v>570</v>
      </c>
      <c r="D551" t="s" s="53">
        <v>614</v>
      </c>
      <c r="E551" s="74">
        <f>2*6371000*ASIN(SQRT(MIN(1,SIN(RADIANS(U551-S551)/2)^2+COS(RADIANS(S551))*COS(RADIANS(U551))*SIN(RADIANS(V551-T551)/2)^2)))</f>
        <v>100.248282043953</v>
      </c>
      <c r="F551" t="s" s="48">
        <v>70</v>
      </c>
      <c r="G551" t="s" s="48">
        <v>69</v>
      </c>
      <c r="H551" t="s" s="48">
        <v>69</v>
      </c>
      <c r="I551" t="s" s="48">
        <v>69</v>
      </c>
      <c r="J551" t="s" s="48">
        <v>69</v>
      </c>
      <c r="K551" s="72"/>
      <c r="L551" s="72"/>
      <c r="M551" s="50"/>
      <c r="N551" s="49"/>
      <c r="O551" s="50"/>
      <c r="P551" s="50"/>
      <c r="Q551" s="32">
        <v>547</v>
      </c>
      <c r="R551" s="64"/>
      <c r="S551" s="54">
        <f>INDEX('Locations'!$D$6:$D$455,MATCH(B551,'Locations'!$A$6:$A$455,0))</f>
        <v>42.7348860875151</v>
      </c>
      <c r="T551" s="54">
        <f>INDEX('Locations'!$E$6:$E$455,MATCH(B551,'Locations'!$A$6:$A$455,0))</f>
        <v>-73.6659553974674</v>
      </c>
      <c r="U551" s="54">
        <f>INDEX('Locations'!$D$6:$D$455,MATCH(C551,'Locations'!$A$6:$A$455,0))</f>
        <v>42.7339986633824</v>
      </c>
      <c r="V551" s="75">
        <f>INDEX('Locations'!$E$6:$E$455,MATCH(C551,'Locations'!$A$6:$A$455,0))</f>
        <v>-73.6661718600634</v>
      </c>
      <c r="W551" s="44"/>
    </row>
    <row r="552" ht="23.1" customHeight="1">
      <c r="A552" t="s" s="21">
        <v>1162</v>
      </c>
      <c r="B552" t="s" s="45">
        <v>574</v>
      </c>
      <c r="C552" t="s" s="45">
        <v>571</v>
      </c>
      <c r="D552" t="s" s="45">
        <v>614</v>
      </c>
      <c r="E552" s="71">
        <f>2*6371000*ASIN(SQRT(MIN(1,SIN(RADIANS(U552-S552)/2)^2+COS(RADIANS(S552))*COS(RADIANS(U552))*SIN(RADIANS(V552-T552)/2)^2)))</f>
        <v>104.175598487620</v>
      </c>
      <c r="F552" t="s" s="48">
        <v>70</v>
      </c>
      <c r="G552" t="s" s="48">
        <v>69</v>
      </c>
      <c r="H552" t="s" s="48">
        <v>69</v>
      </c>
      <c r="I552" t="s" s="48">
        <v>69</v>
      </c>
      <c r="J552" t="s" s="48">
        <v>69</v>
      </c>
      <c r="K552" s="72"/>
      <c r="L552" s="72"/>
      <c r="M552" s="50"/>
      <c r="N552" s="49"/>
      <c r="O552" s="50"/>
      <c r="P552" s="50"/>
      <c r="Q552" s="30">
        <v>548</v>
      </c>
      <c r="R552" s="61"/>
      <c r="S552" s="46">
        <f>INDEX('Locations'!$D$6:$D$455,MATCH(B552,'Locations'!$A$6:$A$455,0))</f>
        <v>42.7350746076677</v>
      </c>
      <c r="T552" s="46">
        <f>INDEX('Locations'!$E$6:$E$455,MATCH(B552,'Locations'!$A$6:$A$455,0))</f>
        <v>-73.66720483230461</v>
      </c>
      <c r="U552" s="46">
        <f>INDEX('Locations'!$D$6:$D$455,MATCH(C552,'Locations'!$A$6:$A$455,0))</f>
        <v>42.7348860875151</v>
      </c>
      <c r="V552" s="73">
        <f>INDEX('Locations'!$E$6:$E$455,MATCH(C552,'Locations'!$A$6:$A$455,0))</f>
        <v>-73.6659553974674</v>
      </c>
      <c r="W552" s="44"/>
    </row>
    <row r="553" ht="23.1" customHeight="1">
      <c r="A553" t="s" s="24">
        <v>1163</v>
      </c>
      <c r="B553" t="s" s="53">
        <v>572</v>
      </c>
      <c r="C553" t="s" s="53">
        <v>571</v>
      </c>
      <c r="D553" t="s" s="53">
        <v>614</v>
      </c>
      <c r="E553" s="74">
        <f>2*6371000*ASIN(SQRT(MIN(1,SIN(RADIANS(U553-S553)/2)^2+COS(RADIANS(S553))*COS(RADIANS(U553))*SIN(RADIANS(V553-T553)/2)^2)))</f>
        <v>102.471701071049</v>
      </c>
      <c r="F553" t="s" s="48">
        <v>70</v>
      </c>
      <c r="G553" t="s" s="48">
        <v>69</v>
      </c>
      <c r="H553" t="s" s="48">
        <v>69</v>
      </c>
      <c r="I553" t="s" s="48">
        <v>69</v>
      </c>
      <c r="J553" t="s" s="48">
        <v>69</v>
      </c>
      <c r="K553" s="72"/>
      <c r="L553" s="72"/>
      <c r="M553" s="50"/>
      <c r="N553" s="49"/>
      <c r="O553" s="50"/>
      <c r="P553" s="50"/>
      <c r="Q553" s="32">
        <v>549</v>
      </c>
      <c r="R553" s="64"/>
      <c r="S553" s="54">
        <f>INDEX('Locations'!$D$6:$D$455,MATCH(B553,'Locations'!$A$6:$A$455,0))</f>
        <v>42.7357884553185</v>
      </c>
      <c r="T553" s="54">
        <f>INDEX('Locations'!$E$6:$E$455,MATCH(B553,'Locations'!$A$6:$A$455,0))</f>
        <v>-73.66570073558979</v>
      </c>
      <c r="U553" s="54">
        <f>INDEX('Locations'!$D$6:$D$455,MATCH(C553,'Locations'!$A$6:$A$455,0))</f>
        <v>42.7348860875151</v>
      </c>
      <c r="V553" s="75">
        <f>INDEX('Locations'!$E$6:$E$455,MATCH(C553,'Locations'!$A$6:$A$455,0))</f>
        <v>-73.6659553974674</v>
      </c>
      <c r="W553" s="44"/>
    </row>
    <row r="554" ht="23.1" customHeight="1">
      <c r="A554" t="s" s="21">
        <v>1164</v>
      </c>
      <c r="B554" t="s" s="45">
        <v>573</v>
      </c>
      <c r="C554" t="s" s="45">
        <v>574</v>
      </c>
      <c r="D554" t="s" s="45">
        <v>614</v>
      </c>
      <c r="E554" s="71">
        <f>2*6371000*ASIN(SQRT(MIN(1,SIN(RADIANS(U554-S554)/2)^2+COS(RADIANS(S554))*COS(RADIANS(U554))*SIN(RADIANS(V554-T554)/2)^2)))</f>
        <v>100.606556387303</v>
      </c>
      <c r="F554" t="s" s="48">
        <v>70</v>
      </c>
      <c r="G554" t="s" s="48">
        <v>69</v>
      </c>
      <c r="H554" t="s" s="48">
        <v>69</v>
      </c>
      <c r="I554" t="s" s="48">
        <v>69</v>
      </c>
      <c r="J554" t="s" s="48">
        <v>69</v>
      </c>
      <c r="K554" s="72"/>
      <c r="L554" s="72"/>
      <c r="M554" s="50"/>
      <c r="N554" s="49"/>
      <c r="O554" s="50"/>
      <c r="P554" s="50"/>
      <c r="Q554" s="30">
        <v>550</v>
      </c>
      <c r="R554" s="61"/>
      <c r="S554" s="46">
        <f>INDEX('Locations'!$D$6:$D$455,MATCH(B554,'Locations'!$A$6:$A$455,0))</f>
        <v>42.735958583261</v>
      </c>
      <c r="T554" s="46">
        <f>INDEX('Locations'!$E$6:$E$455,MATCH(B554,'Locations'!$A$6:$A$455,0))</f>
        <v>-73.6669422122433</v>
      </c>
      <c r="U554" s="46">
        <f>INDEX('Locations'!$D$6:$D$455,MATCH(C554,'Locations'!$A$6:$A$455,0))</f>
        <v>42.7350746076677</v>
      </c>
      <c r="V554" s="73">
        <f>INDEX('Locations'!$E$6:$E$455,MATCH(C554,'Locations'!$A$6:$A$455,0))</f>
        <v>-73.66720483230461</v>
      </c>
      <c r="W554" s="44"/>
    </row>
    <row r="555" ht="23.1" customHeight="1">
      <c r="A555" t="s" s="24">
        <v>1165</v>
      </c>
      <c r="B555" t="s" s="53">
        <v>573</v>
      </c>
      <c r="C555" t="s" s="53">
        <v>572</v>
      </c>
      <c r="D555" t="s" s="53">
        <v>614</v>
      </c>
      <c r="E555" s="74">
        <f>2*6371000*ASIN(SQRT(MIN(1,SIN(RADIANS(U555-S555)/2)^2+COS(RADIANS(S555))*COS(RADIANS(U555))*SIN(RADIANS(V555-T555)/2)^2)))</f>
        <v>103.142964895925</v>
      </c>
      <c r="F555" t="s" s="48">
        <v>70</v>
      </c>
      <c r="G555" t="s" s="48">
        <v>69</v>
      </c>
      <c r="H555" t="s" s="48">
        <v>69</v>
      </c>
      <c r="I555" t="s" s="48">
        <v>69</v>
      </c>
      <c r="J555" t="s" s="48">
        <v>69</v>
      </c>
      <c r="K555" s="72"/>
      <c r="L555" s="72"/>
      <c r="M555" s="50"/>
      <c r="N555" s="49"/>
      <c r="O555" s="50"/>
      <c r="P555" s="50"/>
      <c r="Q555" s="32">
        <v>551</v>
      </c>
      <c r="R555" s="64"/>
      <c r="S555" s="54">
        <f>INDEX('Locations'!$D$6:$D$455,MATCH(B555,'Locations'!$A$6:$A$455,0))</f>
        <v>42.735958583261</v>
      </c>
      <c r="T555" s="54">
        <f>INDEX('Locations'!$E$6:$E$455,MATCH(B555,'Locations'!$A$6:$A$455,0))</f>
        <v>-73.6669422122433</v>
      </c>
      <c r="U555" s="54">
        <f>INDEX('Locations'!$D$6:$D$455,MATCH(C555,'Locations'!$A$6:$A$455,0))</f>
        <v>42.7357884553185</v>
      </c>
      <c r="V555" s="75">
        <f>INDEX('Locations'!$E$6:$E$455,MATCH(C555,'Locations'!$A$6:$A$455,0))</f>
        <v>-73.66570073558979</v>
      </c>
      <c r="W555" s="44"/>
    </row>
    <row r="556" ht="23.1" customHeight="1">
      <c r="A556" t="s" s="21">
        <v>1166</v>
      </c>
      <c r="B556" t="s" s="45">
        <v>571</v>
      </c>
      <c r="C556" t="s" s="45">
        <v>575</v>
      </c>
      <c r="D556" t="s" s="45">
        <v>614</v>
      </c>
      <c r="E556" s="71">
        <f>2*6371000*ASIN(SQRT(MIN(1,SIN(RADIANS(U556-S556)/2)^2+COS(RADIANS(S556))*COS(RADIANS(U556))*SIN(RADIANS(V556-T556)/2)^2)))</f>
        <v>39.2349416838477</v>
      </c>
      <c r="F556" t="s" s="48">
        <v>70</v>
      </c>
      <c r="G556" t="s" s="48">
        <v>69</v>
      </c>
      <c r="H556" t="s" s="48">
        <v>69</v>
      </c>
      <c r="I556" t="s" s="48">
        <v>69</v>
      </c>
      <c r="J556" t="s" s="48">
        <v>69</v>
      </c>
      <c r="K556" s="72"/>
      <c r="L556" s="72"/>
      <c r="M556" s="50"/>
      <c r="N556" s="49"/>
      <c r="O556" s="50"/>
      <c r="P556" s="50"/>
      <c r="Q556" s="30">
        <v>552</v>
      </c>
      <c r="R556" s="61"/>
      <c r="S556" s="46">
        <f>INDEX('Locations'!$D$6:$D$455,MATCH(B556,'Locations'!$A$6:$A$455,0))</f>
        <v>42.7348860875151</v>
      </c>
      <c r="T556" s="46">
        <f>INDEX('Locations'!$E$6:$E$455,MATCH(B556,'Locations'!$A$6:$A$455,0))</f>
        <v>-73.6659553974674</v>
      </c>
      <c r="U556" s="46">
        <f>INDEX('Locations'!$D$6:$D$455,MATCH(C556,'Locations'!$A$6:$A$455,0))</f>
        <v>42.7348171167276</v>
      </c>
      <c r="V556" s="73">
        <f>INDEX('Locations'!$E$6:$E$455,MATCH(C556,'Locations'!$A$6:$A$455,0))</f>
        <v>-73.66548427299379</v>
      </c>
      <c r="W556" s="44"/>
    </row>
    <row r="557" ht="23.1" customHeight="1">
      <c r="A557" t="s" s="24">
        <v>1167</v>
      </c>
      <c r="B557" t="s" s="53">
        <v>173</v>
      </c>
      <c r="C557" t="s" s="53">
        <v>575</v>
      </c>
      <c r="D557" t="s" s="53">
        <v>614</v>
      </c>
      <c r="E557" s="74">
        <f>2*6371000*ASIN(SQRT(MIN(1,SIN(RADIANS(U557-S557)/2)^2+COS(RADIANS(S557))*COS(RADIANS(U557))*SIN(RADIANS(V557-T557)/2)^2)))</f>
        <v>19.0869587074328</v>
      </c>
      <c r="F557" t="s" s="48">
        <v>70</v>
      </c>
      <c r="G557" t="s" s="48">
        <v>69</v>
      </c>
      <c r="H557" t="s" s="48">
        <v>69</v>
      </c>
      <c r="I557" t="s" s="48">
        <v>69</v>
      </c>
      <c r="J557" t="s" s="48">
        <v>69</v>
      </c>
      <c r="K557" s="72"/>
      <c r="L557" s="72"/>
      <c r="M557" s="50"/>
      <c r="N557" s="49"/>
      <c r="O557" s="50"/>
      <c r="P557" s="50"/>
      <c r="Q557" s="32">
        <v>553</v>
      </c>
      <c r="R557" s="64"/>
      <c r="S557" s="54">
        <f>INDEX('Locations'!$D$6:$D$455,MATCH(B557,'Locations'!$A$6:$A$455,0))</f>
        <v>42.7349771351961</v>
      </c>
      <c r="T557" s="54">
        <f>INDEX('Locations'!$E$6:$E$455,MATCH(B557,'Locations'!$A$6:$A$455,0))</f>
        <v>-73.6653996986484</v>
      </c>
      <c r="U557" s="54">
        <f>INDEX('Locations'!$D$6:$D$455,MATCH(C557,'Locations'!$A$6:$A$455,0))</f>
        <v>42.7348171167276</v>
      </c>
      <c r="V557" s="75">
        <f>INDEX('Locations'!$E$6:$E$455,MATCH(C557,'Locations'!$A$6:$A$455,0))</f>
        <v>-73.66548427299379</v>
      </c>
      <c r="W557" s="44"/>
    </row>
    <row r="558" ht="23.1" customHeight="1">
      <c r="A558" t="s" s="21">
        <v>1168</v>
      </c>
      <c r="B558" t="s" s="45">
        <v>578</v>
      </c>
      <c r="C558" t="s" s="45">
        <v>577</v>
      </c>
      <c r="D558" t="s" s="45">
        <v>614</v>
      </c>
      <c r="E558" s="71">
        <f>2*6371000*ASIN(SQRT(MIN(1,SIN(RADIANS(U558-S558)/2)^2+COS(RADIANS(S558))*COS(RADIANS(U558))*SIN(RADIANS(V558-T558)/2)^2)))</f>
        <v>116.320873952780</v>
      </c>
      <c r="F558" t="s" s="48">
        <v>70</v>
      </c>
      <c r="G558" t="s" s="48">
        <v>69</v>
      </c>
      <c r="H558" t="s" s="48">
        <v>69</v>
      </c>
      <c r="I558" t="s" s="48">
        <v>69</v>
      </c>
      <c r="J558" t="s" s="48">
        <v>69</v>
      </c>
      <c r="K558" s="72"/>
      <c r="L558" s="72"/>
      <c r="M558" s="50"/>
      <c r="N558" s="49"/>
      <c r="O558" s="50"/>
      <c r="P558" s="50"/>
      <c r="Q558" s="30">
        <v>554</v>
      </c>
      <c r="R558" s="61"/>
      <c r="S558" s="46">
        <f>INDEX('Locations'!$D$6:$D$455,MATCH(B558,'Locations'!$A$6:$A$455,0))</f>
        <v>42.7356620088747</v>
      </c>
      <c r="T558" s="46">
        <f>INDEX('Locations'!$E$6:$E$455,MATCH(B558,'Locations'!$A$6:$A$455,0))</f>
        <v>-73.66493674995679</v>
      </c>
      <c r="U558" s="46">
        <f>INDEX('Locations'!$D$6:$D$455,MATCH(C558,'Locations'!$A$6:$A$455,0))</f>
        <v>42.7346159519307</v>
      </c>
      <c r="V558" s="73">
        <f>INDEX('Locations'!$E$6:$E$455,MATCH(C558,'Locations'!$A$6:$A$455,0))</f>
        <v>-73.66494948305071</v>
      </c>
      <c r="W558" s="44"/>
    </row>
    <row r="559" ht="23.1" customHeight="1">
      <c r="A559" t="s" s="24">
        <v>1169</v>
      </c>
      <c r="B559" t="s" s="53">
        <v>576</v>
      </c>
      <c r="C559" t="s" s="53">
        <v>577</v>
      </c>
      <c r="D559" t="s" s="53">
        <v>614</v>
      </c>
      <c r="E559" s="74">
        <f>2*6371000*ASIN(SQRT(MIN(1,SIN(RADIANS(U559-S559)/2)^2+COS(RADIANS(S559))*COS(RADIANS(U559))*SIN(RADIANS(V559-T559)/2)^2)))</f>
        <v>85.3906817333047</v>
      </c>
      <c r="F559" t="s" s="48">
        <v>70</v>
      </c>
      <c r="G559" t="s" s="48">
        <v>69</v>
      </c>
      <c r="H559" t="s" s="48">
        <v>69</v>
      </c>
      <c r="I559" t="s" s="48">
        <v>69</v>
      </c>
      <c r="J559" t="s" s="48">
        <v>69</v>
      </c>
      <c r="K559" s="72"/>
      <c r="L559" s="72"/>
      <c r="M559" s="50"/>
      <c r="N559" s="49"/>
      <c r="O559" s="50"/>
      <c r="P559" s="50"/>
      <c r="Q559" s="32">
        <v>555</v>
      </c>
      <c r="R559" s="64"/>
      <c r="S559" s="54">
        <f>INDEX('Locations'!$D$6:$D$455,MATCH(B559,'Locations'!$A$6:$A$455,0))</f>
        <v>42.7338975062274</v>
      </c>
      <c r="T559" s="54">
        <f>INDEX('Locations'!$E$6:$E$455,MATCH(B559,'Locations'!$A$6:$A$455,0))</f>
        <v>-73.66531874277329</v>
      </c>
      <c r="U559" s="54">
        <f>INDEX('Locations'!$D$6:$D$455,MATCH(C559,'Locations'!$A$6:$A$455,0))</f>
        <v>42.7346159519307</v>
      </c>
      <c r="V559" s="75">
        <f>INDEX('Locations'!$E$6:$E$455,MATCH(C559,'Locations'!$A$6:$A$455,0))</f>
        <v>-73.66494948305071</v>
      </c>
      <c r="W559" s="44"/>
    </row>
    <row r="560" ht="23.1" customHeight="1">
      <c r="A560" t="s" s="21">
        <v>1170</v>
      </c>
      <c r="B560" t="s" s="45">
        <v>569</v>
      </c>
      <c r="C560" t="s" s="45">
        <v>576</v>
      </c>
      <c r="D560" t="s" s="45">
        <v>614</v>
      </c>
      <c r="E560" s="71">
        <f>2*6371000*ASIN(SQRT(MIN(1,SIN(RADIANS(U560-S560)/2)^2+COS(RADIANS(S560))*COS(RADIANS(U560))*SIN(RADIANS(V560-T560)/2)^2)))</f>
        <v>34.0156687286988</v>
      </c>
      <c r="F560" t="s" s="48">
        <v>70</v>
      </c>
      <c r="G560" t="s" s="48">
        <v>69</v>
      </c>
      <c r="H560" t="s" s="48">
        <v>69</v>
      </c>
      <c r="I560" t="s" s="48">
        <v>69</v>
      </c>
      <c r="J560" t="s" s="48">
        <v>69</v>
      </c>
      <c r="K560" s="72"/>
      <c r="L560" s="72"/>
      <c r="M560" s="50"/>
      <c r="N560" s="49"/>
      <c r="O560" s="50"/>
      <c r="P560" s="50"/>
      <c r="Q560" s="30">
        <v>556</v>
      </c>
      <c r="R560" s="61"/>
      <c r="S560" s="46">
        <f>INDEX('Locations'!$D$6:$D$455,MATCH(B560,'Locations'!$A$6:$A$455,0))</f>
        <v>42.7339319916211</v>
      </c>
      <c r="T560" s="46">
        <f>INDEX('Locations'!$E$6:$E$455,MATCH(B560,'Locations'!$A$6:$A$455,0))</f>
        <v>-73.6657325683245</v>
      </c>
      <c r="U560" s="46">
        <f>INDEX('Locations'!$D$6:$D$455,MATCH(C560,'Locations'!$A$6:$A$455,0))</f>
        <v>42.7338975062274</v>
      </c>
      <c r="V560" s="73">
        <f>INDEX('Locations'!$E$6:$E$455,MATCH(C560,'Locations'!$A$6:$A$455,0))</f>
        <v>-73.66531874277329</v>
      </c>
      <c r="W560" s="44"/>
    </row>
    <row r="561" ht="23.1" customHeight="1">
      <c r="A561" t="s" s="24">
        <v>1171</v>
      </c>
      <c r="B561" t="s" s="53">
        <v>572</v>
      </c>
      <c r="C561" t="s" s="53">
        <v>578</v>
      </c>
      <c r="D561" t="s" s="53">
        <v>614</v>
      </c>
      <c r="E561" s="74">
        <f>2*6371000*ASIN(SQRT(MIN(1,SIN(RADIANS(U561-S561)/2)^2+COS(RADIANS(S561))*COS(RADIANS(U561))*SIN(RADIANS(V561-T561)/2)^2)))</f>
        <v>63.9605708291334</v>
      </c>
      <c r="F561" t="s" s="48">
        <v>70</v>
      </c>
      <c r="G561" t="s" s="48">
        <v>69</v>
      </c>
      <c r="H561" t="s" s="48">
        <v>69</v>
      </c>
      <c r="I561" t="s" s="48">
        <v>69</v>
      </c>
      <c r="J561" t="s" s="48">
        <v>69</v>
      </c>
      <c r="K561" s="72"/>
      <c r="L561" s="72"/>
      <c r="M561" s="50"/>
      <c r="N561" s="49"/>
      <c r="O561" s="50"/>
      <c r="P561" s="50"/>
      <c r="Q561" s="32">
        <v>557</v>
      </c>
      <c r="R561" s="64"/>
      <c r="S561" s="54">
        <f>INDEX('Locations'!$D$6:$D$455,MATCH(B561,'Locations'!$A$6:$A$455,0))</f>
        <v>42.7357884553185</v>
      </c>
      <c r="T561" s="54">
        <f>INDEX('Locations'!$E$6:$E$455,MATCH(B561,'Locations'!$A$6:$A$455,0))</f>
        <v>-73.66570073558979</v>
      </c>
      <c r="U561" s="54">
        <f>INDEX('Locations'!$D$6:$D$455,MATCH(C561,'Locations'!$A$6:$A$455,0))</f>
        <v>42.7356620088747</v>
      </c>
      <c r="V561" s="75">
        <f>INDEX('Locations'!$E$6:$E$455,MATCH(C561,'Locations'!$A$6:$A$455,0))</f>
        <v>-73.66493674995679</v>
      </c>
      <c r="W561" s="44"/>
    </row>
    <row r="562" ht="23.1" customHeight="1">
      <c r="A562" t="s" s="21">
        <v>1172</v>
      </c>
      <c r="B562" t="s" s="45">
        <v>558</v>
      </c>
      <c r="C562" t="s" s="45">
        <v>578</v>
      </c>
      <c r="D562" t="s" s="45">
        <v>614</v>
      </c>
      <c r="E562" s="71">
        <f>2*6371000*ASIN(SQRT(MIN(1,SIN(RADIANS(U562-S562)/2)^2+COS(RADIANS(S562))*COS(RADIANS(U562))*SIN(RADIANS(V562-T562)/2)^2)))</f>
        <v>53.9403945732263</v>
      </c>
      <c r="F562" t="s" s="48">
        <v>70</v>
      </c>
      <c r="G562" t="s" s="48">
        <v>69</v>
      </c>
      <c r="H562" t="s" s="48">
        <v>69</v>
      </c>
      <c r="I562" t="s" s="48">
        <v>69</v>
      </c>
      <c r="J562" t="s" s="48">
        <v>69</v>
      </c>
      <c r="K562" s="72"/>
      <c r="L562" s="72"/>
      <c r="M562" s="50"/>
      <c r="N562" s="49"/>
      <c r="O562" s="50"/>
      <c r="P562" s="50"/>
      <c r="Q562" s="30">
        <v>558</v>
      </c>
      <c r="R562" s="61"/>
      <c r="S562" s="46">
        <f>INDEX('Locations'!$D$6:$D$455,MATCH(B562,'Locations'!$A$6:$A$455,0))</f>
        <v>42.7355872905216</v>
      </c>
      <c r="T562" s="46">
        <f>INDEX('Locations'!$E$6:$E$455,MATCH(B562,'Locations'!$A$6:$A$455,0))</f>
        <v>-73.6642841788954</v>
      </c>
      <c r="U562" s="46">
        <f>INDEX('Locations'!$D$6:$D$455,MATCH(C562,'Locations'!$A$6:$A$455,0))</f>
        <v>42.7356620088747</v>
      </c>
      <c r="V562" s="73">
        <f>INDEX('Locations'!$E$6:$E$455,MATCH(C562,'Locations'!$A$6:$A$455,0))</f>
        <v>-73.66493674995679</v>
      </c>
      <c r="W562" s="44"/>
    </row>
    <row r="563" ht="23.1" customHeight="1">
      <c r="A563" t="s" s="24">
        <v>1173</v>
      </c>
      <c r="B563" t="s" s="53">
        <v>556</v>
      </c>
      <c r="C563" t="s" s="53">
        <v>576</v>
      </c>
      <c r="D563" t="s" s="53">
        <v>614</v>
      </c>
      <c r="E563" s="74">
        <f>2*6371000*ASIN(SQRT(MIN(1,SIN(RADIANS(U563-S563)/2)^2+COS(RADIANS(S563))*COS(RADIANS(U563))*SIN(RADIANS(V563-T563)/2)^2)))</f>
        <v>112.858173974565</v>
      </c>
      <c r="F563" t="s" s="48">
        <v>70</v>
      </c>
      <c r="G563" t="s" s="48">
        <v>69</v>
      </c>
      <c r="H563" t="s" s="48">
        <v>69</v>
      </c>
      <c r="I563" t="s" s="48">
        <v>69</v>
      </c>
      <c r="J563" t="s" s="48">
        <v>69</v>
      </c>
      <c r="K563" s="72"/>
      <c r="L563" s="72"/>
      <c r="M563" s="50"/>
      <c r="N563" s="49"/>
      <c r="O563" s="50"/>
      <c r="P563" s="50"/>
      <c r="Q563" s="32">
        <v>559</v>
      </c>
      <c r="R563" s="64"/>
      <c r="S563" s="54">
        <f>INDEX('Locations'!$D$6:$D$455,MATCH(B563,'Locations'!$A$6:$A$455,0))</f>
        <v>42.7346527363507</v>
      </c>
      <c r="T563" s="54">
        <f>INDEX('Locations'!$E$6:$E$455,MATCH(B563,'Locations'!$A$6:$A$455,0))</f>
        <v>-73.66439559346681</v>
      </c>
      <c r="U563" s="54">
        <f>INDEX('Locations'!$D$6:$D$455,MATCH(C563,'Locations'!$A$6:$A$455,0))</f>
        <v>42.7338975062274</v>
      </c>
      <c r="V563" s="75">
        <f>INDEX('Locations'!$E$6:$E$455,MATCH(C563,'Locations'!$A$6:$A$455,0))</f>
        <v>-73.66531874277329</v>
      </c>
      <c r="W563" s="44"/>
    </row>
    <row r="564" ht="23.1" customHeight="1">
      <c r="A564" t="s" s="21">
        <v>1174</v>
      </c>
      <c r="B564" t="s" s="45">
        <v>574</v>
      </c>
      <c r="C564" t="s" s="45">
        <v>538</v>
      </c>
      <c r="D564" t="s" s="45">
        <v>614</v>
      </c>
      <c r="E564" s="71">
        <f>2*6371000*ASIN(SQRT(MIN(1,SIN(RADIANS(U564-S564)/2)^2+COS(RADIANS(S564))*COS(RADIANS(U564))*SIN(RADIANS(V564-T564)/2)^2)))</f>
        <v>143.432077401453</v>
      </c>
      <c r="F564" t="s" s="48">
        <v>70</v>
      </c>
      <c r="G564" t="s" s="48">
        <v>69</v>
      </c>
      <c r="H564" t="s" s="48">
        <v>69</v>
      </c>
      <c r="I564" t="s" s="48">
        <v>69</v>
      </c>
      <c r="J564" t="s" s="48">
        <v>69</v>
      </c>
      <c r="K564" s="72"/>
      <c r="L564" s="72"/>
      <c r="M564" s="50"/>
      <c r="N564" s="49"/>
      <c r="O564" s="50"/>
      <c r="P564" s="50"/>
      <c r="Q564" s="30">
        <v>560</v>
      </c>
      <c r="R564" s="61"/>
      <c r="S564" s="46">
        <f>INDEX('Locations'!$D$6:$D$455,MATCH(B564,'Locations'!$A$6:$A$455,0))</f>
        <v>42.7350746076677</v>
      </c>
      <c r="T564" s="46">
        <f>INDEX('Locations'!$E$6:$E$455,MATCH(B564,'Locations'!$A$6:$A$455,0))</f>
        <v>-73.66720483230461</v>
      </c>
      <c r="U564" s="46">
        <f>INDEX('Locations'!$D$6:$D$455,MATCH(C564,'Locations'!$A$6:$A$455,0))</f>
        <v>42.7338342830055</v>
      </c>
      <c r="V564" s="73">
        <f>INDEX('Locations'!$E$6:$E$455,MATCH(C564,'Locations'!$A$6:$A$455,0))</f>
        <v>-73.6676870982354</v>
      </c>
      <c r="W564" s="44"/>
    </row>
    <row r="565" ht="23.1" customHeight="1">
      <c r="A565" t="s" s="24">
        <v>1175</v>
      </c>
      <c r="B565" t="s" s="53">
        <v>580</v>
      </c>
      <c r="C565" t="s" s="53">
        <v>579</v>
      </c>
      <c r="D565" t="s" s="53">
        <v>614</v>
      </c>
      <c r="E565" s="74">
        <f>2*6371000*ASIN(SQRT(MIN(1,SIN(RADIANS(U565-S565)/2)^2+COS(RADIANS(S565))*COS(RADIANS(U565))*SIN(RADIANS(V565-T565)/2)^2)))</f>
        <v>60.1740371458203</v>
      </c>
      <c r="F565" t="s" s="48">
        <v>70</v>
      </c>
      <c r="G565" t="s" s="48">
        <v>69</v>
      </c>
      <c r="H565" t="s" s="48">
        <v>69</v>
      </c>
      <c r="I565" t="s" s="48">
        <v>69</v>
      </c>
      <c r="J565" t="s" s="48">
        <v>69</v>
      </c>
      <c r="K565" s="72"/>
      <c r="L565" s="72"/>
      <c r="M565" s="50"/>
      <c r="N565" s="49"/>
      <c r="O565" s="50"/>
      <c r="P565" s="50"/>
      <c r="Q565" s="32">
        <v>561</v>
      </c>
      <c r="R565" s="64"/>
      <c r="S565" s="54">
        <f>INDEX('Locations'!$D$6:$D$455,MATCH(B565,'Locations'!$A$6:$A$455,0))</f>
        <v>42.7366678328594</v>
      </c>
      <c r="T565" s="54">
        <f>INDEX('Locations'!$E$6:$E$455,MATCH(B565,'Locations'!$A$6:$A$455,0))</f>
        <v>-73.6633928623236</v>
      </c>
      <c r="U565" s="54">
        <f>INDEX('Locations'!$D$6:$D$455,MATCH(C565,'Locations'!$A$6:$A$455,0))</f>
        <v>42.736224120793</v>
      </c>
      <c r="V565" s="75">
        <f>INDEX('Locations'!$E$6:$E$455,MATCH(C565,'Locations'!$A$6:$A$455,0))</f>
        <v>-73.6638146460585</v>
      </c>
      <c r="W565" s="44"/>
    </row>
    <row r="566" ht="23.1" customHeight="1">
      <c r="A566" t="s" s="21">
        <v>1176</v>
      </c>
      <c r="B566" t="s" s="45">
        <v>578</v>
      </c>
      <c r="C566" t="s" s="45">
        <v>579</v>
      </c>
      <c r="D566" t="s" s="45">
        <v>614</v>
      </c>
      <c r="E566" s="71">
        <f>2*6371000*ASIN(SQRT(MIN(1,SIN(RADIANS(U566-S566)/2)^2+COS(RADIANS(S566))*COS(RADIANS(U566))*SIN(RADIANS(V566-T566)/2)^2)))</f>
        <v>110.929462018931</v>
      </c>
      <c r="F566" t="s" s="48">
        <v>70</v>
      </c>
      <c r="G566" t="s" s="48">
        <v>69</v>
      </c>
      <c r="H566" t="s" s="48">
        <v>69</v>
      </c>
      <c r="I566" t="s" s="48">
        <v>69</v>
      </c>
      <c r="J566" t="s" s="48">
        <v>69</v>
      </c>
      <c r="K566" s="72"/>
      <c r="L566" s="72"/>
      <c r="M566" s="50"/>
      <c r="N566" s="49"/>
      <c r="O566" s="50"/>
      <c r="P566" s="50"/>
      <c r="Q566" s="30">
        <v>562</v>
      </c>
      <c r="R566" s="61"/>
      <c r="S566" s="46">
        <f>INDEX('Locations'!$D$6:$D$455,MATCH(B566,'Locations'!$A$6:$A$455,0))</f>
        <v>42.7356620088747</v>
      </c>
      <c r="T566" s="46">
        <f>INDEX('Locations'!$E$6:$E$455,MATCH(B566,'Locations'!$A$6:$A$455,0))</f>
        <v>-73.66493674995679</v>
      </c>
      <c r="U566" s="46">
        <f>INDEX('Locations'!$D$6:$D$455,MATCH(C566,'Locations'!$A$6:$A$455,0))</f>
        <v>42.736224120793</v>
      </c>
      <c r="V566" s="73">
        <f>INDEX('Locations'!$E$6:$E$455,MATCH(C566,'Locations'!$A$6:$A$455,0))</f>
        <v>-73.6638146460585</v>
      </c>
      <c r="W566" s="44"/>
    </row>
    <row r="567" ht="23.1" customHeight="1">
      <c r="A567" t="s" s="24">
        <v>1177</v>
      </c>
      <c r="B567" t="s" s="53">
        <v>582</v>
      </c>
      <c r="C567" t="s" s="53">
        <v>583</v>
      </c>
      <c r="D567" t="s" s="53">
        <v>614</v>
      </c>
      <c r="E567" s="74">
        <f>2*6371000*ASIN(SQRT(MIN(1,SIN(RADIANS(U567-S567)/2)^2+COS(RADIANS(S567))*COS(RADIANS(U567))*SIN(RADIANS(V567-T567)/2)^2)))</f>
        <v>161.291943997356</v>
      </c>
      <c r="F567" t="s" s="48">
        <v>70</v>
      </c>
      <c r="G567" t="s" s="48">
        <v>69</v>
      </c>
      <c r="H567" t="s" s="48">
        <v>69</v>
      </c>
      <c r="I567" t="s" s="48">
        <v>69</v>
      </c>
      <c r="J567" t="s" s="48">
        <v>69</v>
      </c>
      <c r="K567" s="72"/>
      <c r="L567" s="72"/>
      <c r="M567" s="50"/>
      <c r="N567" s="49"/>
      <c r="O567" s="50"/>
      <c r="P567" s="50"/>
      <c r="Q567" s="32">
        <v>563</v>
      </c>
      <c r="R567" s="64"/>
      <c r="S567" s="54">
        <f>INDEX('Locations'!$D$6:$D$455,MATCH(B567,'Locations'!$A$6:$A$455,0))</f>
        <v>42.7382311707098</v>
      </c>
      <c r="T567" s="54">
        <f>INDEX('Locations'!$E$6:$E$455,MATCH(B567,'Locations'!$A$6:$A$455,0))</f>
        <v>-73.67002998750969</v>
      </c>
      <c r="U567" s="54">
        <f>INDEX('Locations'!$D$6:$D$455,MATCH(C567,'Locations'!$A$6:$A$455,0))</f>
        <v>42.7368057744344</v>
      </c>
      <c r="V567" s="75">
        <f>INDEX('Locations'!$E$6:$E$455,MATCH(C567,'Locations'!$A$6:$A$455,0))</f>
        <v>-73.6703960639588</v>
      </c>
      <c r="W567" s="44"/>
    </row>
    <row r="568" ht="23.1" customHeight="1">
      <c r="A568" t="s" s="21">
        <v>1178</v>
      </c>
      <c r="B568" t="s" s="45">
        <v>573</v>
      </c>
      <c r="C568" t="s" s="45">
        <v>584</v>
      </c>
      <c r="D568" t="s" s="45">
        <v>614</v>
      </c>
      <c r="E568" s="71">
        <f>2*6371000*ASIN(SQRT(MIN(1,SIN(RADIANS(U568-S568)/2)^2+COS(RADIANS(S568))*COS(RADIANS(U568))*SIN(RADIANS(V568-T568)/2)^2)))</f>
        <v>298.963423824579</v>
      </c>
      <c r="F568" t="s" s="48">
        <v>70</v>
      </c>
      <c r="G568" t="s" s="48">
        <v>69</v>
      </c>
      <c r="H568" t="s" s="48">
        <v>69</v>
      </c>
      <c r="I568" t="s" s="48">
        <v>69</v>
      </c>
      <c r="J568" t="s" s="48">
        <v>69</v>
      </c>
      <c r="K568" s="72"/>
      <c r="L568" s="72"/>
      <c r="M568" s="50"/>
      <c r="N568" s="49"/>
      <c r="O568" s="50"/>
      <c r="P568" s="50"/>
      <c r="Q568" s="30">
        <v>564</v>
      </c>
      <c r="R568" s="61"/>
      <c r="S568" s="46">
        <f>INDEX('Locations'!$D$6:$D$455,MATCH(B568,'Locations'!$A$6:$A$455,0))</f>
        <v>42.735958583261</v>
      </c>
      <c r="T568" s="46">
        <f>INDEX('Locations'!$E$6:$E$455,MATCH(B568,'Locations'!$A$6:$A$455,0))</f>
        <v>-73.6669422122433</v>
      </c>
      <c r="U568" s="46">
        <f>INDEX('Locations'!$D$6:$D$455,MATCH(C568,'Locations'!$A$6:$A$455,0))</f>
        <v>42.7364183885112</v>
      </c>
      <c r="V568" s="73">
        <f>INDEX('Locations'!$E$6:$E$455,MATCH(C568,'Locations'!$A$6:$A$455,0))</f>
        <v>-73.67054886108539</v>
      </c>
      <c r="W568" s="44"/>
    </row>
    <row r="569" ht="23.1" customHeight="1">
      <c r="A569" t="s" s="24">
        <v>1179</v>
      </c>
      <c r="B569" t="s" s="53">
        <v>583</v>
      </c>
      <c r="C569" t="s" s="53">
        <v>584</v>
      </c>
      <c r="D569" t="s" s="53">
        <v>614</v>
      </c>
      <c r="E569" s="74">
        <f>2*6371000*ASIN(SQRT(MIN(1,SIN(RADIANS(U569-S569)/2)^2+COS(RADIANS(S569))*COS(RADIANS(U569))*SIN(RADIANS(V569-T569)/2)^2)))</f>
        <v>44.8465369533692</v>
      </c>
      <c r="F569" t="s" s="48">
        <v>70</v>
      </c>
      <c r="G569" t="s" s="48">
        <v>69</v>
      </c>
      <c r="H569" t="s" s="48">
        <v>69</v>
      </c>
      <c r="I569" t="s" s="48">
        <v>69</v>
      </c>
      <c r="J569" t="s" s="48">
        <v>69</v>
      </c>
      <c r="K569" s="72"/>
      <c r="L569" s="72"/>
      <c r="M569" s="50"/>
      <c r="N569" s="49"/>
      <c r="O569" s="50"/>
      <c r="P569" s="50"/>
      <c r="Q569" s="32">
        <v>565</v>
      </c>
      <c r="R569" s="64"/>
      <c r="S569" s="54">
        <f>INDEX('Locations'!$D$6:$D$455,MATCH(B569,'Locations'!$A$6:$A$455,0))</f>
        <v>42.7368057744344</v>
      </c>
      <c r="T569" s="54">
        <f>INDEX('Locations'!$E$6:$E$455,MATCH(B569,'Locations'!$A$6:$A$455,0))</f>
        <v>-73.6703960639588</v>
      </c>
      <c r="U569" s="54">
        <f>INDEX('Locations'!$D$6:$D$455,MATCH(C569,'Locations'!$A$6:$A$455,0))</f>
        <v>42.7364183885112</v>
      </c>
      <c r="V569" s="75">
        <f>INDEX('Locations'!$E$6:$E$455,MATCH(C569,'Locations'!$A$6:$A$455,0))</f>
        <v>-73.67054886108539</v>
      </c>
      <c r="W569" s="44"/>
    </row>
    <row r="570" ht="23.1" customHeight="1">
      <c r="A570" t="s" s="21">
        <v>1180</v>
      </c>
      <c r="B570" t="s" s="45">
        <v>582</v>
      </c>
      <c r="C570" t="s" s="45">
        <v>581</v>
      </c>
      <c r="D570" t="s" s="45">
        <v>614</v>
      </c>
      <c r="E570" s="71">
        <f>2*6371000*ASIN(SQRT(MIN(1,SIN(RADIANS(U570-S570)/2)^2+COS(RADIANS(S570))*COS(RADIANS(U570))*SIN(RADIANS(V570-T570)/2)^2)))</f>
        <v>296.951655285016</v>
      </c>
      <c r="F570" t="s" s="48">
        <v>70</v>
      </c>
      <c r="G570" t="s" s="48">
        <v>69</v>
      </c>
      <c r="H570" t="s" s="48">
        <v>69</v>
      </c>
      <c r="I570" t="s" s="48">
        <v>69</v>
      </c>
      <c r="J570" t="s" s="48">
        <v>69</v>
      </c>
      <c r="K570" s="72"/>
      <c r="L570" s="72"/>
      <c r="M570" s="50"/>
      <c r="N570" s="49"/>
      <c r="O570" s="50"/>
      <c r="P570" s="50"/>
      <c r="Q570" s="30">
        <v>566</v>
      </c>
      <c r="R570" s="61"/>
      <c r="S570" s="46">
        <f>INDEX('Locations'!$D$6:$D$455,MATCH(B570,'Locations'!$A$6:$A$455,0))</f>
        <v>42.7382311707098</v>
      </c>
      <c r="T570" s="46">
        <f>INDEX('Locations'!$E$6:$E$455,MATCH(B570,'Locations'!$A$6:$A$455,0))</f>
        <v>-73.67002998750969</v>
      </c>
      <c r="U570" s="46">
        <f>INDEX('Locations'!$D$6:$D$455,MATCH(C570,'Locations'!$A$6:$A$455,0))</f>
        <v>42.7377368800659</v>
      </c>
      <c r="V570" s="73">
        <f>INDEX('Locations'!$E$6:$E$455,MATCH(C570,'Locations'!$A$6:$A$455,0))</f>
        <v>-73.66645676303899</v>
      </c>
      <c r="W570" s="44"/>
    </row>
    <row r="571" ht="23.1" customHeight="1">
      <c r="A571" t="s" s="24">
        <v>1181</v>
      </c>
      <c r="B571" t="s" s="53">
        <v>573</v>
      </c>
      <c r="C571" t="s" s="53">
        <v>581</v>
      </c>
      <c r="D571" t="s" s="53">
        <v>614</v>
      </c>
      <c r="E571" s="74">
        <f>2*6371000*ASIN(SQRT(MIN(1,SIN(RADIANS(U571-S571)/2)^2+COS(RADIANS(S571))*COS(RADIANS(U571))*SIN(RADIANS(V571-T571)/2)^2)))</f>
        <v>201.673046044797</v>
      </c>
      <c r="F571" t="s" s="48">
        <v>70</v>
      </c>
      <c r="G571" t="s" s="48">
        <v>69</v>
      </c>
      <c r="H571" t="s" s="48">
        <v>69</v>
      </c>
      <c r="I571" t="s" s="48">
        <v>69</v>
      </c>
      <c r="J571" t="s" s="48">
        <v>69</v>
      </c>
      <c r="K571" s="72"/>
      <c r="L571" s="72"/>
      <c r="M571" s="50"/>
      <c r="N571" s="49"/>
      <c r="O571" s="50"/>
      <c r="P571" s="50"/>
      <c r="Q571" s="32">
        <v>567</v>
      </c>
      <c r="R571" s="64"/>
      <c r="S571" s="54">
        <f>INDEX('Locations'!$D$6:$D$455,MATCH(B571,'Locations'!$A$6:$A$455,0))</f>
        <v>42.735958583261</v>
      </c>
      <c r="T571" s="54">
        <f>INDEX('Locations'!$E$6:$E$455,MATCH(B571,'Locations'!$A$6:$A$455,0))</f>
        <v>-73.6669422122433</v>
      </c>
      <c r="U571" s="54">
        <f>INDEX('Locations'!$D$6:$D$455,MATCH(C571,'Locations'!$A$6:$A$455,0))</f>
        <v>42.7377368800659</v>
      </c>
      <c r="V571" s="75">
        <f>INDEX('Locations'!$E$6:$E$455,MATCH(C571,'Locations'!$A$6:$A$455,0))</f>
        <v>-73.66645676303899</v>
      </c>
      <c r="W571" s="44"/>
    </row>
    <row r="572" ht="23.1" customHeight="1">
      <c r="A572" t="s" s="21">
        <v>1182</v>
      </c>
      <c r="B572" t="s" s="45">
        <v>584</v>
      </c>
      <c r="C572" t="s" s="45">
        <v>585</v>
      </c>
      <c r="D572" t="s" s="45">
        <v>614</v>
      </c>
      <c r="E572" s="71">
        <f>2*6371000*ASIN(SQRT(MIN(1,SIN(RADIANS(U572-S572)/2)^2+COS(RADIANS(S572))*COS(RADIANS(U572))*SIN(RADIANS(V572-T572)/2)^2)))</f>
        <v>208.820648654325</v>
      </c>
      <c r="F572" t="s" s="48">
        <v>70</v>
      </c>
      <c r="G572" t="s" s="48">
        <v>69</v>
      </c>
      <c r="H572" t="s" s="48">
        <v>69</v>
      </c>
      <c r="I572" t="s" s="48">
        <v>69</v>
      </c>
      <c r="J572" t="s" s="48">
        <v>69</v>
      </c>
      <c r="K572" s="72"/>
      <c r="L572" s="72"/>
      <c r="M572" s="50"/>
      <c r="N572" s="49"/>
      <c r="O572" s="50"/>
      <c r="P572" s="50"/>
      <c r="Q572" s="30">
        <v>568</v>
      </c>
      <c r="R572" s="61"/>
      <c r="S572" s="46">
        <f>INDEX('Locations'!$D$6:$D$455,MATCH(B572,'Locations'!$A$6:$A$455,0))</f>
        <v>42.7364183885112</v>
      </c>
      <c r="T572" s="46">
        <f>INDEX('Locations'!$E$6:$E$455,MATCH(B572,'Locations'!$A$6:$A$455,0))</f>
        <v>-73.67054886108539</v>
      </c>
      <c r="U572" s="46">
        <f>INDEX('Locations'!$D$6:$D$455,MATCH(C572,'Locations'!$A$6:$A$455,0))</f>
        <v>42.7345757189713</v>
      </c>
      <c r="V572" s="73">
        <f>INDEX('Locations'!$E$6:$E$455,MATCH(C572,'Locations'!$A$6:$A$455,0))</f>
        <v>-73.6710422684733</v>
      </c>
      <c r="W572" s="44"/>
    </row>
    <row r="573" ht="23.1" customHeight="1">
      <c r="A573" t="s" s="24">
        <v>1183</v>
      </c>
      <c r="B573" t="s" s="53">
        <v>218</v>
      </c>
      <c r="C573" t="s" s="53">
        <v>585</v>
      </c>
      <c r="D573" t="s" s="53">
        <v>614</v>
      </c>
      <c r="E573" s="74">
        <f>2*6371000*ASIN(SQRT(MIN(1,SIN(RADIANS(U573-S573)/2)^2+COS(RADIANS(S573))*COS(RADIANS(U573))*SIN(RADIANS(V573-T573)/2)^2)))</f>
        <v>243.413092707112</v>
      </c>
      <c r="F573" t="s" s="48">
        <v>70</v>
      </c>
      <c r="G573" t="s" s="48">
        <v>69</v>
      </c>
      <c r="H573" t="s" s="48">
        <v>69</v>
      </c>
      <c r="I573" t="s" s="48">
        <v>69</v>
      </c>
      <c r="J573" t="s" s="48">
        <v>69</v>
      </c>
      <c r="K573" s="72"/>
      <c r="L573" s="72"/>
      <c r="M573" s="50"/>
      <c r="N573" s="49"/>
      <c r="O573" s="50"/>
      <c r="P573" s="50"/>
      <c r="Q573" s="32">
        <v>569</v>
      </c>
      <c r="R573" s="64"/>
      <c r="S573" s="54">
        <f>INDEX('Locations'!$D$6:$D$455,MATCH(B573,'Locations'!$A$6:$A$455,0))</f>
        <v>42.732426129427</v>
      </c>
      <c r="T573" s="54">
        <f>INDEX('Locations'!$E$6:$E$455,MATCH(B573,'Locations'!$A$6:$A$455,0))</f>
        <v>-73.6716057078776</v>
      </c>
      <c r="U573" s="54">
        <f>INDEX('Locations'!$D$6:$D$455,MATCH(C573,'Locations'!$A$6:$A$455,0))</f>
        <v>42.7345757189713</v>
      </c>
      <c r="V573" s="75">
        <f>INDEX('Locations'!$E$6:$E$455,MATCH(C573,'Locations'!$A$6:$A$455,0))</f>
        <v>-73.6710422684733</v>
      </c>
      <c r="W573" s="44"/>
    </row>
    <row r="574" ht="23.1" customHeight="1">
      <c r="A574" t="s" s="21">
        <v>1184</v>
      </c>
      <c r="B574" t="s" s="45">
        <v>588</v>
      </c>
      <c r="C574" t="s" s="45">
        <v>586</v>
      </c>
      <c r="D574" t="s" s="45">
        <v>614</v>
      </c>
      <c r="E574" s="71">
        <f>2*6371000*ASIN(SQRT(MIN(1,SIN(RADIANS(U574-S574)/2)^2+COS(RADIANS(S574))*COS(RADIANS(U574))*SIN(RADIANS(V574-T574)/2)^2)))</f>
        <v>250.183588711401</v>
      </c>
      <c r="F574" t="s" s="48">
        <v>70</v>
      </c>
      <c r="G574" t="s" s="48">
        <v>69</v>
      </c>
      <c r="H574" t="s" s="48">
        <v>69</v>
      </c>
      <c r="I574" t="s" s="48">
        <v>69</v>
      </c>
      <c r="J574" t="s" s="48">
        <v>69</v>
      </c>
      <c r="K574" s="72"/>
      <c r="L574" s="72"/>
      <c r="M574" s="50"/>
      <c r="N574" s="49"/>
      <c r="O574" s="50"/>
      <c r="P574" s="50"/>
      <c r="Q574" s="30">
        <v>570</v>
      </c>
      <c r="R574" s="61"/>
      <c r="S574" s="46">
        <f>INDEX('Locations'!$D$6:$D$455,MATCH(B574,'Locations'!$A$6:$A$455,0))</f>
        <v>42.7372195991595</v>
      </c>
      <c r="T574" s="46">
        <f>INDEX('Locations'!$E$6:$E$455,MATCH(B574,'Locations'!$A$6:$A$455,0))</f>
        <v>-73.6733978908415</v>
      </c>
      <c r="U574" s="46">
        <f>INDEX('Locations'!$D$6:$D$455,MATCH(C574,'Locations'!$A$6:$A$455,0))</f>
        <v>42.7350125339589</v>
      </c>
      <c r="V574" s="73">
        <f>INDEX('Locations'!$E$6:$E$455,MATCH(C574,'Locations'!$A$6:$A$455,0))</f>
        <v>-73.67399316298049</v>
      </c>
      <c r="W574" s="44"/>
    </row>
    <row r="575" ht="23.1" customHeight="1">
      <c r="A575" t="s" s="24">
        <v>1185</v>
      </c>
      <c r="B575" t="s" s="53">
        <v>587</v>
      </c>
      <c r="C575" t="s" s="53">
        <v>586</v>
      </c>
      <c r="D575" t="s" s="53">
        <v>614</v>
      </c>
      <c r="E575" s="74">
        <f>2*6371000*ASIN(SQRT(MIN(1,SIN(RADIANS(U575-S575)/2)^2+COS(RADIANS(S575))*COS(RADIANS(U575))*SIN(RADIANS(V575-T575)/2)^2)))</f>
        <v>89.3715440597047</v>
      </c>
      <c r="F575" t="s" s="48">
        <v>70</v>
      </c>
      <c r="G575" t="s" s="48">
        <v>69</v>
      </c>
      <c r="H575" t="s" s="48">
        <v>69</v>
      </c>
      <c r="I575" t="s" s="48">
        <v>69</v>
      </c>
      <c r="J575" t="s" s="48">
        <v>69</v>
      </c>
      <c r="K575" s="72"/>
      <c r="L575" s="72"/>
      <c r="M575" s="50"/>
      <c r="N575" s="49"/>
      <c r="O575" s="50"/>
      <c r="P575" s="50"/>
      <c r="Q575" s="32">
        <v>571</v>
      </c>
      <c r="R575" s="64"/>
      <c r="S575" s="54">
        <f>INDEX('Locations'!$D$6:$D$455,MATCH(B575,'Locations'!$A$6:$A$455,0))</f>
        <v>42.7342308650337</v>
      </c>
      <c r="T575" s="54">
        <f>INDEX('Locations'!$E$6:$E$455,MATCH(B575,'Locations'!$A$6:$A$455,0))</f>
        <v>-73.6742478248581</v>
      </c>
      <c r="U575" s="54">
        <f>INDEX('Locations'!$D$6:$D$455,MATCH(C575,'Locations'!$A$6:$A$455,0))</f>
        <v>42.7350125339589</v>
      </c>
      <c r="V575" s="75">
        <f>INDEX('Locations'!$E$6:$E$455,MATCH(C575,'Locations'!$A$6:$A$455,0))</f>
        <v>-73.67399316298049</v>
      </c>
      <c r="W575" s="44"/>
    </row>
    <row r="576" ht="23.1" customHeight="1">
      <c r="A576" t="s" s="21">
        <v>1186</v>
      </c>
      <c r="B576" t="s" s="45">
        <v>585</v>
      </c>
      <c r="C576" t="s" s="45">
        <v>586</v>
      </c>
      <c r="D576" t="s" s="45">
        <v>614</v>
      </c>
      <c r="E576" s="71">
        <f>2*6371000*ASIN(SQRT(MIN(1,SIN(RADIANS(U576-S576)/2)^2+COS(RADIANS(S576))*COS(RADIANS(U576))*SIN(RADIANS(V576-T576)/2)^2)))</f>
        <v>245.854033339817</v>
      </c>
      <c r="F576" t="s" s="48">
        <v>70</v>
      </c>
      <c r="G576" t="s" s="48">
        <v>69</v>
      </c>
      <c r="H576" t="s" s="48">
        <v>69</v>
      </c>
      <c r="I576" t="s" s="48">
        <v>69</v>
      </c>
      <c r="J576" t="s" s="48">
        <v>69</v>
      </c>
      <c r="K576" s="72"/>
      <c r="L576" s="72"/>
      <c r="M576" s="50"/>
      <c r="N576" s="49"/>
      <c r="O576" s="50"/>
      <c r="P576" s="50"/>
      <c r="Q576" s="30">
        <v>572</v>
      </c>
      <c r="R576" s="61"/>
      <c r="S576" s="46">
        <f>INDEX('Locations'!$D$6:$D$455,MATCH(B576,'Locations'!$A$6:$A$455,0))</f>
        <v>42.7345757189713</v>
      </c>
      <c r="T576" s="46">
        <f>INDEX('Locations'!$E$6:$E$455,MATCH(B576,'Locations'!$A$6:$A$455,0))</f>
        <v>-73.6710422684733</v>
      </c>
      <c r="U576" s="46">
        <f>INDEX('Locations'!$D$6:$D$455,MATCH(C576,'Locations'!$A$6:$A$455,0))</f>
        <v>42.7350125339589</v>
      </c>
      <c r="V576" s="73">
        <f>INDEX('Locations'!$E$6:$E$455,MATCH(C576,'Locations'!$A$6:$A$455,0))</f>
        <v>-73.67399316298049</v>
      </c>
      <c r="W576" s="44"/>
    </row>
    <row r="577" ht="23.1" customHeight="1">
      <c r="A577" t="s" s="24">
        <v>1187</v>
      </c>
      <c r="B577" t="s" s="53">
        <v>589</v>
      </c>
      <c r="C577" t="s" s="53">
        <v>586</v>
      </c>
      <c r="D577" t="s" s="53">
        <v>614</v>
      </c>
      <c r="E577" s="74">
        <f>2*6371000*ASIN(SQRT(MIN(1,SIN(RADIANS(U577-S577)/2)^2+COS(RADIANS(S577))*COS(RADIANS(U577))*SIN(RADIANS(V577-T577)/2)^2)))</f>
        <v>162.412173158301</v>
      </c>
      <c r="F577" t="s" s="48">
        <v>70</v>
      </c>
      <c r="G577" t="s" s="48">
        <v>69</v>
      </c>
      <c r="H577" t="s" s="48">
        <v>69</v>
      </c>
      <c r="I577" t="s" s="48">
        <v>69</v>
      </c>
      <c r="J577" t="s" s="48">
        <v>69</v>
      </c>
      <c r="K577" s="72"/>
      <c r="L577" s="72"/>
      <c r="M577" s="50"/>
      <c r="N577" s="49"/>
      <c r="O577" s="50"/>
      <c r="P577" s="50"/>
      <c r="Q577" s="32">
        <v>573</v>
      </c>
      <c r="R577" s="64"/>
      <c r="S577" s="54">
        <f>INDEX('Locations'!$D$6:$D$455,MATCH(B577,'Locations'!$A$6:$A$455,0))</f>
        <v>42.7352688753859</v>
      </c>
      <c r="T577" s="54">
        <f>INDEX('Locations'!$E$6:$E$455,MATCH(B577,'Locations'!$A$6:$A$455,0))</f>
        <v>-73.6759508761648</v>
      </c>
      <c r="U577" s="54">
        <f>INDEX('Locations'!$D$6:$D$455,MATCH(C577,'Locations'!$A$6:$A$455,0))</f>
        <v>42.7350125339589</v>
      </c>
      <c r="V577" s="75">
        <f>INDEX('Locations'!$E$6:$E$455,MATCH(C577,'Locations'!$A$6:$A$455,0))</f>
        <v>-73.67399316298049</v>
      </c>
      <c r="W577" s="44"/>
    </row>
    <row r="578" ht="23.1" customHeight="1">
      <c r="A578" t="s" s="21">
        <v>1188</v>
      </c>
      <c r="B578" t="s" s="45">
        <v>582</v>
      </c>
      <c r="C578" t="s" s="45">
        <v>590</v>
      </c>
      <c r="D578" t="s" s="45">
        <v>614</v>
      </c>
      <c r="E578" s="71">
        <f>2*6371000*ASIN(SQRT(MIN(1,SIN(RADIANS(U578-S578)/2)^2+COS(RADIANS(S578))*COS(RADIANS(U578))*SIN(RADIANS(V578-T578)/2)^2)))</f>
        <v>407.635522185144</v>
      </c>
      <c r="F578" t="s" s="48">
        <v>70</v>
      </c>
      <c r="G578" t="s" s="48">
        <v>69</v>
      </c>
      <c r="H578" t="s" s="48">
        <v>69</v>
      </c>
      <c r="I578" t="s" s="48">
        <v>69</v>
      </c>
      <c r="J578" t="s" s="48">
        <v>69</v>
      </c>
      <c r="K578" s="72"/>
      <c r="L578" s="72"/>
      <c r="M578" s="50"/>
      <c r="N578" s="49"/>
      <c r="O578" s="50"/>
      <c r="P578" s="50"/>
      <c r="Q578" s="30">
        <v>574</v>
      </c>
      <c r="R578" s="61"/>
      <c r="S578" s="46">
        <f>INDEX('Locations'!$D$6:$D$455,MATCH(B578,'Locations'!$A$6:$A$455,0))</f>
        <v>42.7382311707098</v>
      </c>
      <c r="T578" s="46">
        <f>INDEX('Locations'!$E$6:$E$455,MATCH(B578,'Locations'!$A$6:$A$455,0))</f>
        <v>-73.67002998750969</v>
      </c>
      <c r="U578" s="46">
        <f>INDEX('Locations'!$D$6:$D$455,MATCH(C578,'Locations'!$A$6:$A$455,0))</f>
        <v>42.738920878585</v>
      </c>
      <c r="V578" s="73">
        <f>INDEX('Locations'!$E$6:$E$455,MATCH(C578,'Locations'!$A$6:$A$455,0))</f>
        <v>-73.6749322286543</v>
      </c>
      <c r="W578" s="44"/>
    </row>
    <row r="579" ht="23.1" customHeight="1">
      <c r="A579" t="s" s="24">
        <v>1189</v>
      </c>
      <c r="B579" t="s" s="53">
        <v>589</v>
      </c>
      <c r="C579" t="s" s="53">
        <v>590</v>
      </c>
      <c r="D579" t="s" s="53">
        <v>614</v>
      </c>
      <c r="E579" s="74">
        <f>2*6371000*ASIN(SQRT(MIN(1,SIN(RADIANS(U579-S579)/2)^2+COS(RADIANS(S579))*COS(RADIANS(U579))*SIN(RADIANS(V579-T579)/2)^2)))</f>
        <v>414.518340847471</v>
      </c>
      <c r="F579" t="s" s="48">
        <v>70</v>
      </c>
      <c r="G579" t="s" s="48">
        <v>69</v>
      </c>
      <c r="H579" t="s" s="48">
        <v>69</v>
      </c>
      <c r="I579" t="s" s="48">
        <v>69</v>
      </c>
      <c r="J579" t="s" s="48">
        <v>69</v>
      </c>
      <c r="K579" s="72"/>
      <c r="L579" s="72"/>
      <c r="M579" s="50"/>
      <c r="N579" s="49"/>
      <c r="O579" s="50"/>
      <c r="P579" s="50"/>
      <c r="Q579" s="32">
        <v>575</v>
      </c>
      <c r="R579" s="64"/>
      <c r="S579" s="54">
        <f>INDEX('Locations'!$D$6:$D$455,MATCH(B579,'Locations'!$A$6:$A$455,0))</f>
        <v>42.7352688753859</v>
      </c>
      <c r="T579" s="54">
        <f>INDEX('Locations'!$E$6:$E$455,MATCH(B579,'Locations'!$A$6:$A$455,0))</f>
        <v>-73.6759508761648</v>
      </c>
      <c r="U579" s="54">
        <f>INDEX('Locations'!$D$6:$D$455,MATCH(C579,'Locations'!$A$6:$A$455,0))</f>
        <v>42.738920878585</v>
      </c>
      <c r="V579" s="75">
        <f>INDEX('Locations'!$E$6:$E$455,MATCH(C579,'Locations'!$A$6:$A$455,0))</f>
        <v>-73.6749322286543</v>
      </c>
      <c r="W579" s="44"/>
    </row>
    <row r="580" ht="23.1" customHeight="1">
      <c r="A580" t="s" s="21">
        <v>1190</v>
      </c>
      <c r="B580" t="s" s="45">
        <v>219</v>
      </c>
      <c r="C580" t="s" s="45">
        <v>589</v>
      </c>
      <c r="D580" t="s" s="45">
        <v>614</v>
      </c>
      <c r="E580" s="71">
        <f>2*6371000*ASIN(SQRT(MIN(1,SIN(RADIANS(U580-S580)/2)^2+COS(RADIANS(S580))*COS(RADIANS(U580))*SIN(RADIANS(V580-T580)/2)^2)))</f>
        <v>250.459670779407</v>
      </c>
      <c r="F580" t="s" s="48">
        <v>70</v>
      </c>
      <c r="G580" t="s" s="48">
        <v>69</v>
      </c>
      <c r="H580" t="s" s="48">
        <v>69</v>
      </c>
      <c r="I580" t="s" s="48">
        <v>69</v>
      </c>
      <c r="J580" t="s" s="48">
        <v>69</v>
      </c>
      <c r="K580" s="72"/>
      <c r="L580" s="72"/>
      <c r="M580" s="50"/>
      <c r="N580" s="49"/>
      <c r="O580" s="50"/>
      <c r="P580" s="50"/>
      <c r="Q580" s="30">
        <v>576</v>
      </c>
      <c r="R580" s="61"/>
      <c r="S580" s="46">
        <f>INDEX('Locations'!$D$6:$D$455,MATCH(B580,'Locations'!$A$6:$A$455,0))</f>
        <v>42.7330583616459</v>
      </c>
      <c r="T580" s="46">
        <f>INDEX('Locations'!$E$6:$E$455,MATCH(B580,'Locations'!$A$6:$A$455,0))</f>
        <v>-73.6765397817569</v>
      </c>
      <c r="U580" s="46">
        <f>INDEX('Locations'!$D$6:$D$455,MATCH(C580,'Locations'!$A$6:$A$455,0))</f>
        <v>42.7352688753859</v>
      </c>
      <c r="V580" s="73">
        <f>INDEX('Locations'!$E$6:$E$455,MATCH(C580,'Locations'!$A$6:$A$455,0))</f>
        <v>-73.6759508761648</v>
      </c>
      <c r="W580" s="44"/>
    </row>
    <row r="581" ht="23.1" customHeight="1">
      <c r="A581" t="s" s="24">
        <v>1191</v>
      </c>
      <c r="B581" t="s" s="53">
        <v>583</v>
      </c>
      <c r="C581" t="s" s="53">
        <v>591</v>
      </c>
      <c r="D581" t="s" s="53">
        <v>614</v>
      </c>
      <c r="E581" s="74">
        <f>2*6371000*ASIN(SQRT(MIN(1,SIN(RADIANS(U581-S581)/2)^2+COS(RADIANS(S581))*COS(RADIANS(U581))*SIN(RADIANS(V581-T581)/2)^2)))</f>
        <v>35.9502657905473</v>
      </c>
      <c r="F581" t="s" s="48">
        <v>70</v>
      </c>
      <c r="G581" t="s" s="48">
        <v>69</v>
      </c>
      <c r="H581" t="s" s="48">
        <v>69</v>
      </c>
      <c r="I581" t="s" s="48">
        <v>69</v>
      </c>
      <c r="J581" t="s" s="48">
        <v>69</v>
      </c>
      <c r="K581" s="72"/>
      <c r="L581" s="72"/>
      <c r="M581" s="50"/>
      <c r="N581" s="49"/>
      <c r="O581" s="50"/>
      <c r="P581" s="50"/>
      <c r="Q581" s="32">
        <v>577</v>
      </c>
      <c r="R581" s="64"/>
      <c r="S581" s="54">
        <f>INDEX('Locations'!$D$6:$D$455,MATCH(B581,'Locations'!$A$6:$A$455,0))</f>
        <v>42.7368057744344</v>
      </c>
      <c r="T581" s="54">
        <f>INDEX('Locations'!$E$6:$E$455,MATCH(B581,'Locations'!$A$6:$A$455,0))</f>
        <v>-73.6703960639588</v>
      </c>
      <c r="U581" s="54">
        <f>INDEX('Locations'!$D$6:$D$455,MATCH(C581,'Locations'!$A$6:$A$455,0))</f>
        <v>42.7367540463438</v>
      </c>
      <c r="V581" s="75">
        <f>INDEX('Locations'!$E$6:$E$455,MATCH(C581,'Locations'!$A$6:$A$455,0))</f>
        <v>-73.669961547130</v>
      </c>
      <c r="W581" s="44"/>
    </row>
    <row r="582" ht="23.1" customHeight="1">
      <c r="A582" t="s" s="21">
        <v>1192</v>
      </c>
      <c r="B582" t="s" s="45">
        <v>109</v>
      </c>
      <c r="C582" t="s" s="45">
        <v>591</v>
      </c>
      <c r="D582" t="s" s="45">
        <v>614</v>
      </c>
      <c r="E582" s="71">
        <f>2*6371000*ASIN(SQRT(MIN(1,SIN(RADIANS(U582-S582)/2)^2+COS(RADIANS(S582))*COS(RADIANS(U582))*SIN(RADIANS(V582-T582)/2)^2)))</f>
        <v>34.8369098473159</v>
      </c>
      <c r="F582" t="s" s="48">
        <v>70</v>
      </c>
      <c r="G582" t="s" s="48">
        <v>69</v>
      </c>
      <c r="H582" t="s" s="48">
        <v>69</v>
      </c>
      <c r="I582" t="s" s="48">
        <v>69</v>
      </c>
      <c r="J582" t="s" s="48">
        <v>69</v>
      </c>
      <c r="K582" s="72"/>
      <c r="L582" s="72"/>
      <c r="M582" s="50"/>
      <c r="N582" s="49"/>
      <c r="O582" s="50"/>
      <c r="P582" s="50"/>
      <c r="Q582" s="30">
        <v>578</v>
      </c>
      <c r="R582" s="61"/>
      <c r="S582" s="46">
        <f>INDEX('Locations'!$D$6:$D$455,MATCH(B582,'Locations'!$A$6:$A$455,0))</f>
        <v>42.7370631311934</v>
      </c>
      <c r="T582" s="46">
        <f>INDEX('Locations'!$E$6:$E$455,MATCH(B582,'Locations'!$A$6:$A$455,0))</f>
        <v>-73.6698918455666</v>
      </c>
      <c r="U582" s="46">
        <f>INDEX('Locations'!$D$6:$D$455,MATCH(C582,'Locations'!$A$6:$A$455,0))</f>
        <v>42.7367540463438</v>
      </c>
      <c r="V582" s="73">
        <f>INDEX('Locations'!$E$6:$E$455,MATCH(C582,'Locations'!$A$6:$A$455,0))</f>
        <v>-73.669961547130</v>
      </c>
      <c r="W582" s="44"/>
    </row>
    <row r="583" ht="23.1" customHeight="1">
      <c r="A583" t="s" s="24">
        <v>1193</v>
      </c>
      <c r="B583" t="s" s="53">
        <v>592</v>
      </c>
      <c r="C583" t="s" s="53">
        <v>291</v>
      </c>
      <c r="D583" t="s" s="53">
        <v>614</v>
      </c>
      <c r="E583" s="74">
        <f>2*6371000*ASIN(SQRT(MIN(1,SIN(RADIANS(U583-S583)/2)^2+COS(RADIANS(S583))*COS(RADIANS(U583))*SIN(RADIANS(V583-T583)/2)^2)))</f>
        <v>39.8900347158607</v>
      </c>
      <c r="F583" t="s" s="48">
        <v>70</v>
      </c>
      <c r="G583" t="s" s="48">
        <v>69</v>
      </c>
      <c r="H583" t="s" s="48">
        <v>69</v>
      </c>
      <c r="I583" t="s" s="48">
        <v>69</v>
      </c>
      <c r="J583" t="s" s="48">
        <v>69</v>
      </c>
      <c r="K583" s="72"/>
      <c r="L583" s="72"/>
      <c r="M583" s="50"/>
      <c r="N583" s="49"/>
      <c r="O583" s="50"/>
      <c r="P583" s="50"/>
      <c r="Q583" s="32">
        <v>579</v>
      </c>
      <c r="R583" s="64"/>
      <c r="S583" s="54">
        <f>INDEX('Locations'!$D$6:$D$455,MATCH(B583,'Locations'!$A$6:$A$455,0))</f>
        <v>42.7295615427187</v>
      </c>
      <c r="T583" s="54">
        <f>INDEX('Locations'!$E$6:$E$455,MATCH(B583,'Locations'!$A$6:$A$455,0))</f>
        <v>-73.6796275570233</v>
      </c>
      <c r="U583" s="54">
        <f>INDEX('Locations'!$D$6:$D$455,MATCH(C583,'Locations'!$A$6:$A$455,0))</f>
        <v>42.7299167422744</v>
      </c>
      <c r="V583" s="75">
        <f>INDEX('Locations'!$E$6:$E$455,MATCH(C583,'Locations'!$A$6:$A$455,0))</f>
        <v>-73.6796959974029</v>
      </c>
      <c r="W583" s="44"/>
    </row>
    <row r="584" ht="23.1" customHeight="1">
      <c r="A584" t="s" s="21">
        <v>1194</v>
      </c>
      <c r="B584" t="s" s="45">
        <v>290</v>
      </c>
      <c r="C584" t="s" s="45">
        <v>592</v>
      </c>
      <c r="D584" t="s" s="45">
        <v>669</v>
      </c>
      <c r="E584" s="71">
        <f>2*6371000*ASIN(SQRT(MIN(1,SIN(RADIANS(U584-S584)/2)^2+COS(RADIANS(S584))*COS(RADIANS(U584))*SIN(RADIANS(V584-T584)/2)^2)))</f>
        <v>9.56328697635651</v>
      </c>
      <c r="F584" t="s" s="48">
        <v>70</v>
      </c>
      <c r="G584" t="s" s="48">
        <v>69</v>
      </c>
      <c r="H584" t="s" s="48">
        <v>69</v>
      </c>
      <c r="I584" t="s" s="48">
        <v>69</v>
      </c>
      <c r="J584" t="s" s="48">
        <v>69</v>
      </c>
      <c r="K584" s="72"/>
      <c r="L584" s="72"/>
      <c r="M584" s="50"/>
      <c r="N584" s="49"/>
      <c r="O584" s="50"/>
      <c r="P584" s="50"/>
      <c r="Q584" s="30">
        <v>580</v>
      </c>
      <c r="R584" s="61"/>
      <c r="S584" s="46">
        <f>INDEX('Locations'!$D$6:$D$455,MATCH(B584,'Locations'!$A$6:$A$455,0))</f>
        <v>42.7296443076638</v>
      </c>
      <c r="T584" s="46">
        <f>INDEX('Locations'!$E$6:$E$455,MATCH(B584,'Locations'!$A$6:$A$455,0))</f>
        <v>-73.679659389758</v>
      </c>
      <c r="U584" s="46">
        <f>INDEX('Locations'!$D$6:$D$455,MATCH(C584,'Locations'!$A$6:$A$455,0))</f>
        <v>42.7295615427187</v>
      </c>
      <c r="V584" s="73">
        <f>INDEX('Locations'!$E$6:$E$455,MATCH(C584,'Locations'!$A$6:$A$455,0))</f>
        <v>-73.6796275570233</v>
      </c>
      <c r="W584" s="44"/>
    </row>
    <row r="585" ht="23.1" customHeight="1">
      <c r="A585" t="s" s="24">
        <v>1195</v>
      </c>
      <c r="B585" t="s" s="53">
        <v>329</v>
      </c>
      <c r="C585" t="s" s="53">
        <v>592</v>
      </c>
      <c r="D585" t="s" s="53">
        <v>614</v>
      </c>
      <c r="E585" s="74">
        <f>2*6371000*ASIN(SQRT(MIN(1,SIN(RADIANS(U585-S585)/2)^2+COS(RADIANS(S585))*COS(RADIANS(U585))*SIN(RADIANS(V585-T585)/2)^2)))</f>
        <v>46.0214238686541</v>
      </c>
      <c r="F585" t="s" s="48">
        <v>70</v>
      </c>
      <c r="G585" t="s" s="48">
        <v>69</v>
      </c>
      <c r="H585" t="s" s="48">
        <v>69</v>
      </c>
      <c r="I585" t="s" s="48">
        <v>69</v>
      </c>
      <c r="J585" t="s" s="48">
        <v>69</v>
      </c>
      <c r="K585" s="72"/>
      <c r="L585" s="72"/>
      <c r="M585" s="50"/>
      <c r="N585" s="49"/>
      <c r="O585" s="50"/>
      <c r="P585" s="50"/>
      <c r="Q585" s="32">
        <v>581</v>
      </c>
      <c r="R585" s="64"/>
      <c r="S585" s="54">
        <f>INDEX('Locations'!$D$6:$D$455,MATCH(B585,'Locations'!$A$6:$A$455,0))</f>
        <v>42.7291845024136</v>
      </c>
      <c r="T585" s="54">
        <f>INDEX('Locations'!$E$6:$E$455,MATCH(B585,'Locations'!$A$6:$A$455,0))</f>
        <v>-73.6798599359866</v>
      </c>
      <c r="U585" s="54">
        <f>INDEX('Locations'!$D$6:$D$455,MATCH(C585,'Locations'!$A$6:$A$455,0))</f>
        <v>42.7295615427187</v>
      </c>
      <c r="V585" s="75">
        <f>INDEX('Locations'!$E$6:$E$455,MATCH(C585,'Locations'!$A$6:$A$455,0))</f>
        <v>-73.6796275570233</v>
      </c>
      <c r="W585" s="44"/>
    </row>
    <row r="586" ht="23.1" customHeight="1">
      <c r="A586" t="s" s="21">
        <v>1196</v>
      </c>
      <c r="B586" t="s" s="45">
        <v>432</v>
      </c>
      <c r="C586" t="s" s="45">
        <v>361</v>
      </c>
      <c r="D586" t="s" s="45">
        <v>669</v>
      </c>
      <c r="E586" s="71">
        <f>2*6371000*ASIN(SQRT(MIN(1,SIN(RADIANS(U586-S586)/2)^2+COS(RADIANS(S586))*COS(RADIANS(U586))*SIN(RADIANS(V586-T586)/2)^2)))</f>
        <v>54.9762793904061</v>
      </c>
      <c r="F586" t="s" s="48">
        <v>70</v>
      </c>
      <c r="G586" t="s" s="48">
        <v>69</v>
      </c>
      <c r="H586" t="s" s="48">
        <v>69</v>
      </c>
      <c r="I586" t="s" s="48">
        <v>69</v>
      </c>
      <c r="J586" t="s" s="48">
        <v>69</v>
      </c>
      <c r="K586" s="72"/>
      <c r="L586" s="72"/>
      <c r="M586" s="50"/>
      <c r="N586" s="49"/>
      <c r="O586" s="50"/>
      <c r="P586" s="50"/>
      <c r="Q586" s="30">
        <v>582</v>
      </c>
      <c r="R586" s="61"/>
      <c r="S586" s="46">
        <f>INDEX('Locations'!$D$6:$D$455,MATCH(B586,'Locations'!$A$6:$A$455,0))</f>
        <v>42.7309616497053</v>
      </c>
      <c r="T586" s="46">
        <f>INDEX('Locations'!$E$6:$E$455,MATCH(B586,'Locations'!$A$6:$A$455,0))</f>
        <v>-73.68335835353071</v>
      </c>
      <c r="U586" s="46">
        <f>INDEX('Locations'!$D$6:$D$455,MATCH(C586,'Locations'!$A$6:$A$455,0))</f>
        <v>42.7305754132952</v>
      </c>
      <c r="V586" s="73">
        <f>INDEX('Locations'!$E$6:$E$455,MATCH(C586,'Locations'!$A$6:$A$455,0))</f>
        <v>-73.6829381614326</v>
      </c>
      <c r="W586" s="44"/>
    </row>
    <row r="587" ht="23.1" customHeight="1">
      <c r="A587" t="s" s="24">
        <v>1197</v>
      </c>
      <c r="B587" t="s" s="53">
        <v>314</v>
      </c>
      <c r="C587" t="s" s="53">
        <v>361</v>
      </c>
      <c r="D587" t="s" s="53">
        <v>614</v>
      </c>
      <c r="E587" s="74">
        <f>2*6371000*ASIN(SQRT(MIN(1,SIN(RADIANS(U587-S587)/2)^2+COS(RADIANS(S587))*COS(RADIANS(U587))*SIN(RADIANS(V587-T587)/2)^2)))</f>
        <v>25.865667599413</v>
      </c>
      <c r="F587" t="s" s="48">
        <v>70</v>
      </c>
      <c r="G587" t="s" s="48">
        <v>69</v>
      </c>
      <c r="H587" t="s" s="48">
        <v>69</v>
      </c>
      <c r="I587" t="s" s="48">
        <v>69</v>
      </c>
      <c r="J587" t="s" s="48">
        <v>69</v>
      </c>
      <c r="K587" s="72"/>
      <c r="L587" s="72"/>
      <c r="M587" s="50"/>
      <c r="N587" s="49"/>
      <c r="O587" s="50"/>
      <c r="P587" s="50"/>
      <c r="Q587" s="32">
        <v>583</v>
      </c>
      <c r="R587" s="64"/>
      <c r="S587" s="54">
        <f>INDEX('Locations'!$D$6:$D$455,MATCH(B587,'Locations'!$A$6:$A$455,0))</f>
        <v>42.7304489668515</v>
      </c>
      <c r="T587" s="54">
        <f>INDEX('Locations'!$E$6:$E$455,MATCH(B587,'Locations'!$A$6:$A$455,0))</f>
        <v>-73.6826723580979</v>
      </c>
      <c r="U587" s="54">
        <f>INDEX('Locations'!$D$6:$D$455,MATCH(C587,'Locations'!$A$6:$A$455,0))</f>
        <v>42.7305754132952</v>
      </c>
      <c r="V587" s="75">
        <f>INDEX('Locations'!$E$6:$E$455,MATCH(C587,'Locations'!$A$6:$A$455,0))</f>
        <v>-73.6829381614326</v>
      </c>
      <c r="W587" s="44"/>
    </row>
    <row r="588" ht="23.1" customHeight="1">
      <c r="A588" t="s" s="21">
        <v>1198</v>
      </c>
      <c r="B588" t="s" s="45">
        <v>167</v>
      </c>
      <c r="C588" t="s" s="45">
        <v>593</v>
      </c>
      <c r="D588" t="s" s="45">
        <v>614</v>
      </c>
      <c r="E588" s="71">
        <f>2*6371000*ASIN(SQRT(MIN(1,SIN(RADIANS(U588-S588)/2)^2+COS(RADIANS(S588))*COS(RADIANS(U588))*SIN(RADIANS(V588-T588)/2)^2)))</f>
        <v>39.7087586120822</v>
      </c>
      <c r="F588" t="s" s="48">
        <v>70</v>
      </c>
      <c r="G588" t="s" s="48">
        <v>69</v>
      </c>
      <c r="H588" t="s" s="48">
        <v>69</v>
      </c>
      <c r="I588" t="s" s="48">
        <v>69</v>
      </c>
      <c r="J588" t="s" s="48">
        <v>69</v>
      </c>
      <c r="K588" s="72"/>
      <c r="L588" s="72"/>
      <c r="M588" s="50"/>
      <c r="N588" s="49"/>
      <c r="O588" s="50"/>
      <c r="P588" s="50"/>
      <c r="Q588" s="30">
        <v>584</v>
      </c>
      <c r="R588" s="61"/>
      <c r="S588" s="46">
        <f>INDEX('Locations'!$D$6:$D$455,MATCH(B588,'Locations'!$A$6:$A$455,0))</f>
        <v>42.7301321088195</v>
      </c>
      <c r="T588" s="46">
        <f>INDEX('Locations'!$E$6:$E$455,MATCH(B588,'Locations'!$A$6:$A$455,0))</f>
        <v>-73.6777225353032</v>
      </c>
      <c r="U588" s="46">
        <f>INDEX('Locations'!$D$6:$D$455,MATCH(C588,'Locations'!$A$6:$A$455,0))</f>
        <v>42.7304891998108</v>
      </c>
      <c r="V588" s="73">
        <f>INDEX('Locations'!$E$6:$E$455,MATCH(C588,'Locations'!$A$6:$A$455,0))</f>
        <v>-73.67771759294099</v>
      </c>
      <c r="W588" s="44"/>
    </row>
    <row r="589" ht="23.1" customHeight="1">
      <c r="A589" t="s" s="24">
        <v>1199</v>
      </c>
      <c r="B589" t="s" s="53">
        <v>274</v>
      </c>
      <c r="C589" t="s" s="53">
        <v>593</v>
      </c>
      <c r="D589" t="s" s="53">
        <v>614</v>
      </c>
      <c r="E589" s="74">
        <f>2*6371000*ASIN(SQRT(MIN(1,SIN(RADIANS(U589-S589)/2)^2+COS(RADIANS(S589))*COS(RADIANS(U589))*SIN(RADIANS(V589-T589)/2)^2)))</f>
        <v>26.1961670343681</v>
      </c>
      <c r="F589" t="s" s="48">
        <v>70</v>
      </c>
      <c r="G589" t="s" s="48">
        <v>69</v>
      </c>
      <c r="H589" t="s" s="48">
        <v>69</v>
      </c>
      <c r="I589" t="s" s="48">
        <v>69</v>
      </c>
      <c r="J589" t="s" s="48">
        <v>69</v>
      </c>
      <c r="K589" s="72"/>
      <c r="L589" s="72"/>
      <c r="M589" s="50"/>
      <c r="N589" s="49"/>
      <c r="O589" s="50"/>
      <c r="P589" s="50"/>
      <c r="Q589" s="32">
        <v>585</v>
      </c>
      <c r="R589" s="64"/>
      <c r="S589" s="54">
        <f>INDEX('Locations'!$D$6:$D$455,MATCH(B589,'Locations'!$A$6:$A$455,0))</f>
        <v>42.730517937639</v>
      </c>
      <c r="T589" s="54">
        <f>INDEX('Locations'!$E$6:$E$455,MATCH(B589,'Locations'!$A$6:$A$455,0))</f>
        <v>-73.678035920288</v>
      </c>
      <c r="U589" s="54">
        <f>INDEX('Locations'!$D$6:$D$455,MATCH(C589,'Locations'!$A$6:$A$455,0))</f>
        <v>42.7304891998108</v>
      </c>
      <c r="V589" s="75">
        <f>INDEX('Locations'!$E$6:$E$455,MATCH(C589,'Locations'!$A$6:$A$455,0))</f>
        <v>-73.67771759294099</v>
      </c>
      <c r="W589" s="44"/>
    </row>
    <row r="590" ht="13.55" customHeight="1">
      <c r="A590" s="68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40"/>
    </row>
  </sheetData>
  <conditionalFormatting sqref="D6:D589">
    <cfRule type="containsText" dxfId="2" priority="1" stopIfTrue="1" text="FALSE">
      <formula>NOT(ISERROR(FIND(UPPER("FALSE"),UPPER(D6))))</formula>
      <formula>"FALSE"</formula>
    </cfRule>
  </conditionalFormatting>
  <conditionalFormatting sqref="G6:G589">
    <cfRule type="cellIs" dxfId="3" priority="1" operator="equal" stopIfTrue="1">
      <formula>"no"</formula>
    </cfRule>
  </conditionalFormatting>
  <dataValidations count="3">
    <dataValidation type="list" allowBlank="1" showInputMessage="1" showErrorMessage="1" sqref="F6:F589">
      <formula1>"unverified,needs_review,checked"</formula1>
    </dataValidation>
    <dataValidation type="list" allowBlank="1" showInputMessage="1" showErrorMessage="1" sqref="G6:I589">
      <formula1>"unknown,yes,no"</formula1>
    </dataValidation>
    <dataValidation type="list" allowBlank="1" showInputMessage="1" showErrorMessage="1" sqref="J6:J589">
      <formula1>"unknown,concrete,asphalt,brick,pavers,gravel,dirt,mixed,other"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G67"/>
  <sheetViews>
    <sheetView workbookViewId="0" showGridLines="0" defaultGridColor="1"/>
  </sheetViews>
  <sheetFormatPr defaultColWidth="8.83333" defaultRowHeight="14.25" customHeight="1" outlineLevelRow="0" outlineLevelCol="0"/>
  <cols>
    <col min="1" max="1" width="13" style="76" customWidth="1"/>
    <col min="2" max="2" width="15" style="76" customWidth="1"/>
    <col min="3" max="3" width="30" style="76" customWidth="1"/>
    <col min="4" max="4" width="63" style="76" customWidth="1"/>
    <col min="5" max="5" width="67" style="76" customWidth="1"/>
    <col min="6" max="6" width="48" style="76" customWidth="1"/>
    <col min="7" max="7" width="8.85156" style="76" customWidth="1"/>
    <col min="8" max="16384" width="8.85156" style="76" customWidth="1"/>
  </cols>
  <sheetData>
    <row r="1" ht="23.1" customHeight="1">
      <c r="A1" s="2"/>
      <c r="B1" s="3"/>
      <c r="C1" s="3"/>
      <c r="D1" s="3"/>
      <c r="E1" s="3"/>
      <c r="F1" s="3"/>
      <c r="G1" s="5"/>
    </row>
    <row r="2" ht="23.1" customHeight="1">
      <c r="A2" t="s" s="6">
        <v>1200</v>
      </c>
      <c r="B2" s="7"/>
      <c r="C2" s="7"/>
      <c r="D2" s="7"/>
      <c r="E2" s="7"/>
      <c r="F2" s="7"/>
      <c r="G2" s="9"/>
    </row>
    <row r="3" ht="23.1" customHeight="1">
      <c r="A3" s="10"/>
      <c r="B3" s="11"/>
      <c r="C3" s="11"/>
      <c r="D3" s="11"/>
      <c r="E3" s="11"/>
      <c r="F3" s="11"/>
      <c r="G3" s="9"/>
    </row>
    <row r="4" ht="23.1" customHeight="1">
      <c r="A4" t="s" s="42">
        <v>1201</v>
      </c>
      <c r="B4" s="43"/>
      <c r="C4" s="43"/>
      <c r="D4" s="43"/>
      <c r="E4" s="43"/>
      <c r="F4" s="43"/>
      <c r="G4" s="9"/>
    </row>
    <row r="5" ht="36" customHeight="1">
      <c r="A5" t="s" s="17">
        <v>1202</v>
      </c>
      <c r="B5" t="s" s="18">
        <v>1203</v>
      </c>
      <c r="C5" t="s" s="18">
        <v>1204</v>
      </c>
      <c r="D5" t="s" s="18">
        <v>1205</v>
      </c>
      <c r="E5" t="s" s="18">
        <v>23</v>
      </c>
      <c r="F5" t="s" s="19">
        <v>1206</v>
      </c>
      <c r="G5" s="44"/>
    </row>
    <row r="6" ht="57.95" customHeight="1">
      <c r="A6" t="s" s="77">
        <v>1207</v>
      </c>
      <c r="B6" t="s" s="66">
        <v>1208</v>
      </c>
      <c r="C6" t="s" s="66">
        <v>1209</v>
      </c>
      <c r="D6" t="s" s="66">
        <v>1210</v>
      </c>
      <c r="E6" t="s" s="66">
        <v>1211</v>
      </c>
      <c r="F6" t="s" s="31">
        <v>1212</v>
      </c>
      <c r="G6" s="44"/>
    </row>
    <row r="7" ht="57.95" customHeight="1">
      <c r="A7" t="s" s="78">
        <v>1213</v>
      </c>
      <c r="B7" t="s" s="67">
        <v>1214</v>
      </c>
      <c r="C7" t="s" s="67">
        <v>1215</v>
      </c>
      <c r="D7" t="s" s="67">
        <v>1216</v>
      </c>
      <c r="E7" t="s" s="67">
        <v>1217</v>
      </c>
      <c r="F7" t="s" s="33">
        <v>1218</v>
      </c>
      <c r="G7" s="44"/>
    </row>
    <row r="8" ht="57.95" customHeight="1">
      <c r="A8" t="s" s="77">
        <v>1219</v>
      </c>
      <c r="B8" t="s" s="66">
        <v>1220</v>
      </c>
      <c r="C8" t="s" s="66">
        <v>1221</v>
      </c>
      <c r="D8" t="s" s="66">
        <v>1222</v>
      </c>
      <c r="E8" t="s" s="66">
        <v>1223</v>
      </c>
      <c r="F8" t="s" s="31">
        <v>1224</v>
      </c>
      <c r="G8" s="44"/>
    </row>
    <row r="9" ht="57.95" customHeight="1">
      <c r="A9" t="s" s="78">
        <v>1225</v>
      </c>
      <c r="B9" t="s" s="67">
        <v>1220</v>
      </c>
      <c r="C9" t="s" s="67">
        <v>1226</v>
      </c>
      <c r="D9" t="s" s="67">
        <v>1227</v>
      </c>
      <c r="E9" t="s" s="67">
        <v>1228</v>
      </c>
      <c r="F9" t="s" s="33">
        <v>1229</v>
      </c>
      <c r="G9" s="44"/>
    </row>
    <row r="10" ht="57.95" customHeight="1">
      <c r="A10" t="s" s="77">
        <v>1230</v>
      </c>
      <c r="B10" t="s" s="66">
        <v>1220</v>
      </c>
      <c r="C10" t="s" s="66">
        <v>1231</v>
      </c>
      <c r="D10" t="s" s="66">
        <v>1232</v>
      </c>
      <c r="E10" t="s" s="66">
        <v>1233</v>
      </c>
      <c r="F10" t="s" s="31">
        <v>1234</v>
      </c>
      <c r="G10" s="44"/>
    </row>
    <row r="11" ht="57.95" customHeight="1">
      <c r="A11" t="s" s="78">
        <v>1235</v>
      </c>
      <c r="B11" t="s" s="67">
        <v>1236</v>
      </c>
      <c r="C11" t="s" s="67">
        <v>1237</v>
      </c>
      <c r="D11" t="s" s="67">
        <v>1238</v>
      </c>
      <c r="E11" t="s" s="67">
        <v>1239</v>
      </c>
      <c r="F11" t="s" s="33">
        <v>1240</v>
      </c>
      <c r="G11" s="44"/>
    </row>
    <row r="12" ht="57.95" customHeight="1">
      <c r="A12" t="s" s="77">
        <v>1241</v>
      </c>
      <c r="B12" t="s" s="66">
        <v>1242</v>
      </c>
      <c r="C12" t="s" s="66">
        <v>1243</v>
      </c>
      <c r="D12" t="s" s="66">
        <v>1244</v>
      </c>
      <c r="E12" t="s" s="66">
        <v>1245</v>
      </c>
      <c r="F12" t="s" s="31">
        <v>1246</v>
      </c>
      <c r="G12" s="44"/>
    </row>
    <row r="13" ht="57.95" customHeight="1">
      <c r="A13" t="s" s="78">
        <v>1247</v>
      </c>
      <c r="B13" t="s" s="67">
        <v>1248</v>
      </c>
      <c r="C13" t="s" s="67">
        <v>1249</v>
      </c>
      <c r="D13" t="s" s="67">
        <v>1250</v>
      </c>
      <c r="E13" t="s" s="67">
        <v>1251</v>
      </c>
      <c r="F13" t="s" s="33">
        <v>1252</v>
      </c>
      <c r="G13" s="44"/>
    </row>
    <row r="14" ht="57.95" customHeight="1">
      <c r="A14" t="s" s="77">
        <v>1253</v>
      </c>
      <c r="B14" t="s" s="66">
        <v>1248</v>
      </c>
      <c r="C14" t="s" s="66">
        <v>1254</v>
      </c>
      <c r="D14" t="s" s="66">
        <v>1255</v>
      </c>
      <c r="E14" t="s" s="66">
        <v>1256</v>
      </c>
      <c r="F14" t="s" s="31">
        <v>1257</v>
      </c>
      <c r="G14" s="44"/>
    </row>
    <row r="15" ht="57.95" customHeight="1">
      <c r="A15" t="s" s="78">
        <v>1258</v>
      </c>
      <c r="B15" t="s" s="67">
        <v>1220</v>
      </c>
      <c r="C15" t="s" s="67">
        <v>1259</v>
      </c>
      <c r="D15" t="s" s="67">
        <v>1260</v>
      </c>
      <c r="E15" t="s" s="67">
        <v>1261</v>
      </c>
      <c r="F15" t="s" s="33">
        <v>1262</v>
      </c>
      <c r="G15" s="44"/>
    </row>
    <row r="16" ht="57.95" customHeight="1">
      <c r="A16" t="s" s="77">
        <v>1263</v>
      </c>
      <c r="B16" t="s" s="66">
        <v>1264</v>
      </c>
      <c r="C16" t="s" s="66">
        <v>1265</v>
      </c>
      <c r="D16" t="s" s="66">
        <v>1266</v>
      </c>
      <c r="E16" t="s" s="66">
        <v>1267</v>
      </c>
      <c r="F16" t="s" s="31">
        <v>1268</v>
      </c>
      <c r="G16" s="44"/>
    </row>
    <row r="17" ht="57.95" customHeight="1">
      <c r="A17" t="s" s="78">
        <v>1269</v>
      </c>
      <c r="B17" t="s" s="67">
        <v>1270</v>
      </c>
      <c r="C17" t="s" s="67">
        <v>1271</v>
      </c>
      <c r="D17" t="s" s="67">
        <v>1272</v>
      </c>
      <c r="E17" t="s" s="67">
        <v>1273</v>
      </c>
      <c r="F17" t="s" s="33">
        <v>1274</v>
      </c>
      <c r="G17" s="44"/>
    </row>
    <row r="18" ht="23.1" customHeight="1">
      <c r="A18" s="27"/>
      <c r="B18" s="28"/>
      <c r="C18" s="28"/>
      <c r="D18" s="28"/>
      <c r="E18" s="28"/>
      <c r="F18" s="28"/>
      <c r="G18" s="9"/>
    </row>
    <row r="19" ht="23.1" customHeight="1">
      <c r="A19" t="s" s="29">
        <v>1275</v>
      </c>
      <c r="B19" s="7"/>
      <c r="C19" s="7"/>
      <c r="D19" s="7"/>
      <c r="E19" s="7"/>
      <c r="F19" s="7"/>
      <c r="G19" s="9"/>
    </row>
    <row r="20" ht="23.1" customHeight="1">
      <c r="A20" s="15"/>
      <c r="B20" s="16"/>
      <c r="C20" s="16"/>
      <c r="D20" s="16"/>
      <c r="E20" s="16"/>
      <c r="F20" s="16"/>
      <c r="G20" s="9"/>
    </row>
    <row r="21" ht="36" customHeight="1">
      <c r="A21" t="s" s="17">
        <v>1276</v>
      </c>
      <c r="B21" t="s" s="18">
        <v>1277</v>
      </c>
      <c r="C21" t="s" s="18">
        <v>1278</v>
      </c>
      <c r="D21" t="s" s="18">
        <v>1279</v>
      </c>
      <c r="E21" t="s" s="18">
        <v>1280</v>
      </c>
      <c r="F21" t="s" s="19">
        <v>1281</v>
      </c>
      <c r="G21" s="44"/>
    </row>
    <row r="22" ht="23.1" customHeight="1">
      <c r="A22" t="s" s="77">
        <v>1189</v>
      </c>
      <c r="B22" s="79">
        <v>575</v>
      </c>
      <c r="C22" t="s" s="66">
        <v>589</v>
      </c>
      <c r="D22" t="s" s="66">
        <v>590</v>
      </c>
      <c r="E22" s="80">
        <v>414.518340847330</v>
      </c>
      <c r="F22" t="s" s="31">
        <v>1282</v>
      </c>
      <c r="G22" s="44"/>
    </row>
    <row r="23" ht="23.1" customHeight="1">
      <c r="A23" t="s" s="78">
        <v>1188</v>
      </c>
      <c r="B23" s="81">
        <v>574</v>
      </c>
      <c r="C23" t="s" s="67">
        <v>582</v>
      </c>
      <c r="D23" t="s" s="67">
        <v>590</v>
      </c>
      <c r="E23" s="82">
        <v>407.635522184920</v>
      </c>
      <c r="F23" t="s" s="33">
        <v>1282</v>
      </c>
      <c r="G23" s="44"/>
    </row>
    <row r="24" ht="23.1" customHeight="1">
      <c r="A24" t="s" s="77">
        <v>1178</v>
      </c>
      <c r="B24" s="79">
        <v>564</v>
      </c>
      <c r="C24" t="s" s="66">
        <v>573</v>
      </c>
      <c r="D24" t="s" s="66">
        <v>584</v>
      </c>
      <c r="E24" s="80">
        <v>298.963423824008</v>
      </c>
      <c r="F24" t="s" s="31">
        <v>1282</v>
      </c>
      <c r="G24" s="44"/>
    </row>
    <row r="25" ht="23.1" customHeight="1">
      <c r="A25" t="s" s="78">
        <v>1180</v>
      </c>
      <c r="B25" s="81">
        <v>566</v>
      </c>
      <c r="C25" t="s" s="67">
        <v>582</v>
      </c>
      <c r="D25" t="s" s="67">
        <v>581</v>
      </c>
      <c r="E25" s="82">
        <v>296.951655285548</v>
      </c>
      <c r="F25" t="s" s="33">
        <v>1282</v>
      </c>
      <c r="G25" s="44"/>
    </row>
    <row r="26" ht="23.1" customHeight="1">
      <c r="A26" t="s" s="77">
        <v>917</v>
      </c>
      <c r="B26" s="79">
        <v>303</v>
      </c>
      <c r="C26" t="s" s="66">
        <v>371</v>
      </c>
      <c r="D26" t="s" s="66">
        <v>408</v>
      </c>
      <c r="E26" s="80">
        <v>262.880412213887</v>
      </c>
      <c r="F26" t="s" s="31">
        <v>1282</v>
      </c>
      <c r="G26" s="44"/>
    </row>
    <row r="27" ht="23.1" customHeight="1">
      <c r="A27" t="s" s="78">
        <v>616</v>
      </c>
      <c r="B27" s="81">
        <v>4</v>
      </c>
      <c r="C27" t="s" s="67">
        <v>220</v>
      </c>
      <c r="D27" t="s" s="67">
        <v>219</v>
      </c>
      <c r="E27" s="82">
        <v>260.431853411663</v>
      </c>
      <c r="F27" t="s" s="33">
        <v>1282</v>
      </c>
      <c r="G27" s="44"/>
    </row>
    <row r="28" ht="23.1" customHeight="1">
      <c r="A28" t="s" s="77">
        <v>1190</v>
      </c>
      <c r="B28" s="79">
        <v>576</v>
      </c>
      <c r="C28" t="s" s="66">
        <v>219</v>
      </c>
      <c r="D28" t="s" s="66">
        <v>589</v>
      </c>
      <c r="E28" s="80">
        <v>250.459670779091</v>
      </c>
      <c r="F28" t="s" s="31">
        <v>1282</v>
      </c>
      <c r="G28" s="44"/>
    </row>
    <row r="29" ht="23.1" customHeight="1">
      <c r="A29" t="s" s="78">
        <v>991</v>
      </c>
      <c r="B29" s="81">
        <v>377</v>
      </c>
      <c r="C29" t="s" s="67">
        <v>456</v>
      </c>
      <c r="D29" t="s" s="67">
        <v>457</v>
      </c>
      <c r="E29" s="82">
        <v>250.334884598758</v>
      </c>
      <c r="F29" t="s" s="33">
        <v>1282</v>
      </c>
      <c r="G29" s="44"/>
    </row>
    <row r="30" ht="23.1" customHeight="1">
      <c r="A30" t="s" s="77">
        <v>1184</v>
      </c>
      <c r="B30" s="79">
        <v>570</v>
      </c>
      <c r="C30" t="s" s="66">
        <v>588</v>
      </c>
      <c r="D30" t="s" s="66">
        <v>586</v>
      </c>
      <c r="E30" s="80">
        <v>250.183588711358</v>
      </c>
      <c r="F30" t="s" s="31">
        <v>1282</v>
      </c>
      <c r="G30" s="44"/>
    </row>
    <row r="31" ht="23.1" customHeight="1">
      <c r="A31" t="s" s="78">
        <v>1186</v>
      </c>
      <c r="B31" s="81">
        <v>572</v>
      </c>
      <c r="C31" t="s" s="67">
        <v>585</v>
      </c>
      <c r="D31" t="s" s="67">
        <v>586</v>
      </c>
      <c r="E31" s="82">
        <v>245.854033339787</v>
      </c>
      <c r="F31" t="s" s="33">
        <v>1282</v>
      </c>
      <c r="G31" s="44"/>
    </row>
    <row r="32" ht="23.1" customHeight="1">
      <c r="A32" t="s" s="77">
        <v>1183</v>
      </c>
      <c r="B32" s="79">
        <v>569</v>
      </c>
      <c r="C32" t="s" s="66">
        <v>218</v>
      </c>
      <c r="D32" t="s" s="66">
        <v>585</v>
      </c>
      <c r="E32" s="80">
        <v>243.413092707193</v>
      </c>
      <c r="F32" t="s" s="31">
        <v>1282</v>
      </c>
      <c r="G32" s="44"/>
    </row>
    <row r="33" ht="23.1" customHeight="1">
      <c r="A33" t="s" s="78">
        <v>1009</v>
      </c>
      <c r="B33" s="81">
        <v>395</v>
      </c>
      <c r="C33" t="s" s="67">
        <v>462</v>
      </c>
      <c r="D33" t="s" s="67">
        <v>469</v>
      </c>
      <c r="E33" s="82">
        <v>233.322415481858</v>
      </c>
      <c r="F33" t="s" s="33">
        <v>1282</v>
      </c>
      <c r="G33" s="44"/>
    </row>
    <row r="34" ht="23.1" customHeight="1">
      <c r="A34" t="s" s="77">
        <v>1005</v>
      </c>
      <c r="B34" s="79">
        <v>391</v>
      </c>
      <c r="C34" t="s" s="66">
        <v>465</v>
      </c>
      <c r="D34" t="s" s="66">
        <v>462</v>
      </c>
      <c r="E34" s="80">
        <v>227.0488707042</v>
      </c>
      <c r="F34" t="s" s="31">
        <v>1282</v>
      </c>
      <c r="G34" s="44"/>
    </row>
    <row r="35" ht="23.1" customHeight="1">
      <c r="A35" t="s" s="78">
        <v>920</v>
      </c>
      <c r="B35" s="81">
        <v>306</v>
      </c>
      <c r="C35" t="s" s="67">
        <v>409</v>
      </c>
      <c r="D35" t="s" s="67">
        <v>411</v>
      </c>
      <c r="E35" s="82">
        <v>219.662885687189</v>
      </c>
      <c r="F35" t="s" s="33">
        <v>1282</v>
      </c>
      <c r="G35" s="44"/>
    </row>
    <row r="36" ht="23.1" customHeight="1">
      <c r="A36" t="s" s="77">
        <v>972</v>
      </c>
      <c r="B36" s="79">
        <v>358</v>
      </c>
      <c r="C36" t="s" s="66">
        <v>396</v>
      </c>
      <c r="D36" t="s" s="66">
        <v>445</v>
      </c>
      <c r="E36" s="80">
        <v>210.931164024832</v>
      </c>
      <c r="F36" t="s" s="31">
        <v>1282</v>
      </c>
      <c r="G36" s="44"/>
    </row>
    <row r="37" ht="23.1" customHeight="1">
      <c r="A37" t="s" s="78">
        <v>911</v>
      </c>
      <c r="B37" s="81">
        <v>297</v>
      </c>
      <c r="C37" t="s" s="67">
        <v>405</v>
      </c>
      <c r="D37" t="s" s="67">
        <v>182</v>
      </c>
      <c r="E37" s="82">
        <v>210.747453895069</v>
      </c>
      <c r="F37" t="s" s="33">
        <v>1282</v>
      </c>
      <c r="G37" s="44"/>
    </row>
    <row r="38" ht="23.1" customHeight="1">
      <c r="A38" t="s" s="77">
        <v>1182</v>
      </c>
      <c r="B38" s="79">
        <v>568</v>
      </c>
      <c r="C38" t="s" s="66">
        <v>584</v>
      </c>
      <c r="D38" t="s" s="66">
        <v>585</v>
      </c>
      <c r="E38" s="80">
        <v>208.820648653827</v>
      </c>
      <c r="F38" t="s" s="31">
        <v>1282</v>
      </c>
      <c r="G38" s="44"/>
    </row>
    <row r="39" ht="23.1" customHeight="1">
      <c r="A39" t="s" s="78">
        <v>1181</v>
      </c>
      <c r="B39" s="81">
        <v>567</v>
      </c>
      <c r="C39" t="s" s="67">
        <v>573</v>
      </c>
      <c r="D39" t="s" s="67">
        <v>581</v>
      </c>
      <c r="E39" s="82">
        <v>201.673046044865</v>
      </c>
      <c r="F39" t="s" s="33">
        <v>1282</v>
      </c>
      <c r="G39" s="44"/>
    </row>
    <row r="40" ht="23.1" customHeight="1">
      <c r="A40" s="27"/>
      <c r="B40" s="28"/>
      <c r="C40" s="28"/>
      <c r="D40" s="28"/>
      <c r="E40" s="28"/>
      <c r="F40" s="28"/>
      <c r="G40" s="9"/>
    </row>
    <row r="41" ht="23.1" customHeight="1">
      <c r="A41" s="34"/>
      <c r="B41" s="7"/>
      <c r="C41" s="7"/>
      <c r="D41" s="7"/>
      <c r="E41" s="7"/>
      <c r="F41" s="7"/>
      <c r="G41" s="9"/>
    </row>
    <row r="42" ht="23.1" customHeight="1">
      <c r="A42" t="s" s="29">
        <v>1283</v>
      </c>
      <c r="B42" s="7"/>
      <c r="C42" s="7"/>
      <c r="D42" s="7"/>
      <c r="E42" s="7"/>
      <c r="F42" s="7"/>
      <c r="G42" s="9"/>
    </row>
    <row r="43" ht="23.1" customHeight="1">
      <c r="A43" s="34"/>
      <c r="B43" s="7"/>
      <c r="C43" s="7"/>
      <c r="D43" s="7"/>
      <c r="E43" s="7"/>
      <c r="F43" s="7"/>
      <c r="G43" s="9"/>
    </row>
    <row r="44" ht="23.1" customHeight="1">
      <c r="A44" t="s" s="14">
        <v>1284</v>
      </c>
      <c r="B44" s="7"/>
      <c r="C44" t="s" s="35">
        <v>1285</v>
      </c>
      <c r="D44" s="7"/>
      <c r="E44" s="7"/>
      <c r="F44" s="7"/>
      <c r="G44" s="9"/>
    </row>
    <row r="45" ht="23.1" customHeight="1">
      <c r="A45" s="34"/>
      <c r="B45" s="7"/>
      <c r="C45" s="7"/>
      <c r="D45" s="7"/>
      <c r="E45" s="7"/>
      <c r="F45" s="7"/>
      <c r="G45" s="9"/>
    </row>
    <row r="46" ht="23.1" customHeight="1">
      <c r="A46" t="s" s="14">
        <v>1286</v>
      </c>
      <c r="B46" s="7"/>
      <c r="C46" t="s" s="35">
        <v>1287</v>
      </c>
      <c r="D46" s="7"/>
      <c r="E46" s="7"/>
      <c r="F46" s="7"/>
      <c r="G46" s="9"/>
    </row>
    <row r="47" ht="23.1" customHeight="1">
      <c r="A47" s="34"/>
      <c r="B47" s="7"/>
      <c r="C47" s="7"/>
      <c r="D47" s="7"/>
      <c r="E47" s="7"/>
      <c r="F47" s="7"/>
      <c r="G47" s="9"/>
    </row>
    <row r="48" ht="23.1" customHeight="1">
      <c r="A48" t="s" s="14">
        <v>1288</v>
      </c>
      <c r="B48" s="7"/>
      <c r="C48" t="s" s="35">
        <v>1289</v>
      </c>
      <c r="D48" s="7"/>
      <c r="E48" s="7"/>
      <c r="F48" s="7"/>
      <c r="G48" s="9"/>
    </row>
    <row r="49" ht="23.1" customHeight="1">
      <c r="A49" s="34"/>
      <c r="B49" s="7"/>
      <c r="C49" s="7"/>
      <c r="D49" s="7"/>
      <c r="E49" s="7"/>
      <c r="F49" s="7"/>
      <c r="G49" s="9"/>
    </row>
    <row r="50" ht="23.1" customHeight="1">
      <c r="A50" t="s" s="14">
        <v>1290</v>
      </c>
      <c r="B50" s="7"/>
      <c r="C50" t="s" s="35">
        <v>1291</v>
      </c>
      <c r="D50" s="7"/>
      <c r="E50" s="7"/>
      <c r="F50" s="7"/>
      <c r="G50" s="9"/>
    </row>
    <row r="51" ht="23.1" customHeight="1">
      <c r="A51" s="34"/>
      <c r="B51" s="7"/>
      <c r="C51" s="7"/>
      <c r="D51" s="7"/>
      <c r="E51" s="7"/>
      <c r="F51" s="7"/>
      <c r="G51" s="9"/>
    </row>
    <row r="52" ht="23.1" customHeight="1">
      <c r="A52" t="s" s="14">
        <v>1292</v>
      </c>
      <c r="B52" s="7"/>
      <c r="C52" t="s" s="35">
        <v>1293</v>
      </c>
      <c r="D52" s="7"/>
      <c r="E52" s="7"/>
      <c r="F52" s="7"/>
      <c r="G52" s="9"/>
    </row>
    <row r="53" ht="23.1" customHeight="1">
      <c r="A53" s="34"/>
      <c r="B53" s="7"/>
      <c r="C53" s="7"/>
      <c r="D53" s="7"/>
      <c r="E53" s="7"/>
      <c r="F53" s="7"/>
      <c r="G53" s="9"/>
    </row>
    <row r="54" ht="23.1" customHeight="1">
      <c r="A54" s="34"/>
      <c r="B54" s="7"/>
      <c r="C54" s="7"/>
      <c r="D54" s="7"/>
      <c r="E54" s="7"/>
      <c r="F54" s="7"/>
      <c r="G54" s="9"/>
    </row>
    <row r="55" ht="23.1" customHeight="1">
      <c r="A55" t="s" s="14">
        <v>1294</v>
      </c>
      <c r="B55" s="7"/>
      <c r="C55" s="7"/>
      <c r="D55" s="7"/>
      <c r="E55" s="7"/>
      <c r="F55" s="7"/>
      <c r="G55" s="9"/>
    </row>
    <row r="56" ht="23.1" customHeight="1">
      <c r="A56" s="34"/>
      <c r="B56" s="7"/>
      <c r="C56" s="7"/>
      <c r="D56" s="7"/>
      <c r="E56" s="7"/>
      <c r="F56" s="7"/>
      <c r="G56" s="9"/>
    </row>
    <row r="57" ht="23.1" customHeight="1">
      <c r="A57" t="s" s="14">
        <v>1295</v>
      </c>
      <c r="B57" s="7"/>
      <c r="C57" s="7"/>
      <c r="D57" s="7"/>
      <c r="E57" s="7"/>
      <c r="F57" s="7"/>
      <c r="G57" s="9"/>
    </row>
    <row r="58" ht="23.1" customHeight="1">
      <c r="A58" s="34"/>
      <c r="B58" s="7"/>
      <c r="C58" s="7"/>
      <c r="D58" s="7"/>
      <c r="E58" s="7"/>
      <c r="F58" s="7"/>
      <c r="G58" s="9"/>
    </row>
    <row r="59" ht="23.1" customHeight="1">
      <c r="A59" s="34"/>
      <c r="B59" s="7"/>
      <c r="C59" s="7"/>
      <c r="D59" s="7"/>
      <c r="E59" s="7"/>
      <c r="F59" s="7"/>
      <c r="G59" s="9"/>
    </row>
    <row r="60" ht="23.1" customHeight="1">
      <c r="A60" s="34"/>
      <c r="B60" s="7"/>
      <c r="C60" s="7"/>
      <c r="D60" s="7"/>
      <c r="E60" s="7"/>
      <c r="F60" s="7"/>
      <c r="G60" s="9"/>
    </row>
    <row r="61" ht="23.1" customHeight="1">
      <c r="A61" s="34"/>
      <c r="B61" s="7"/>
      <c r="C61" s="7"/>
      <c r="D61" s="7"/>
      <c r="E61" s="7"/>
      <c r="F61" s="7"/>
      <c r="G61" s="9"/>
    </row>
    <row r="62" ht="23.1" customHeight="1">
      <c r="A62" s="34"/>
      <c r="B62" s="7"/>
      <c r="C62" s="7"/>
      <c r="D62" s="7"/>
      <c r="E62" s="7"/>
      <c r="F62" s="7"/>
      <c r="G62" s="9"/>
    </row>
    <row r="63" ht="23.1" customHeight="1">
      <c r="A63" s="34"/>
      <c r="B63" s="7"/>
      <c r="C63" s="7"/>
      <c r="D63" s="7"/>
      <c r="E63" s="7"/>
      <c r="F63" s="7"/>
      <c r="G63" s="9"/>
    </row>
    <row r="64" ht="23.1" customHeight="1">
      <c r="A64" s="34"/>
      <c r="B64" s="7"/>
      <c r="C64" s="7"/>
      <c r="D64" s="7"/>
      <c r="E64" s="7"/>
      <c r="F64" s="7"/>
      <c r="G64" s="9"/>
    </row>
    <row r="65" ht="23.1" customHeight="1">
      <c r="A65" s="34"/>
      <c r="B65" s="7"/>
      <c r="C65" s="7"/>
      <c r="D65" s="7"/>
      <c r="E65" s="7"/>
      <c r="F65" s="7"/>
      <c r="G65" s="9"/>
    </row>
    <row r="66" ht="23.1" customHeight="1">
      <c r="A66" s="34"/>
      <c r="B66" s="7"/>
      <c r="C66" s="7"/>
      <c r="D66" s="7"/>
      <c r="E66" s="7"/>
      <c r="F66" s="7"/>
      <c r="G66" s="9"/>
    </row>
    <row r="67" ht="23.1" customHeight="1">
      <c r="A67" s="37"/>
      <c r="B67" s="38"/>
      <c r="C67" s="38"/>
      <c r="D67" s="38"/>
      <c r="E67" s="38"/>
      <c r="F67" s="38"/>
      <c r="G67" s="4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73"/>
  <sheetViews>
    <sheetView workbookViewId="0" showGridLines="0" defaultGridColor="1"/>
  </sheetViews>
  <sheetFormatPr defaultColWidth="8.83333" defaultRowHeight="14.25" customHeight="1" outlineLevelRow="0" outlineLevelCol="0"/>
  <cols>
    <col min="1" max="1" width="64" style="83" customWidth="1"/>
    <col min="2" max="3" width="23" style="83" customWidth="1"/>
    <col min="4" max="4" width="8.85156" style="83" customWidth="1"/>
    <col min="5" max="5" width="87" style="83" customWidth="1"/>
    <col min="6" max="16384" width="8.85156" style="83" customWidth="1"/>
  </cols>
  <sheetData>
    <row r="1" ht="36" customHeight="1">
      <c r="A1" t="s" s="17">
        <v>1296</v>
      </c>
      <c r="B1" t="s" s="18">
        <v>1297</v>
      </c>
      <c r="C1" t="s" s="19">
        <v>1298</v>
      </c>
      <c r="D1" s="84"/>
      <c r="E1" t="s" s="85">
        <v>1299</v>
      </c>
    </row>
    <row r="2" ht="23.1" customHeight="1">
      <c r="A2" t="s" s="21">
        <v>186</v>
      </c>
      <c r="B2" s="46">
        <v>42.7297841661032</v>
      </c>
      <c r="C2" s="73">
        <v>-73.678207915226</v>
      </c>
      <c r="D2" s="86"/>
      <c r="E2" t="s" s="87">
        <v>1300</v>
      </c>
    </row>
    <row r="3" ht="23.1" customHeight="1">
      <c r="A3" t="s" s="24">
        <v>176</v>
      </c>
      <c r="B3" s="54">
        <v>42.7298997202713</v>
      </c>
      <c r="C3" s="75">
        <v>-73.6766696757312</v>
      </c>
      <c r="D3" s="86"/>
      <c r="E3" s="88"/>
    </row>
    <row r="4" ht="23.1" customHeight="1">
      <c r="A4" t="s" s="21">
        <v>164</v>
      </c>
      <c r="B4" s="46">
        <v>42.7311695906155</v>
      </c>
      <c r="C4" s="73">
        <v>-73.6833097926915</v>
      </c>
      <c r="D4" s="86"/>
      <c r="E4" t="s" s="87">
        <v>1301</v>
      </c>
    </row>
    <row r="5" ht="23.1" customHeight="1">
      <c r="A5" t="s" s="24">
        <v>210</v>
      </c>
      <c r="B5" s="54">
        <v>42.7317041350482</v>
      </c>
      <c r="C5" s="75">
        <v>-73.6831166044322</v>
      </c>
      <c r="D5" s="86"/>
      <c r="E5" s="88"/>
    </row>
    <row r="6" ht="23.1" customHeight="1">
      <c r="A6" t="s" s="21">
        <v>100</v>
      </c>
      <c r="B6" s="46">
        <v>42.7304685043522</v>
      </c>
      <c r="C6" s="73">
        <v>-73.6832074982253</v>
      </c>
      <c r="D6" s="86"/>
      <c r="E6" t="s" s="89">
        <v>1302</v>
      </c>
    </row>
    <row r="7" ht="23.1" customHeight="1">
      <c r="A7" t="s" s="24">
        <v>1303</v>
      </c>
      <c r="B7" s="54">
        <v>42.7308675073972</v>
      </c>
      <c r="C7" s="75">
        <v>-73.6825236241763</v>
      </c>
      <c r="D7" s="86"/>
      <c r="E7" t="s" s="87">
        <v>1304</v>
      </c>
    </row>
    <row r="8" ht="23.1" customHeight="1">
      <c r="A8" t="s" s="21">
        <v>90</v>
      </c>
      <c r="B8" s="46">
        <v>42.7312253105997</v>
      </c>
      <c r="C8" s="73">
        <v>-73.68176230139279</v>
      </c>
      <c r="D8" s="86"/>
      <c r="E8" s="88"/>
    </row>
    <row r="9" ht="23.1" customHeight="1">
      <c r="A9" t="s" s="24">
        <v>188</v>
      </c>
      <c r="B9" s="54">
        <v>42.7308640200207</v>
      </c>
      <c r="C9" s="75">
        <v>-73.6816022813999</v>
      </c>
      <c r="D9" s="86"/>
      <c r="E9" t="s" s="89">
        <v>1305</v>
      </c>
    </row>
    <row r="10" ht="48" customHeight="1">
      <c r="A10" t="s" s="21">
        <v>201</v>
      </c>
      <c r="B10" s="46">
        <v>42.7310834884144</v>
      </c>
      <c r="C10" s="73">
        <v>-73.6805230007287</v>
      </c>
      <c r="D10" s="86"/>
      <c r="E10" t="s" s="90">
        <v>1306</v>
      </c>
    </row>
    <row r="11" ht="23.1" customHeight="1">
      <c r="A11" t="s" s="24">
        <v>158</v>
      </c>
      <c r="B11" s="54">
        <v>42.7313610903711</v>
      </c>
      <c r="C11" s="75">
        <v>-73.6798278892484</v>
      </c>
      <c r="D11" s="86"/>
      <c r="E11" s="88"/>
    </row>
    <row r="12" ht="23.1" customHeight="1">
      <c r="A12" t="s" s="21">
        <v>120</v>
      </c>
      <c r="B12" s="46">
        <v>42.7313769480033</v>
      </c>
      <c r="C12" s="73">
        <v>-73.6791896873967</v>
      </c>
      <c r="D12" s="86"/>
      <c r="E12" t="s" s="87">
        <v>1307</v>
      </c>
    </row>
    <row r="13" ht="23.1" customHeight="1">
      <c r="A13" t="s" s="24">
        <v>178</v>
      </c>
      <c r="B13" s="54">
        <v>42.7309017267168</v>
      </c>
      <c r="C13" s="75">
        <v>-73.6797509579396</v>
      </c>
      <c r="D13" s="86"/>
      <c r="E13" s="88"/>
    </row>
    <row r="14" ht="23.1" customHeight="1">
      <c r="A14" t="s" s="21">
        <v>72</v>
      </c>
      <c r="B14" s="46">
        <v>42.7307847736595</v>
      </c>
      <c r="C14" s="73">
        <v>-73.6788642890883</v>
      </c>
      <c r="D14" s="86"/>
      <c r="E14" t="s" s="87">
        <v>1308</v>
      </c>
    </row>
    <row r="15" ht="23.1" customHeight="1">
      <c r="A15" t="s" s="24">
        <v>168</v>
      </c>
      <c r="B15" s="54">
        <v>42.7301321088195</v>
      </c>
      <c r="C15" s="75">
        <v>-73.6777225353032</v>
      </c>
      <c r="D15" s="86"/>
      <c r="E15" s="88"/>
    </row>
    <row r="16" ht="23.1" customHeight="1">
      <c r="A16" t="s" s="21">
        <v>150</v>
      </c>
      <c r="B16" s="46">
        <v>42.7294025452251</v>
      </c>
      <c r="C16" s="73">
        <v>-73.67868702133759</v>
      </c>
      <c r="D16" s="86"/>
      <c r="E16" t="s" s="87">
        <v>1309</v>
      </c>
    </row>
    <row r="17" ht="23.1" customHeight="1">
      <c r="A17" t="s" s="24">
        <v>184</v>
      </c>
      <c r="B17" s="54">
        <v>42.7292099242771</v>
      </c>
      <c r="C17" s="75">
        <v>-73.67815983327949</v>
      </c>
      <c r="D17" s="86"/>
      <c r="E17" s="88"/>
    </row>
    <row r="18" ht="23.1" customHeight="1">
      <c r="A18" t="s" s="21">
        <v>116</v>
      </c>
      <c r="B18" s="46">
        <v>42.7294710085669</v>
      </c>
      <c r="C18" s="73">
        <v>-73.67925539282341</v>
      </c>
      <c r="D18" s="86"/>
      <c r="E18" s="88"/>
    </row>
    <row r="19" ht="23.1" customHeight="1">
      <c r="A19" t="s" s="24">
        <v>144</v>
      </c>
      <c r="B19" s="54">
        <v>42.7296023792144</v>
      </c>
      <c r="C19" s="75">
        <v>-73.6801876114796</v>
      </c>
      <c r="D19" s="86"/>
      <c r="E19" s="88"/>
    </row>
    <row r="20" ht="23.1" customHeight="1">
      <c r="A20" t="s" s="21">
        <v>146</v>
      </c>
      <c r="B20" s="46">
        <v>42.7288196976939</v>
      </c>
      <c r="C20" s="73">
        <v>-73.68037847802439</v>
      </c>
      <c r="D20" s="86"/>
      <c r="E20" s="88"/>
    </row>
    <row r="21" ht="23.1" customHeight="1">
      <c r="A21" t="s" s="24">
        <v>108</v>
      </c>
      <c r="B21" s="54">
        <v>42.7281819912845</v>
      </c>
      <c r="C21" s="75">
        <v>-73.68125105065241</v>
      </c>
      <c r="D21" s="86"/>
      <c r="E21" s="88"/>
    </row>
    <row r="22" ht="23.1" customHeight="1">
      <c r="A22" t="s" s="21">
        <v>152</v>
      </c>
      <c r="B22" s="46">
        <v>42.7283133827967</v>
      </c>
      <c r="C22" s="73">
        <v>-73.6819688586443</v>
      </c>
      <c r="D22" s="86"/>
      <c r="E22" s="88"/>
    </row>
    <row r="23" ht="23.1" customHeight="1">
      <c r="A23" t="s" s="24">
        <v>203</v>
      </c>
      <c r="B23" s="54">
        <v>42.7292472880867</v>
      </c>
      <c r="C23" s="75">
        <v>-73.6819248492686</v>
      </c>
      <c r="D23" s="86"/>
      <c r="E23" s="88"/>
    </row>
    <row r="24" ht="23.1" customHeight="1">
      <c r="A24" t="s" s="21">
        <v>126</v>
      </c>
      <c r="B24" s="46">
        <v>42.7293468233902</v>
      </c>
      <c r="C24" s="73">
        <v>-73.68254817542559</v>
      </c>
      <c r="D24" s="86"/>
      <c r="E24" s="88"/>
    </row>
    <row r="25" ht="23.1" customHeight="1">
      <c r="A25" t="s" s="24">
        <v>128</v>
      </c>
      <c r="B25" s="54">
        <v>42.7300180143745</v>
      </c>
      <c r="C25" s="75">
        <v>-73.6811693363836</v>
      </c>
      <c r="D25" s="86"/>
      <c r="E25" s="88"/>
    </row>
    <row r="26" ht="23.1" customHeight="1">
      <c r="A26" t="s" s="21">
        <v>148</v>
      </c>
      <c r="B26" s="46">
        <v>42.7300826547069</v>
      </c>
      <c r="C26" s="73">
        <v>-73.6818996007287</v>
      </c>
      <c r="D26" s="86"/>
      <c r="E26" s="88"/>
    </row>
    <row r="27" ht="23.1" customHeight="1">
      <c r="A27" t="s" s="24">
        <v>80</v>
      </c>
      <c r="B27" s="54">
        <v>42.7302123784514</v>
      </c>
      <c r="C27" s="75">
        <v>-73.6825661737445</v>
      </c>
      <c r="D27" s="86"/>
      <c r="E27" s="88"/>
    </row>
    <row r="28" ht="23.1" customHeight="1">
      <c r="A28" t="s" s="21">
        <v>84</v>
      </c>
      <c r="B28" s="46">
        <v>42.7324848429346</v>
      </c>
      <c r="C28" s="73">
        <v>-73.68287842150011</v>
      </c>
      <c r="D28" s="86"/>
      <c r="E28" s="88"/>
    </row>
    <row r="29" ht="23.1" customHeight="1">
      <c r="A29" t="s" s="24">
        <v>193</v>
      </c>
      <c r="B29" s="54">
        <v>42.7328887776181</v>
      </c>
      <c r="C29" s="75">
        <v>-73.6808383806214</v>
      </c>
      <c r="D29" s="86"/>
      <c r="E29" s="88"/>
    </row>
    <row r="30" ht="23.1" customHeight="1">
      <c r="A30" t="s" s="21">
        <v>86</v>
      </c>
      <c r="B30" s="46">
        <v>42.7321517031695</v>
      </c>
      <c r="C30" s="73">
        <v>-73.6808557374853</v>
      </c>
      <c r="D30" s="86"/>
      <c r="E30" s="88"/>
    </row>
    <row r="31" ht="23.1" customHeight="1">
      <c r="A31" t="s" s="24">
        <v>142</v>
      </c>
      <c r="B31" s="54">
        <v>42.7331692394064</v>
      </c>
      <c r="C31" s="75">
        <v>-73.6798983927157</v>
      </c>
      <c r="D31" s="86"/>
      <c r="E31" s="88"/>
    </row>
    <row r="32" ht="23.1" customHeight="1">
      <c r="A32" t="s" s="21">
        <v>132</v>
      </c>
      <c r="B32" s="46">
        <v>42.7326033187689</v>
      </c>
      <c r="C32" s="73">
        <v>-73.6792189042077</v>
      </c>
      <c r="D32" s="86"/>
      <c r="E32" s="88"/>
    </row>
    <row r="33" ht="23.1" customHeight="1">
      <c r="A33" t="s" s="24">
        <v>138</v>
      </c>
      <c r="B33" s="54">
        <v>42.7328920544551</v>
      </c>
      <c r="C33" s="75">
        <v>-73.678166768821</v>
      </c>
      <c r="D33" s="86"/>
      <c r="E33" s="88"/>
    </row>
    <row r="34" ht="23.1" customHeight="1">
      <c r="A34" t="s" s="21">
        <v>76</v>
      </c>
      <c r="B34" s="46">
        <v>42.7306562926605</v>
      </c>
      <c r="C34" s="73">
        <v>-73.67553824117169</v>
      </c>
      <c r="D34" s="86"/>
      <c r="E34" s="88"/>
    </row>
    <row r="35" ht="23.1" customHeight="1">
      <c r="A35" t="s" s="24">
        <v>166</v>
      </c>
      <c r="B35" s="54">
        <v>42.729251662132</v>
      </c>
      <c r="C35" s="75">
        <v>-73.67700170629379</v>
      </c>
      <c r="D35" s="86"/>
      <c r="E35" s="88"/>
    </row>
    <row r="36" ht="23.1" customHeight="1">
      <c r="A36" t="s" s="21">
        <v>78</v>
      </c>
      <c r="B36" s="46">
        <v>42.7284653662746</v>
      </c>
      <c r="C36" s="73">
        <v>-73.67697292873009</v>
      </c>
      <c r="D36" s="86"/>
      <c r="E36" s="88"/>
    </row>
    <row r="37" ht="23.1" customHeight="1">
      <c r="A37" t="s" s="24">
        <v>154</v>
      </c>
      <c r="B37" s="54">
        <v>42.728805307566</v>
      </c>
      <c r="C37" s="75">
        <v>-73.67691223726879</v>
      </c>
      <c r="D37" s="86"/>
      <c r="E37" s="88"/>
    </row>
    <row r="38" ht="23.1" customHeight="1">
      <c r="A38" t="s" s="21">
        <v>180</v>
      </c>
      <c r="B38" s="46">
        <v>42.7281536327168</v>
      </c>
      <c r="C38" s="73">
        <v>-73.67724499364719</v>
      </c>
      <c r="D38" s="86"/>
      <c r="E38" s="88"/>
    </row>
    <row r="39" ht="23.1" customHeight="1">
      <c r="A39" t="s" s="24">
        <v>112</v>
      </c>
      <c r="B39" s="54">
        <v>42.7282969500132</v>
      </c>
      <c r="C39" s="75">
        <v>-73.6743120995072</v>
      </c>
      <c r="D39" s="86"/>
      <c r="E39" s="88"/>
    </row>
    <row r="40" ht="23.1" customHeight="1">
      <c r="A40" t="s" s="21">
        <v>114</v>
      </c>
      <c r="B40" s="46">
        <v>42.7283076056935</v>
      </c>
      <c r="C40" s="73">
        <v>-73.67350733406759</v>
      </c>
      <c r="D40" s="86"/>
      <c r="E40" s="88"/>
    </row>
    <row r="41" ht="23.1" customHeight="1">
      <c r="A41" t="s" s="24">
        <v>156</v>
      </c>
      <c r="B41" s="54">
        <v>42.727659785464</v>
      </c>
      <c r="C41" s="75">
        <v>-73.67362914253449</v>
      </c>
      <c r="D41" s="86"/>
      <c r="E41" s="88"/>
    </row>
    <row r="42" ht="23.1" customHeight="1">
      <c r="A42" t="s" s="21">
        <v>118</v>
      </c>
      <c r="B42" s="46">
        <v>42.7272453915547</v>
      </c>
      <c r="C42" s="73">
        <v>-73.67408488012831</v>
      </c>
      <c r="D42" s="86"/>
      <c r="E42" s="88"/>
    </row>
    <row r="43" ht="23.1" customHeight="1">
      <c r="A43" t="s" s="24">
        <v>195</v>
      </c>
      <c r="B43" s="54">
        <v>42.7270250661145</v>
      </c>
      <c r="C43" s="75">
        <v>-73.6746479607236</v>
      </c>
      <c r="D43" s="86"/>
      <c r="E43" s="88"/>
    </row>
    <row r="44" ht="23.1" customHeight="1">
      <c r="A44" t="s" s="21">
        <v>160</v>
      </c>
      <c r="B44" s="46">
        <v>42.7274275472005</v>
      </c>
      <c r="C44" s="73">
        <v>-73.6750424434785</v>
      </c>
      <c r="D44" s="86"/>
      <c r="E44" s="88"/>
    </row>
    <row r="45" ht="23.1" customHeight="1">
      <c r="A45" t="s" s="24">
        <v>208</v>
      </c>
      <c r="B45" s="54">
        <v>42.7279134886281</v>
      </c>
      <c r="C45" s="75">
        <v>-73.6752662371224</v>
      </c>
      <c r="D45" s="86"/>
      <c r="E45" s="88"/>
    </row>
    <row r="46" ht="23.1" customHeight="1">
      <c r="A46" t="s" s="21">
        <v>134</v>
      </c>
      <c r="B46" s="46">
        <v>42.7285552030114</v>
      </c>
      <c r="C46" s="73">
        <v>-73.6751461783729</v>
      </c>
      <c r="D46" s="86"/>
      <c r="E46" s="88"/>
    </row>
    <row r="47" ht="23.1" customHeight="1">
      <c r="A47" t="s" s="24">
        <v>102</v>
      </c>
      <c r="B47" s="54">
        <v>42.7288576188582</v>
      </c>
      <c r="C47" s="75">
        <v>-73.6746296811551</v>
      </c>
      <c r="D47" s="86"/>
      <c r="E47" s="88"/>
    </row>
    <row r="48" ht="23.1" customHeight="1">
      <c r="A48" t="s" s="21">
        <v>94</v>
      </c>
      <c r="B48" s="46">
        <v>42.7287299054554</v>
      </c>
      <c r="C48" s="73">
        <v>-73.6737886416314</v>
      </c>
      <c r="D48" s="86"/>
      <c r="E48" s="88"/>
    </row>
    <row r="49" ht="23.1" customHeight="1">
      <c r="A49" t="s" s="24">
        <v>106</v>
      </c>
      <c r="B49" s="54">
        <v>42.7317963596702</v>
      </c>
      <c r="C49" s="75">
        <v>-73.6722539949815</v>
      </c>
      <c r="D49" s="86"/>
      <c r="E49" s="88"/>
    </row>
    <row r="50" ht="23.1" customHeight="1">
      <c r="A50" t="s" s="21">
        <v>98</v>
      </c>
      <c r="B50" s="46">
        <v>42.7310890611734</v>
      </c>
      <c r="C50" s="73">
        <v>-73.67124299833191</v>
      </c>
      <c r="D50" s="86"/>
      <c r="E50" s="88"/>
    </row>
    <row r="51" ht="23.1" customHeight="1">
      <c r="A51" t="s" s="24">
        <v>140</v>
      </c>
      <c r="B51" s="54">
        <v>42.7321437395256</v>
      </c>
      <c r="C51" s="75">
        <v>-73.66965064056549</v>
      </c>
      <c r="D51" s="86"/>
      <c r="E51" s="88"/>
    </row>
    <row r="52" ht="23.1" customHeight="1">
      <c r="A52" t="s" s="21">
        <v>172</v>
      </c>
      <c r="B52" s="46">
        <v>42.7310122669798</v>
      </c>
      <c r="C52" s="73">
        <v>-73.6694188616615</v>
      </c>
      <c r="D52" s="86"/>
      <c r="E52" s="88"/>
    </row>
    <row r="53" ht="23.1" customHeight="1">
      <c r="A53" t="s" s="24">
        <v>130</v>
      </c>
      <c r="B53" s="54">
        <v>42.7288083242615</v>
      </c>
      <c r="C53" s="75">
        <v>-73.6679496547526</v>
      </c>
      <c r="D53" s="86"/>
      <c r="E53" s="88"/>
    </row>
    <row r="54" ht="23.1" customHeight="1">
      <c r="A54" t="s" s="21">
        <v>197</v>
      </c>
      <c r="B54" s="46">
        <v>42.7337312515574</v>
      </c>
      <c r="C54" s="73">
        <v>-73.6649082730455</v>
      </c>
      <c r="D54" s="86"/>
      <c r="E54" s="88"/>
    </row>
    <row r="55" ht="23.1" customHeight="1">
      <c r="A55" t="s" s="24">
        <v>170</v>
      </c>
      <c r="B55" s="54">
        <v>42.734249293852</v>
      </c>
      <c r="C55" s="75">
        <v>-73.6631980548119</v>
      </c>
      <c r="D55" s="86"/>
      <c r="E55" s="88"/>
    </row>
    <row r="56" ht="23.1" customHeight="1">
      <c r="A56" t="s" s="21">
        <v>96</v>
      </c>
      <c r="B56" s="46">
        <v>42.7350010602975</v>
      </c>
      <c r="C56" s="73">
        <v>-73.6639111850773</v>
      </c>
      <c r="D56" s="86"/>
      <c r="E56" s="88"/>
    </row>
    <row r="57" ht="23.1" customHeight="1">
      <c r="A57" t="s" s="24">
        <v>174</v>
      </c>
      <c r="B57" s="54">
        <v>42.7349771351961</v>
      </c>
      <c r="C57" s="75">
        <v>-73.6653996986484</v>
      </c>
      <c r="D57" s="86"/>
      <c r="E57" s="88"/>
    </row>
    <row r="58" ht="23.1" customHeight="1">
      <c r="A58" t="s" s="21">
        <v>110</v>
      </c>
      <c r="B58" s="46">
        <v>42.7370631311934</v>
      </c>
      <c r="C58" s="73">
        <v>-73.6698918455666</v>
      </c>
      <c r="D58" s="86"/>
      <c r="E58" s="88"/>
    </row>
    <row r="59" ht="23.1" customHeight="1">
      <c r="A59" t="s" s="24">
        <v>74</v>
      </c>
      <c r="B59" s="54">
        <v>42.7274495940891</v>
      </c>
      <c r="C59" s="75">
        <v>-73.6786514525317</v>
      </c>
      <c r="D59" s="86"/>
      <c r="E59" s="88"/>
    </row>
    <row r="60" ht="23.1" customHeight="1">
      <c r="A60" t="s" s="21">
        <v>122</v>
      </c>
      <c r="B60" s="46">
        <v>42.732367962673</v>
      </c>
      <c r="C60" s="73">
        <v>-73.6676237933532</v>
      </c>
      <c r="D60" s="86"/>
      <c r="E60" s="88"/>
    </row>
    <row r="61" ht="23.1" customHeight="1">
      <c r="A61" t="s" s="24">
        <v>82</v>
      </c>
      <c r="B61" s="54">
        <v>42.7290866948623</v>
      </c>
      <c r="C61" s="75">
        <v>-73.6740898425949</v>
      </c>
      <c r="D61" s="86"/>
      <c r="E61" s="88"/>
    </row>
    <row r="62" ht="23.1" customHeight="1">
      <c r="A62" t="s" s="21">
        <v>104</v>
      </c>
      <c r="B62" s="46">
        <v>42.7282253057696</v>
      </c>
      <c r="C62" s="73">
        <v>-73.6784512833453</v>
      </c>
      <c r="D62" s="86"/>
      <c r="E62" s="88"/>
    </row>
    <row r="63" ht="23.1" customHeight="1">
      <c r="A63" t="s" s="24">
        <v>162</v>
      </c>
      <c r="B63" s="54">
        <v>42.7277297315786</v>
      </c>
      <c r="C63" s="75">
        <v>-73.681413620707</v>
      </c>
      <c r="D63" s="86"/>
      <c r="E63" s="88"/>
    </row>
    <row r="64" ht="23.1" customHeight="1">
      <c r="A64" t="s" s="21">
        <v>124</v>
      </c>
      <c r="B64" s="46">
        <v>42.7288955249045</v>
      </c>
      <c r="C64" s="73">
        <v>-73.6836128303383</v>
      </c>
      <c r="D64" s="86"/>
      <c r="E64" s="88"/>
    </row>
    <row r="65" ht="23.1" customHeight="1">
      <c r="A65" t="s" s="24">
        <v>92</v>
      </c>
      <c r="B65" s="54">
        <v>42.7326612612087</v>
      </c>
      <c r="C65" s="75">
        <v>-73.6802222033852</v>
      </c>
      <c r="D65" s="86"/>
      <c r="E65" s="88"/>
    </row>
    <row r="66" ht="23.1" customHeight="1">
      <c r="A66" t="s" s="21">
        <v>182</v>
      </c>
      <c r="B66" s="46">
        <v>42.727225286618</v>
      </c>
      <c r="C66" s="73">
        <v>-73.6806606651005</v>
      </c>
      <c r="D66" s="86"/>
      <c r="E66" s="88"/>
    </row>
    <row r="67" ht="23.1" customHeight="1">
      <c r="A67" t="s" s="24">
        <v>199</v>
      </c>
      <c r="B67" s="54">
        <v>42.7330440756996</v>
      </c>
      <c r="C67" s="75">
        <v>-73.6669462049943</v>
      </c>
      <c r="D67" s="86"/>
      <c r="E67" s="88"/>
    </row>
    <row r="68" ht="23.1" customHeight="1">
      <c r="A68" t="s" s="21">
        <v>136</v>
      </c>
      <c r="B68" s="46">
        <v>42.7331555238384</v>
      </c>
      <c r="C68" s="73">
        <v>-73.6689110910544</v>
      </c>
      <c r="D68" s="86"/>
      <c r="E68" s="88"/>
    </row>
    <row r="69" ht="23.1" customHeight="1">
      <c r="A69" t="s" s="24">
        <v>191</v>
      </c>
      <c r="B69" s="54">
        <v>42.7332453932335</v>
      </c>
      <c r="C69" s="75">
        <v>-73.67243780241181</v>
      </c>
      <c r="D69" s="86"/>
      <c r="E69" s="88"/>
    </row>
    <row r="70" ht="23.1" customHeight="1">
      <c r="A70" t="s" s="21">
        <v>67</v>
      </c>
      <c r="B70" s="46">
        <v>42.7303527304942</v>
      </c>
      <c r="C70" s="73">
        <v>-73.6799496283524</v>
      </c>
      <c r="D70" s="86"/>
      <c r="E70" s="88"/>
    </row>
    <row r="71" ht="23.1" customHeight="1">
      <c r="A71" t="s" s="24">
        <v>88</v>
      </c>
      <c r="B71" s="54">
        <v>42.731351135494</v>
      </c>
      <c r="C71" s="75">
        <v>-73.68587001002579</v>
      </c>
      <c r="D71" s="86"/>
      <c r="E71" s="88"/>
    </row>
    <row r="72" ht="23.1" customHeight="1">
      <c r="A72" t="s" s="21">
        <v>212</v>
      </c>
      <c r="B72" s="46">
        <v>42.7309208693319</v>
      </c>
      <c r="C72" s="73">
        <v>-73.68431180246741</v>
      </c>
      <c r="D72" s="86"/>
      <c r="E72" s="88"/>
    </row>
    <row r="73" ht="13.55" customHeight="1">
      <c r="A73" s="68"/>
      <c r="B73" s="69"/>
      <c r="C73" s="69"/>
      <c r="D73" s="39"/>
      <c r="E73" s="4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379"/>
  <sheetViews>
    <sheetView workbookViewId="0" showGridLines="0" defaultGridColor="1"/>
  </sheetViews>
  <sheetFormatPr defaultColWidth="8.83333" defaultRowHeight="14.25" customHeight="1" outlineLevelRow="0" outlineLevelCol="0"/>
  <cols>
    <col min="1" max="1" width="18" style="91" customWidth="1"/>
    <col min="2" max="3" width="23" style="91" customWidth="1"/>
    <col min="4" max="4" width="8.85156" style="91" customWidth="1"/>
    <col min="5" max="5" width="87" style="91" customWidth="1"/>
    <col min="6" max="16384" width="8.85156" style="91" customWidth="1"/>
  </cols>
  <sheetData>
    <row r="1" ht="36" customHeight="1">
      <c r="A1" t="s" s="17">
        <v>1296</v>
      </c>
      <c r="B1" t="s" s="18">
        <v>1297</v>
      </c>
      <c r="C1" t="s" s="19">
        <v>1298</v>
      </c>
      <c r="D1" s="84"/>
      <c r="E1" t="s" s="85">
        <v>1299</v>
      </c>
    </row>
    <row r="2" ht="23.1" customHeight="1">
      <c r="A2" t="s" s="21">
        <v>214</v>
      </c>
      <c r="B2" s="46">
        <v>42.73092087</v>
      </c>
      <c r="C2" s="73">
        <v>-73.6843118</v>
      </c>
      <c r="D2" s="86"/>
      <c r="E2" t="s" s="87">
        <v>1310</v>
      </c>
    </row>
    <row r="3" ht="23.1" customHeight="1">
      <c r="A3" t="s" s="24">
        <v>218</v>
      </c>
      <c r="B3" s="54">
        <v>42.732426129427</v>
      </c>
      <c r="C3" s="75">
        <v>-73.6716057078776</v>
      </c>
      <c r="D3" s="86"/>
      <c r="E3" s="88"/>
    </row>
    <row r="4" ht="23.1" customHeight="1">
      <c r="A4" t="s" s="21">
        <v>219</v>
      </c>
      <c r="B4" s="46">
        <v>42.7330583616459</v>
      </c>
      <c r="C4" s="73">
        <v>-73.6765397817569</v>
      </c>
      <c r="D4" s="86"/>
      <c r="E4" t="s" s="87">
        <v>1301</v>
      </c>
    </row>
    <row r="5" ht="23.1" customHeight="1">
      <c r="A5" t="s" s="24">
        <v>220</v>
      </c>
      <c r="B5" s="54">
        <v>42.7307708305265</v>
      </c>
      <c r="C5" s="75">
        <v>-73.6772241855531</v>
      </c>
      <c r="D5" s="86"/>
      <c r="E5" s="88"/>
    </row>
    <row r="6" ht="23.1" customHeight="1">
      <c r="A6" t="s" s="21">
        <v>221</v>
      </c>
      <c r="B6" s="46">
        <v>42.7306443840828</v>
      </c>
      <c r="C6" s="73">
        <v>-73.6762214544098</v>
      </c>
      <c r="D6" s="86"/>
      <c r="E6" t="s" s="89">
        <v>1302</v>
      </c>
    </row>
    <row r="7" ht="23.1" customHeight="1">
      <c r="A7" t="s" s="24">
        <v>222</v>
      </c>
      <c r="B7" s="54">
        <v>42.7309432574953</v>
      </c>
      <c r="C7" s="75">
        <v>-73.67564846518511</v>
      </c>
      <c r="D7" s="86"/>
      <c r="E7" t="s" s="87">
        <v>1311</v>
      </c>
    </row>
    <row r="8" ht="23.1" customHeight="1">
      <c r="A8" t="s" s="21">
        <v>223</v>
      </c>
      <c r="B8" s="46">
        <v>42.7319088485206</v>
      </c>
      <c r="C8" s="73">
        <v>-73.6746298176746</v>
      </c>
      <c r="D8" s="86"/>
      <c r="E8" s="88"/>
    </row>
    <row r="9" ht="23.1" customHeight="1">
      <c r="A9" t="s" s="24">
        <v>224</v>
      </c>
      <c r="B9" s="54">
        <v>42.7327135077083</v>
      </c>
      <c r="C9" s="75">
        <v>-73.6743114903275</v>
      </c>
      <c r="D9" s="86"/>
      <c r="E9" t="s" s="89">
        <v>1305</v>
      </c>
    </row>
    <row r="10" ht="48" customHeight="1">
      <c r="A10" t="s" s="21">
        <v>225</v>
      </c>
      <c r="B10" s="46">
        <v>42.7309145196672</v>
      </c>
      <c r="C10" s="73">
        <v>-73.6737926167518</v>
      </c>
      <c r="D10" s="86"/>
      <c r="E10" t="s" s="90">
        <v>1312</v>
      </c>
    </row>
    <row r="11" ht="23.1" customHeight="1">
      <c r="A11" t="s" s="24">
        <v>226</v>
      </c>
      <c r="B11" s="54">
        <v>42.7313455870892</v>
      </c>
      <c r="C11" s="75">
        <v>-73.67429557396019</v>
      </c>
      <c r="D11" s="86"/>
      <c r="E11" s="88"/>
    </row>
    <row r="12" ht="23.1" customHeight="1">
      <c r="A12" t="s" s="21">
        <v>227</v>
      </c>
      <c r="B12" s="46">
        <v>42.7312651211704</v>
      </c>
      <c r="C12" s="73">
        <v>-73.6719081188573</v>
      </c>
      <c r="D12" s="86"/>
      <c r="E12" t="s" s="87">
        <v>1307</v>
      </c>
    </row>
    <row r="13" ht="23.1" customHeight="1">
      <c r="A13" t="s" s="24">
        <v>228</v>
      </c>
      <c r="B13" s="54">
        <v>42.7311271795954</v>
      </c>
      <c r="C13" s="75">
        <v>-73.6730381809393</v>
      </c>
      <c r="D13" s="86"/>
      <c r="E13" s="88"/>
    </row>
    <row r="14" ht="23.1" customHeight="1">
      <c r="A14" t="s" s="21">
        <v>229</v>
      </c>
      <c r="B14" s="46">
        <v>42.7325065953458</v>
      </c>
      <c r="C14" s="73">
        <v>-73.6726721044902</v>
      </c>
      <c r="D14" s="86"/>
      <c r="E14" t="s" s="87">
        <v>1308</v>
      </c>
    </row>
    <row r="15" ht="23.1" customHeight="1">
      <c r="A15" t="s" s="24">
        <v>230</v>
      </c>
      <c r="B15" s="54">
        <v>42.7313685773517</v>
      </c>
      <c r="C15" s="75">
        <v>-73.6751073086951</v>
      </c>
      <c r="D15" s="86"/>
      <c r="E15" s="88"/>
    </row>
    <row r="16" ht="23.1" customHeight="1">
      <c r="A16" t="s" s="21">
        <v>231</v>
      </c>
      <c r="B16" s="46">
        <v>42.7306053006365</v>
      </c>
      <c r="C16" s="73">
        <v>-73.6740520535397</v>
      </c>
      <c r="D16" s="86"/>
      <c r="E16" t="s" s="87">
        <v>1309</v>
      </c>
    </row>
    <row r="17" ht="23.1" customHeight="1">
      <c r="A17" t="s" s="24">
        <v>232</v>
      </c>
      <c r="B17" s="54">
        <v>42.7304294251283</v>
      </c>
      <c r="C17" s="75">
        <v>-73.6745868434827</v>
      </c>
      <c r="D17" s="86"/>
      <c r="E17" s="88"/>
    </row>
    <row r="18" ht="23.1" customHeight="1">
      <c r="A18" t="s" s="21">
        <v>233</v>
      </c>
      <c r="B18" s="46">
        <v>42.7303340155389</v>
      </c>
      <c r="C18" s="73">
        <v>-73.6747030329644</v>
      </c>
      <c r="D18" s="86"/>
      <c r="E18" s="88"/>
    </row>
    <row r="19" ht="23.1" customHeight="1">
      <c r="A19" t="s" s="24">
        <v>234</v>
      </c>
      <c r="B19" s="54">
        <v>42.7300857207039</v>
      </c>
      <c r="C19" s="75">
        <v>-73.6750356850421</v>
      </c>
      <c r="D19" s="86"/>
      <c r="E19" s="88"/>
    </row>
    <row r="20" ht="23.1" customHeight="1">
      <c r="A20" t="s" s="21">
        <v>235</v>
      </c>
      <c r="B20" s="46">
        <v>42.7303075767371</v>
      </c>
      <c r="C20" s="73">
        <v>-73.6758617445077</v>
      </c>
      <c r="D20" s="86"/>
      <c r="E20" s="88"/>
    </row>
    <row r="21" ht="23.1" customHeight="1">
      <c r="A21" t="s" s="24">
        <v>236</v>
      </c>
      <c r="B21" s="54">
        <v>42.7307133548703</v>
      </c>
      <c r="C21" s="75">
        <v>-73.6752664723687</v>
      </c>
      <c r="D21" s="86"/>
      <c r="E21" s="88"/>
    </row>
    <row r="22" ht="23.1" customHeight="1">
      <c r="A22" t="s" s="21">
        <v>237</v>
      </c>
      <c r="B22" s="46">
        <v>42.7316674507643</v>
      </c>
      <c r="C22" s="73">
        <v>-73.67221371311039</v>
      </c>
      <c r="D22" s="86"/>
      <c r="E22" s="88"/>
    </row>
    <row r="23" ht="23.1" customHeight="1">
      <c r="A23" t="s" s="24">
        <v>238</v>
      </c>
      <c r="B23" s="54">
        <v>42.7316594041724</v>
      </c>
      <c r="C23" s="75">
        <v>-73.6717967042858</v>
      </c>
      <c r="D23" s="86"/>
      <c r="E23" s="88"/>
    </row>
    <row r="24" ht="23.1" customHeight="1">
      <c r="A24" t="s" s="21">
        <v>239</v>
      </c>
      <c r="B24" s="46">
        <v>42.7316904410268</v>
      </c>
      <c r="C24" s="73">
        <v>-73.6731336791434</v>
      </c>
      <c r="D24" s="86"/>
      <c r="E24" s="88"/>
    </row>
    <row r="25" ht="23.1" customHeight="1">
      <c r="A25" t="s" s="24">
        <v>240</v>
      </c>
      <c r="B25" s="54">
        <v>42.7316525070937</v>
      </c>
      <c r="C25" s="75">
        <v>-73.6729347245515</v>
      </c>
      <c r="D25" s="86"/>
      <c r="E25" s="88"/>
    </row>
    <row r="26" ht="23.1" customHeight="1">
      <c r="A26" t="s" s="21">
        <v>241</v>
      </c>
      <c r="B26" s="46">
        <v>42.7291212791917</v>
      </c>
      <c r="C26" s="73">
        <v>-73.6725208990003</v>
      </c>
      <c r="D26" s="86"/>
      <c r="E26" s="88"/>
    </row>
    <row r="27" ht="23.1" customHeight="1">
      <c r="A27" t="s" s="24">
        <v>242</v>
      </c>
      <c r="B27" s="54">
        <v>42.7295144126806</v>
      </c>
      <c r="C27" s="75">
        <v>-73.67441653835201</v>
      </c>
      <c r="D27" s="86"/>
      <c r="E27" s="88"/>
    </row>
    <row r="28" ht="23.1" customHeight="1">
      <c r="A28" t="s" s="21">
        <v>243</v>
      </c>
      <c r="B28" s="46">
        <v>42.729362676948</v>
      </c>
      <c r="C28" s="73">
        <v>-73.6734360901231</v>
      </c>
      <c r="D28" s="86"/>
      <c r="E28" s="88"/>
    </row>
    <row r="29" ht="23.1" customHeight="1">
      <c r="A29" t="s" s="24">
        <v>244</v>
      </c>
      <c r="B29" s="54">
        <v>42.7292304829386</v>
      </c>
      <c r="C29" s="75">
        <v>-73.6729967983842</v>
      </c>
      <c r="D29" s="86"/>
      <c r="E29" s="88"/>
    </row>
    <row r="30" ht="23.1" customHeight="1">
      <c r="A30" t="s" s="21">
        <v>245</v>
      </c>
      <c r="B30" s="46">
        <v>42.728793667951</v>
      </c>
      <c r="C30" s="73">
        <v>-73.6731177627761</v>
      </c>
      <c r="D30" s="86"/>
      <c r="E30" s="88"/>
    </row>
    <row r="31" ht="23.1" customHeight="1">
      <c r="A31" t="s" s="24">
        <v>246</v>
      </c>
      <c r="B31" s="54">
        <v>42.7286327361135</v>
      </c>
      <c r="C31" s="75">
        <v>-73.6741841593887</v>
      </c>
      <c r="D31" s="86"/>
      <c r="E31" s="88"/>
    </row>
    <row r="32" ht="23.1" customHeight="1">
      <c r="A32" t="s" s="21">
        <v>247</v>
      </c>
      <c r="B32" s="46">
        <v>42.7284488140134</v>
      </c>
      <c r="C32" s="73">
        <v>-73.6733183090047</v>
      </c>
      <c r="D32" s="86"/>
      <c r="E32" s="88"/>
    </row>
    <row r="33" ht="23.1" customHeight="1">
      <c r="A33" t="s" s="24">
        <v>248</v>
      </c>
      <c r="B33" s="54">
        <v>42.729004028853</v>
      </c>
      <c r="C33" s="75">
        <v>-73.6734679228578</v>
      </c>
      <c r="D33" s="86"/>
      <c r="E33" s="88"/>
    </row>
    <row r="34" ht="23.1" customHeight="1">
      <c r="A34" t="s" s="21">
        <v>249</v>
      </c>
      <c r="B34" s="46">
        <v>42.7288339009104</v>
      </c>
      <c r="C34" s="73">
        <v>-73.67378306693141</v>
      </c>
      <c r="D34" s="86"/>
      <c r="E34" s="88"/>
    </row>
    <row r="35" ht="23.1" customHeight="1">
      <c r="A35" t="s" s="24">
        <v>250</v>
      </c>
      <c r="B35" s="54">
        <v>42.728839648476</v>
      </c>
      <c r="C35" s="75">
        <v>-73.6740886611846</v>
      </c>
      <c r="D35" s="86"/>
      <c r="E35" s="88"/>
    </row>
    <row r="36" ht="23.1" customHeight="1">
      <c r="A36" t="s" s="21">
        <v>251</v>
      </c>
      <c r="B36" s="46">
        <v>42.7289339085523</v>
      </c>
      <c r="C36" s="73">
        <v>-73.6744292714459</v>
      </c>
      <c r="D36" s="86"/>
      <c r="E36" s="88"/>
    </row>
    <row r="37" ht="23.1" customHeight="1">
      <c r="A37" t="s" s="24">
        <v>252</v>
      </c>
      <c r="B37" s="54">
        <v>42.7292649683324</v>
      </c>
      <c r="C37" s="75">
        <v>-73.6746298176746</v>
      </c>
      <c r="D37" s="86"/>
      <c r="E37" s="88"/>
    </row>
    <row r="38" ht="23.1" customHeight="1">
      <c r="A38" t="s" s="21">
        <v>253</v>
      </c>
      <c r="B38" s="46">
        <v>42.7285177848009</v>
      </c>
      <c r="C38" s="73">
        <v>-73.6745438692909</v>
      </c>
      <c r="D38" s="86"/>
      <c r="E38" s="88"/>
    </row>
    <row r="39" ht="23.1" customHeight="1">
      <c r="A39" t="s" s="24">
        <v>254</v>
      </c>
      <c r="B39" s="54">
        <v>42.7283143209778</v>
      </c>
      <c r="C39" s="75">
        <v>-73.6747157660583</v>
      </c>
      <c r="D39" s="86"/>
      <c r="E39" s="88"/>
    </row>
    <row r="40" ht="23.1" customHeight="1">
      <c r="A40" t="s" s="21">
        <v>255</v>
      </c>
      <c r="B40" s="46">
        <v>42.7281039600758</v>
      </c>
      <c r="C40" s="73">
        <v>-73.6737225847355</v>
      </c>
      <c r="D40" s="86"/>
      <c r="E40" s="88"/>
    </row>
    <row r="41" ht="23.1" customHeight="1">
      <c r="A41" t="s" s="24">
        <v>256</v>
      </c>
      <c r="B41" s="54">
        <v>42.7284488140134</v>
      </c>
      <c r="C41" s="75">
        <v>-73.67389766477631</v>
      </c>
      <c r="D41" s="86"/>
      <c r="E41" s="88"/>
    </row>
    <row r="42" ht="23.1" customHeight="1">
      <c r="A42" t="s" s="21">
        <v>257</v>
      </c>
      <c r="B42" s="46">
        <v>42.7280005038946</v>
      </c>
      <c r="C42" s="73">
        <v>-73.6728790172658</v>
      </c>
      <c r="D42" s="86"/>
      <c r="E42" s="88"/>
    </row>
    <row r="43" ht="23.1" customHeight="1">
      <c r="A43" t="s" s="24">
        <v>258</v>
      </c>
      <c r="B43" s="54">
        <v>42.7288511436073</v>
      </c>
      <c r="C43" s="75">
        <v>-73.6749958941237</v>
      </c>
      <c r="D43" s="86"/>
      <c r="E43" s="88"/>
    </row>
    <row r="44" ht="23.1" customHeight="1">
      <c r="A44" t="s" s="21">
        <v>259</v>
      </c>
      <c r="B44" s="46">
        <v>42.7290005803136</v>
      </c>
      <c r="C44" s="73">
        <v>-73.6753221796544</v>
      </c>
      <c r="D44" s="86"/>
      <c r="E44" s="88"/>
    </row>
    <row r="45" ht="23.1" customHeight="1">
      <c r="A45" t="s" s="24">
        <v>260</v>
      </c>
      <c r="B45" s="54">
        <v>42.7292488751486</v>
      </c>
      <c r="C45" s="75">
        <v>-73.6757344135688</v>
      </c>
      <c r="D45" s="86"/>
      <c r="E45" s="88"/>
    </row>
    <row r="46" ht="23.1" customHeight="1">
      <c r="A46" t="s" s="21">
        <v>261</v>
      </c>
      <c r="B46" s="46">
        <v>42.728766079636</v>
      </c>
      <c r="C46" s="73">
        <v>-73.6754861182381</v>
      </c>
      <c r="D46" s="86"/>
      <c r="E46" s="88"/>
    </row>
    <row r="47" ht="23.1" customHeight="1">
      <c r="A47" t="s" s="24">
        <v>262</v>
      </c>
      <c r="B47" s="54">
        <v>42.7284143286197</v>
      </c>
      <c r="C47" s="75">
        <v>-73.6755370506137</v>
      </c>
      <c r="D47" s="86"/>
      <c r="E47" s="88"/>
    </row>
    <row r="48" ht="23.1" customHeight="1">
      <c r="A48" t="s" s="21">
        <v>263</v>
      </c>
      <c r="B48" s="46">
        <v>42.7279165894364</v>
      </c>
      <c r="C48" s="73">
        <v>-73.6747030329644</v>
      </c>
      <c r="D48" s="86"/>
      <c r="E48" s="88"/>
    </row>
    <row r="49" ht="23.1" customHeight="1">
      <c r="A49" t="s" s="24">
        <v>264</v>
      </c>
      <c r="B49" s="54">
        <v>42.7278361235176</v>
      </c>
      <c r="C49" s="75">
        <v>-73.67399316298049</v>
      </c>
      <c r="D49" s="86"/>
      <c r="E49" s="88"/>
    </row>
    <row r="50" ht="23.1" customHeight="1">
      <c r="A50" t="s" s="21">
        <v>265</v>
      </c>
      <c r="B50" s="46">
        <v>42.7274257473319</v>
      </c>
      <c r="C50" s="73">
        <v>-73.6741968924826</v>
      </c>
      <c r="D50" s="86"/>
      <c r="E50" s="88"/>
    </row>
    <row r="51" ht="23.1" customHeight="1">
      <c r="A51" t="s" s="24">
        <v>266</v>
      </c>
      <c r="B51" s="54">
        <v>42.7274441395419</v>
      </c>
      <c r="C51" s="75">
        <v>-73.6747014413277</v>
      </c>
      <c r="D51" s="86"/>
      <c r="E51" s="88"/>
    </row>
    <row r="52" ht="23.1" customHeight="1">
      <c r="A52" t="s" s="21">
        <v>267</v>
      </c>
      <c r="B52" s="46">
        <v>42.7271889476281</v>
      </c>
      <c r="C52" s="73">
        <v>-73.67474123224601</v>
      </c>
      <c r="D52" s="86"/>
      <c r="E52" s="88"/>
    </row>
    <row r="53" ht="23.1" customHeight="1">
      <c r="A53" t="s" s="24">
        <v>268</v>
      </c>
      <c r="B53" s="54">
        <v>42.7271429671031</v>
      </c>
      <c r="C53" s="75">
        <v>-73.6742860241398</v>
      </c>
      <c r="D53" s="86"/>
      <c r="E53" s="88"/>
    </row>
    <row r="54" ht="23.1" customHeight="1">
      <c r="A54" t="s" s="21">
        <v>269</v>
      </c>
      <c r="B54" s="46">
        <v>42.7280441853933</v>
      </c>
      <c r="C54" s="73">
        <v>-73.6739294975111</v>
      </c>
      <c r="D54" s="86"/>
      <c r="E54" s="88"/>
    </row>
    <row r="55" ht="23.1" customHeight="1">
      <c r="A55" t="s" s="24">
        <v>270</v>
      </c>
      <c r="B55" s="54">
        <v>42.729793744370</v>
      </c>
      <c r="C55" s="75">
        <v>-73.6757662463036</v>
      </c>
      <c r="D55" s="86"/>
      <c r="E55" s="88"/>
    </row>
    <row r="56" ht="23.1" customHeight="1">
      <c r="A56" t="s" s="21">
        <v>271</v>
      </c>
      <c r="B56" s="46">
        <v>42.7300581323889</v>
      </c>
      <c r="C56" s="73">
        <v>-73.6774263234184</v>
      </c>
      <c r="D56" s="86"/>
      <c r="E56" s="88"/>
    </row>
    <row r="57" ht="23.1" customHeight="1">
      <c r="A57" t="s" s="24">
        <v>272</v>
      </c>
      <c r="B57" s="54">
        <v>42.7295109641412</v>
      </c>
      <c r="C57" s="75">
        <v>-73.6764983992018</v>
      </c>
      <c r="D57" s="86"/>
      <c r="E57" s="88"/>
    </row>
    <row r="58" ht="23.1" customHeight="1">
      <c r="A58" t="s" s="21">
        <v>273</v>
      </c>
      <c r="B58" s="46">
        <v>42.7302822874483</v>
      </c>
      <c r="C58" s="73">
        <v>-73.6780884443003</v>
      </c>
      <c r="D58" s="86"/>
      <c r="E58" s="88"/>
    </row>
    <row r="59" ht="23.1" customHeight="1">
      <c r="A59" t="s" s="24">
        <v>274</v>
      </c>
      <c r="B59" s="54">
        <v>42.730517937639</v>
      </c>
      <c r="C59" s="75">
        <v>-73.678035920288</v>
      </c>
      <c r="D59" s="86"/>
      <c r="E59" s="88"/>
    </row>
    <row r="60" ht="23.1" customHeight="1">
      <c r="A60" t="s" s="21">
        <v>275</v>
      </c>
      <c r="B60" s="46">
        <v>42.7300121518638</v>
      </c>
      <c r="C60" s="73">
        <v>-73.6785134113086</v>
      </c>
      <c r="D60" s="86"/>
      <c r="E60" s="88"/>
    </row>
    <row r="61" ht="23.1" customHeight="1">
      <c r="A61" t="s" s="24">
        <v>276</v>
      </c>
      <c r="B61" s="54">
        <v>42.7295753368762</v>
      </c>
      <c r="C61" s="75">
        <v>-73.6785929931454</v>
      </c>
      <c r="D61" s="86"/>
      <c r="E61" s="88"/>
    </row>
    <row r="62" ht="23.1" customHeight="1">
      <c r="A62" t="s" s="21">
        <v>277</v>
      </c>
      <c r="B62" s="46">
        <v>42.7293799196449</v>
      </c>
      <c r="C62" s="73">
        <v>-73.6779722548186</v>
      </c>
      <c r="D62" s="86"/>
      <c r="E62" s="88"/>
    </row>
    <row r="63" ht="23.1" customHeight="1">
      <c r="A63" t="s" s="24">
        <v>278</v>
      </c>
      <c r="B63" s="54">
        <v>42.7292948556737</v>
      </c>
      <c r="C63" s="75">
        <v>-73.67737857431641</v>
      </c>
      <c r="D63" s="86"/>
      <c r="E63" s="88"/>
    </row>
    <row r="64" ht="23.1" customHeight="1">
      <c r="A64" t="s" s="21">
        <v>279</v>
      </c>
      <c r="B64" s="46">
        <v>42.7298052395013</v>
      </c>
      <c r="C64" s="73">
        <v>-73.6779515635411</v>
      </c>
      <c r="D64" s="86"/>
      <c r="E64" s="88"/>
    </row>
    <row r="65" ht="23.1" customHeight="1">
      <c r="A65" t="s" s="24">
        <v>280</v>
      </c>
      <c r="B65" s="54">
        <v>42.729609822270</v>
      </c>
      <c r="C65" s="75">
        <v>-73.67924556420679</v>
      </c>
      <c r="D65" s="86"/>
      <c r="E65" s="88"/>
    </row>
    <row r="66" ht="23.1" customHeight="1">
      <c r="A66" t="s" s="21">
        <v>281</v>
      </c>
      <c r="B66" s="46">
        <v>42.7310582088079</v>
      </c>
      <c r="C66" s="73">
        <v>-73.6792773969415</v>
      </c>
      <c r="D66" s="86"/>
      <c r="E66" s="88"/>
    </row>
    <row r="67" ht="23.1" customHeight="1">
      <c r="A67" t="s" s="24">
        <v>282</v>
      </c>
      <c r="B67" s="54">
        <v>42.7306673743453</v>
      </c>
      <c r="C67" s="75">
        <v>-73.67938085332931</v>
      </c>
      <c r="D67" s="86"/>
      <c r="E67" s="88"/>
    </row>
    <row r="68" ht="23.1" customHeight="1">
      <c r="A68" t="s" s="21">
        <v>283</v>
      </c>
      <c r="B68" s="46">
        <v>42.7302569981595</v>
      </c>
      <c r="C68" s="73">
        <v>-73.679016368517</v>
      </c>
      <c r="D68" s="86"/>
      <c r="E68" s="88"/>
    </row>
    <row r="69" ht="23.1" customHeight="1">
      <c r="A69" t="s" s="24">
        <v>284</v>
      </c>
      <c r="B69" s="54">
        <v>42.7298972005513</v>
      </c>
      <c r="C69" s="75">
        <v>-73.6793490205946</v>
      </c>
      <c r="D69" s="86"/>
      <c r="E69" s="88"/>
    </row>
    <row r="70" ht="23.1" customHeight="1">
      <c r="A70" t="s" s="21">
        <v>285</v>
      </c>
      <c r="B70" s="46">
        <v>42.7299891616013</v>
      </c>
      <c r="C70" s="73">
        <v>-73.6806080052522</v>
      </c>
      <c r="D70" s="86"/>
      <c r="E70" s="88"/>
    </row>
    <row r="71" ht="23.1" customHeight="1">
      <c r="A71" t="s" s="24">
        <v>286</v>
      </c>
      <c r="B71" s="54">
        <v>42.7303650523933</v>
      </c>
      <c r="C71" s="75">
        <v>-73.6808690336768</v>
      </c>
      <c r="D71" s="86"/>
      <c r="E71" s="88"/>
    </row>
    <row r="72" ht="23.1" customHeight="1">
      <c r="A72" t="s" s="21">
        <v>287</v>
      </c>
      <c r="B72" s="46">
        <v>42.7307524383165</v>
      </c>
      <c r="C72" s="73">
        <v>-73.6803278771868</v>
      </c>
      <c r="D72" s="86"/>
      <c r="E72" s="88"/>
    </row>
    <row r="73" ht="23.1" customHeight="1">
      <c r="A73" t="s" s="24">
        <v>288</v>
      </c>
      <c r="B73" s="54">
        <v>42.7308168110516</v>
      </c>
      <c r="C73" s="75">
        <v>-73.68091678277889</v>
      </c>
      <c r="D73" s="86"/>
      <c r="E73" s="88"/>
    </row>
    <row r="74" ht="23.1" customHeight="1">
      <c r="A74" t="s" s="21">
        <v>289</v>
      </c>
      <c r="B74" s="46">
        <v>42.7306880655815</v>
      </c>
      <c r="C74" s="73">
        <v>-73.6798249199785</v>
      </c>
      <c r="D74" s="86"/>
      <c r="E74" s="88"/>
    </row>
    <row r="75" ht="23.1" customHeight="1">
      <c r="A75" t="s" s="24">
        <v>290</v>
      </c>
      <c r="B75" s="54">
        <v>42.7296443076638</v>
      </c>
      <c r="C75" s="75">
        <v>-73.679659389758</v>
      </c>
      <c r="D75" s="86"/>
      <c r="E75" s="88"/>
    </row>
    <row r="76" ht="23.1" customHeight="1">
      <c r="A76" t="s" s="21">
        <v>291</v>
      </c>
      <c r="B76" s="46">
        <v>42.7299167422744</v>
      </c>
      <c r="C76" s="73">
        <v>-73.6796959974029</v>
      </c>
      <c r="D76" s="86"/>
      <c r="E76" s="88"/>
    </row>
    <row r="77" ht="23.1" customHeight="1">
      <c r="A77" t="s" s="24">
        <v>292</v>
      </c>
      <c r="B77" s="54">
        <v>42.7296845406231</v>
      </c>
      <c r="C77" s="75">
        <v>-73.6801575720561</v>
      </c>
      <c r="D77" s="86"/>
      <c r="E77" s="88"/>
    </row>
    <row r="78" ht="23.1" customHeight="1">
      <c r="A78" t="s" s="21">
        <v>293</v>
      </c>
      <c r="B78" s="46">
        <v>42.7297902958307</v>
      </c>
      <c r="C78" s="73">
        <v>-73.68095975697069</v>
      </c>
      <c r="D78" s="86"/>
      <c r="E78" s="88"/>
    </row>
    <row r="79" ht="23.1" customHeight="1">
      <c r="A79" t="s" s="24">
        <v>294</v>
      </c>
      <c r="B79" s="54">
        <v>42.7304604619827</v>
      </c>
      <c r="C79" s="75">
        <v>-73.6789542946843</v>
      </c>
      <c r="D79" s="86"/>
      <c r="E79" s="88"/>
    </row>
    <row r="80" ht="23.1" customHeight="1">
      <c r="A80" t="s" s="21">
        <v>295</v>
      </c>
      <c r="B80" s="46">
        <v>42.7304294251283</v>
      </c>
      <c r="C80" s="73">
        <v>-73.6785516105903</v>
      </c>
      <c r="D80" s="86"/>
      <c r="E80" s="88"/>
    </row>
    <row r="81" ht="23.1" customHeight="1">
      <c r="A81" t="s" s="24">
        <v>296</v>
      </c>
      <c r="B81" s="54">
        <v>42.7309283138247</v>
      </c>
      <c r="C81" s="75">
        <v>-73.678414729831</v>
      </c>
      <c r="D81" s="86"/>
      <c r="E81" s="88"/>
    </row>
    <row r="82" ht="23.1" customHeight="1">
      <c r="A82" t="s" s="21">
        <v>297</v>
      </c>
      <c r="B82" s="46">
        <v>42.730609898689</v>
      </c>
      <c r="C82" s="73">
        <v>-73.6811666697463</v>
      </c>
      <c r="D82" s="86"/>
      <c r="E82" s="88"/>
    </row>
    <row r="83" ht="23.1" customHeight="1">
      <c r="A83" t="s" s="24">
        <v>298</v>
      </c>
      <c r="B83" s="54">
        <v>42.7300064042982</v>
      </c>
      <c r="C83" s="75">
        <v>-73.68090086641151</v>
      </c>
      <c r="D83" s="86"/>
      <c r="E83" s="88"/>
    </row>
    <row r="84" ht="23.1" customHeight="1">
      <c r="A84" t="s" s="21">
        <v>299</v>
      </c>
      <c r="B84" s="46">
        <v>42.729839724895</v>
      </c>
      <c r="C84" s="73">
        <v>-73.6816330193097</v>
      </c>
      <c r="D84" s="86"/>
      <c r="E84" s="88"/>
    </row>
    <row r="85" ht="23.1" customHeight="1">
      <c r="A85" t="s" s="24">
        <v>300</v>
      </c>
      <c r="B85" s="54">
        <v>42.7297247735825</v>
      </c>
      <c r="C85" s="75">
        <v>-73.68160118657499</v>
      </c>
      <c r="D85" s="86"/>
      <c r="E85" s="88"/>
    </row>
    <row r="86" ht="23.1" customHeight="1">
      <c r="A86" t="s" s="21">
        <v>301</v>
      </c>
      <c r="B86" s="46">
        <v>42.7297247735825</v>
      </c>
      <c r="C86" s="73">
        <v>-73.6817921829833</v>
      </c>
      <c r="D86" s="86"/>
      <c r="E86" s="88"/>
    </row>
    <row r="87" ht="23.1" customHeight="1">
      <c r="A87" t="s" s="24">
        <v>302</v>
      </c>
      <c r="B87" s="54">
        <v>42.729839724895</v>
      </c>
      <c r="C87" s="75">
        <v>-73.6817921829833</v>
      </c>
      <c r="D87" s="86"/>
      <c r="E87" s="88"/>
    </row>
    <row r="88" ht="23.1" customHeight="1">
      <c r="A88" t="s" s="21">
        <v>303</v>
      </c>
      <c r="B88" s="46">
        <v>42.7300121518638</v>
      </c>
      <c r="C88" s="73">
        <v>-73.6816966847791</v>
      </c>
      <c r="D88" s="86"/>
      <c r="E88" s="88"/>
    </row>
    <row r="89" ht="23.1" customHeight="1">
      <c r="A89" t="s" s="24">
        <v>304</v>
      </c>
      <c r="B89" s="54">
        <v>42.7301776817539</v>
      </c>
      <c r="C89" s="75">
        <v>-73.6817126011465</v>
      </c>
      <c r="D89" s="86"/>
      <c r="E89" s="88"/>
    </row>
    <row r="90" ht="23.1" customHeight="1">
      <c r="A90" t="s" s="21">
        <v>305</v>
      </c>
      <c r="B90" s="46">
        <v>42.7298822568807</v>
      </c>
      <c r="C90" s="73">
        <v>-73.6816998680526</v>
      </c>
      <c r="D90" s="86"/>
      <c r="E90" s="88"/>
    </row>
    <row r="91" ht="23.1" customHeight="1">
      <c r="A91" t="s" s="24">
        <v>306</v>
      </c>
      <c r="B91" s="54">
        <v>42.7303719494721</v>
      </c>
      <c r="C91" s="75">
        <v>-73.68174443388121</v>
      </c>
      <c r="D91" s="86"/>
      <c r="E91" s="88"/>
    </row>
    <row r="92" ht="23.1" customHeight="1">
      <c r="A92" t="s" s="21">
        <v>307</v>
      </c>
      <c r="B92" s="46">
        <v>42.730425976589</v>
      </c>
      <c r="C92" s="73">
        <v>-73.68157253711379</v>
      </c>
      <c r="D92" s="86"/>
      <c r="E92" s="88"/>
    </row>
    <row r="93" ht="23.1" customHeight="1">
      <c r="A93" t="s" s="24">
        <v>308</v>
      </c>
      <c r="B93" s="54">
        <v>42.7303236699208</v>
      </c>
      <c r="C93" s="75">
        <v>-73.6814738556362</v>
      </c>
      <c r="D93" s="86"/>
      <c r="E93" s="88"/>
    </row>
    <row r="94" ht="23.1" customHeight="1">
      <c r="A94" t="s" s="21">
        <v>309</v>
      </c>
      <c r="B94" s="46">
        <v>42.7301466448995</v>
      </c>
      <c r="C94" s="73">
        <v>-73.6812303352157</v>
      </c>
      <c r="D94" s="86"/>
      <c r="E94" s="88"/>
    </row>
    <row r="95" ht="23.1" customHeight="1">
      <c r="A95" t="s" s="24">
        <v>310</v>
      </c>
      <c r="B95" s="54">
        <v>42.7303730989852</v>
      </c>
      <c r="C95" s="75">
        <v>-73.68118258611359</v>
      </c>
      <c r="D95" s="86"/>
      <c r="E95" s="88"/>
    </row>
    <row r="96" ht="23.1" customHeight="1">
      <c r="A96" t="s" s="21">
        <v>311</v>
      </c>
      <c r="B96" s="46">
        <v>42.7306432345696</v>
      </c>
      <c r="C96" s="73">
        <v>-73.6817683084322</v>
      </c>
      <c r="D96" s="86"/>
      <c r="E96" s="88"/>
    </row>
    <row r="97" ht="23.1" customHeight="1">
      <c r="A97" t="s" s="24">
        <v>312</v>
      </c>
      <c r="B97" s="54">
        <v>42.7304144814577</v>
      </c>
      <c r="C97" s="75">
        <v>-73.6821105103303</v>
      </c>
      <c r="D97" s="86"/>
      <c r="E97" s="88"/>
    </row>
    <row r="98" ht="23.1" customHeight="1">
      <c r="A98" t="s" s="21">
        <v>313</v>
      </c>
      <c r="B98" s="46">
        <v>42.730545525954</v>
      </c>
      <c r="C98" s="73">
        <v>-73.6821741757997</v>
      </c>
      <c r="D98" s="86"/>
      <c r="E98" s="88"/>
    </row>
    <row r="99" ht="23.1" customHeight="1">
      <c r="A99" t="s" s="24">
        <v>314</v>
      </c>
      <c r="B99" s="54">
        <v>42.7304489668515</v>
      </c>
      <c r="C99" s="75">
        <v>-73.6826723580979</v>
      </c>
      <c r="D99" s="86"/>
      <c r="E99" s="88"/>
    </row>
    <row r="100" ht="23.1" customHeight="1">
      <c r="A100" t="s" s="21">
        <v>315</v>
      </c>
      <c r="B100" s="46">
        <v>42.7302374564364</v>
      </c>
      <c r="C100" s="73">
        <v>-73.68229195691811</v>
      </c>
      <c r="D100" s="86"/>
      <c r="E100" s="88"/>
    </row>
    <row r="101" ht="23.1" customHeight="1">
      <c r="A101" t="s" s="24">
        <v>316</v>
      </c>
      <c r="B101" s="54">
        <v>42.730628290899</v>
      </c>
      <c r="C101" s="75">
        <v>-73.68072101146041</v>
      </c>
      <c r="D101" s="86"/>
      <c r="E101" s="88"/>
    </row>
    <row r="102" ht="23.1" customHeight="1">
      <c r="A102" t="s" s="21">
        <v>317</v>
      </c>
      <c r="B102" s="46">
        <v>42.7293799196449</v>
      </c>
      <c r="C102" s="73">
        <v>-73.6813942737994</v>
      </c>
      <c r="D102" s="86"/>
      <c r="E102" s="88"/>
    </row>
    <row r="103" ht="23.1" customHeight="1">
      <c r="A103" t="s" s="24">
        <v>318</v>
      </c>
      <c r="B103" s="54">
        <v>42.7295063660887</v>
      </c>
      <c r="C103" s="75">
        <v>-73.681036155534</v>
      </c>
      <c r="D103" s="86"/>
      <c r="E103" s="88"/>
    </row>
    <row r="104" ht="23.1" customHeight="1">
      <c r="A104" t="s" s="21">
        <v>319</v>
      </c>
      <c r="B104" s="46">
        <v>42.7293799196449</v>
      </c>
      <c r="C104" s="73">
        <v>-73.6819513466568</v>
      </c>
      <c r="D104" s="86"/>
      <c r="E104" s="88"/>
    </row>
    <row r="105" ht="23.1" customHeight="1">
      <c r="A105" t="s" s="24">
        <v>320</v>
      </c>
      <c r="B105" s="54">
        <v>42.728325816109</v>
      </c>
      <c r="C105" s="75">
        <v>-73.6807528441951</v>
      </c>
      <c r="D105" s="86"/>
      <c r="E105" s="88"/>
    </row>
    <row r="106" ht="23.1" customHeight="1">
      <c r="A106" t="s" s="21">
        <v>321</v>
      </c>
      <c r="B106" s="46">
        <v>42.7295201602462</v>
      </c>
      <c r="C106" s="73">
        <v>-73.6784465625657</v>
      </c>
      <c r="D106" s="86"/>
      <c r="E106" s="88"/>
    </row>
    <row r="107" ht="23.1" customHeight="1">
      <c r="A107" t="s" s="24">
        <v>322</v>
      </c>
      <c r="B107" s="54">
        <v>42.7290005803136</v>
      </c>
      <c r="C107" s="75">
        <v>-73.6785181862188</v>
      </c>
      <c r="D107" s="86"/>
      <c r="E107" s="88"/>
    </row>
    <row r="108" ht="23.1" customHeight="1">
      <c r="A108" t="s" s="21">
        <v>323</v>
      </c>
      <c r="B108" s="46">
        <v>42.7294419933537</v>
      </c>
      <c r="C108" s="73">
        <v>-73.67823487487991</v>
      </c>
      <c r="D108" s="86"/>
      <c r="E108" s="88"/>
    </row>
    <row r="109" ht="23.1" customHeight="1">
      <c r="A109" t="s" s="24">
        <v>324</v>
      </c>
      <c r="B109" s="54">
        <v>42.7285177848009</v>
      </c>
      <c r="C109" s="75">
        <v>-73.6786502920678</v>
      </c>
      <c r="D109" s="86"/>
      <c r="E109" s="88"/>
    </row>
    <row r="110" ht="23.1" customHeight="1">
      <c r="A110" t="s" s="21">
        <v>325</v>
      </c>
      <c r="B110" s="46">
        <v>42.7286672215072</v>
      </c>
      <c r="C110" s="73">
        <v>-73.6798822189009</v>
      </c>
      <c r="D110" s="86"/>
      <c r="E110" s="88"/>
    </row>
    <row r="111" ht="23.1" customHeight="1">
      <c r="A111" t="s" s="24">
        <v>326</v>
      </c>
      <c r="B111" s="54">
        <v>42.7290810462323</v>
      </c>
      <c r="C111" s="75">
        <v>-73.6812128272116</v>
      </c>
      <c r="D111" s="86"/>
      <c r="E111" s="88"/>
    </row>
    <row r="112" ht="23.1" customHeight="1">
      <c r="A112" t="s" s="21">
        <v>327</v>
      </c>
      <c r="B112" s="46">
        <v>42.7289764405379</v>
      </c>
      <c r="C112" s="73">
        <v>-73.6816966847791</v>
      </c>
      <c r="D112" s="86"/>
      <c r="E112" s="88"/>
    </row>
    <row r="113" ht="23.1" customHeight="1">
      <c r="A113" t="s" s="24">
        <v>328</v>
      </c>
      <c r="B113" s="54">
        <v>42.7290925413636</v>
      </c>
      <c r="C113" s="75">
        <v>-73.6804026841134</v>
      </c>
      <c r="D113" s="86"/>
      <c r="E113" s="88"/>
    </row>
    <row r="114" ht="23.1" customHeight="1">
      <c r="A114" t="s" s="21">
        <v>329</v>
      </c>
      <c r="B114" s="46">
        <v>42.7291845024136</v>
      </c>
      <c r="C114" s="73">
        <v>-73.6798599359866</v>
      </c>
      <c r="D114" s="86"/>
      <c r="E114" s="88"/>
    </row>
    <row r="115" ht="23.1" customHeight="1">
      <c r="A115" t="s" s="24">
        <v>330</v>
      </c>
      <c r="B115" s="54">
        <v>42.7292051936499</v>
      </c>
      <c r="C115" s="75">
        <v>-73.6810472969912</v>
      </c>
      <c r="D115" s="86"/>
      <c r="E115" s="88"/>
    </row>
    <row r="116" ht="23.1" customHeight="1">
      <c r="A116" t="s" s="21">
        <v>331</v>
      </c>
      <c r="B116" s="46">
        <v>42.728784471846</v>
      </c>
      <c r="C116" s="73">
        <v>-73.681330608330</v>
      </c>
      <c r="D116" s="86"/>
      <c r="E116" s="88"/>
    </row>
    <row r="117" ht="23.1" customHeight="1">
      <c r="A117" t="s" s="24">
        <v>332</v>
      </c>
      <c r="B117" s="54">
        <v>42.7286327361135</v>
      </c>
      <c r="C117" s="75">
        <v>-73.6812064606647</v>
      </c>
      <c r="D117" s="86"/>
      <c r="E117" s="88"/>
    </row>
    <row r="118" ht="23.1" customHeight="1">
      <c r="A118" t="s" s="21">
        <v>333</v>
      </c>
      <c r="B118" s="46">
        <v>42.7283936373834</v>
      </c>
      <c r="C118" s="73">
        <v>-73.68121760212181</v>
      </c>
      <c r="D118" s="86"/>
      <c r="E118" s="88"/>
    </row>
    <row r="119" ht="23.1" customHeight="1">
      <c r="A119" t="s" s="24">
        <v>334</v>
      </c>
      <c r="B119" s="54">
        <v>42.7286419322185</v>
      </c>
      <c r="C119" s="75">
        <v>-73.6815741287505</v>
      </c>
      <c r="D119" s="86"/>
      <c r="E119" s="88"/>
    </row>
    <row r="120" ht="23.1" customHeight="1">
      <c r="A120" t="s" s="21">
        <v>335</v>
      </c>
      <c r="B120" s="46">
        <v>42.7286292875741</v>
      </c>
      <c r="C120" s="73">
        <v>-73.6819195139221</v>
      </c>
      <c r="D120" s="86"/>
      <c r="E120" s="88"/>
    </row>
    <row r="121" ht="23.1" customHeight="1">
      <c r="A121" t="s" s="24">
        <v>336</v>
      </c>
      <c r="B121" s="54">
        <v>42.7285120372353</v>
      </c>
      <c r="C121" s="75">
        <v>-73.6819163306486</v>
      </c>
      <c r="D121" s="86"/>
      <c r="E121" s="88"/>
    </row>
    <row r="122" ht="23.1" customHeight="1">
      <c r="A122" t="s" s="21">
        <v>337</v>
      </c>
      <c r="B122" s="46">
        <v>42.7287499864523</v>
      </c>
      <c r="C122" s="73">
        <v>-73.68214870961199</v>
      </c>
      <c r="D122" s="86"/>
      <c r="E122" s="88"/>
    </row>
    <row r="123" ht="23.1" customHeight="1">
      <c r="A123" t="s" s="24">
        <v>338</v>
      </c>
      <c r="B123" s="54">
        <v>42.7289568988148</v>
      </c>
      <c r="C123" s="75">
        <v>-73.68226330745691</v>
      </c>
      <c r="D123" s="86"/>
      <c r="E123" s="88"/>
    </row>
    <row r="124" ht="23.1" customHeight="1">
      <c r="A124" t="s" s="21">
        <v>339</v>
      </c>
      <c r="B124" s="46">
        <v>42.7287361922948</v>
      </c>
      <c r="C124" s="73">
        <v>-73.68269464101211</v>
      </c>
      <c r="D124" s="86"/>
      <c r="E124" s="88"/>
    </row>
    <row r="125" ht="23.1" customHeight="1">
      <c r="A125" t="s" s="24">
        <v>340</v>
      </c>
      <c r="B125" s="54">
        <v>42.728876432896</v>
      </c>
      <c r="C125" s="75">
        <v>-73.682497278057</v>
      </c>
      <c r="D125" s="86"/>
      <c r="E125" s="88"/>
    </row>
    <row r="126" ht="23.1" customHeight="1">
      <c r="A126" t="s" s="21">
        <v>341</v>
      </c>
      <c r="B126" s="46">
        <v>42.7311386747266</v>
      </c>
      <c r="C126" s="73">
        <v>-73.6798663025336</v>
      </c>
      <c r="D126" s="86"/>
      <c r="E126" s="88"/>
    </row>
    <row r="127" ht="23.1" customHeight="1">
      <c r="A127" t="s" s="24">
        <v>342</v>
      </c>
      <c r="B127" s="54">
        <v>42.7289201143948</v>
      </c>
      <c r="C127" s="75">
        <v>-73.6781950839616</v>
      </c>
      <c r="D127" s="86"/>
      <c r="E127" s="88"/>
    </row>
    <row r="128" ht="23.1" customHeight="1">
      <c r="A128" t="s" s="21">
        <v>343</v>
      </c>
      <c r="B128" s="46">
        <v>42.7289729919986</v>
      </c>
      <c r="C128" s="73">
        <v>-73.6776793936593</v>
      </c>
      <c r="D128" s="86"/>
      <c r="E128" s="88"/>
    </row>
    <row r="129" ht="23.1" customHeight="1">
      <c r="A129" t="s" s="24">
        <v>344</v>
      </c>
      <c r="B129" s="54">
        <v>42.7289385066048</v>
      </c>
      <c r="C129" s="75">
        <v>-73.67727830120209</v>
      </c>
      <c r="D129" s="86"/>
      <c r="E129" s="88"/>
    </row>
    <row r="130" ht="23.1" customHeight="1">
      <c r="A130" t="s" s="21">
        <v>345</v>
      </c>
      <c r="B130" s="46">
        <v>42.7294718806949</v>
      </c>
      <c r="C130" s="73">
        <v>-73.67713982880611</v>
      </c>
      <c r="D130" s="86"/>
      <c r="E130" s="88"/>
    </row>
    <row r="131" ht="23.1" customHeight="1">
      <c r="A131" t="s" s="24">
        <v>346</v>
      </c>
      <c r="B131" s="54">
        <v>42.7297190260169</v>
      </c>
      <c r="C131" s="75">
        <v>-73.67711277098159</v>
      </c>
      <c r="D131" s="86"/>
      <c r="E131" s="88"/>
    </row>
    <row r="132" ht="23.1" customHeight="1">
      <c r="A132" t="s" s="21">
        <v>347</v>
      </c>
      <c r="B132" s="46">
        <v>42.7299604237732</v>
      </c>
      <c r="C132" s="73">
        <v>-73.6771286873489</v>
      </c>
      <c r="D132" s="86"/>
      <c r="E132" s="88"/>
    </row>
    <row r="133" ht="23.1" customHeight="1">
      <c r="A133" t="s" s="24">
        <v>348</v>
      </c>
      <c r="B133" s="54">
        <v>42.7290856442848</v>
      </c>
      <c r="C133" s="75">
        <v>-73.6769854400428</v>
      </c>
      <c r="D133" s="86"/>
      <c r="E133" s="88"/>
    </row>
    <row r="134" ht="23.1" customHeight="1">
      <c r="A134" t="s" s="21">
        <v>349</v>
      </c>
      <c r="B134" s="46">
        <v>42.7295523466137</v>
      </c>
      <c r="C134" s="73">
        <v>-73.6769376909407</v>
      </c>
      <c r="D134" s="86"/>
      <c r="E134" s="88"/>
    </row>
    <row r="135" ht="23.1" customHeight="1">
      <c r="A135" t="s" s="24">
        <v>350</v>
      </c>
      <c r="B135" s="54">
        <v>42.7289201143948</v>
      </c>
      <c r="C135" s="75">
        <v>-73.6760622907363</v>
      </c>
      <c r="D135" s="86"/>
      <c r="E135" s="88"/>
    </row>
    <row r="136" ht="23.1" customHeight="1">
      <c r="A136" t="s" s="21">
        <v>351</v>
      </c>
      <c r="B136" s="46">
        <v>42.7286902117697</v>
      </c>
      <c r="C136" s="73">
        <v>-73.6760622907363</v>
      </c>
      <c r="D136" s="86"/>
      <c r="E136" s="88"/>
    </row>
    <row r="137" ht="23.1" customHeight="1">
      <c r="A137" t="s" s="24">
        <v>352</v>
      </c>
      <c r="B137" s="54">
        <v>42.7286603244285</v>
      </c>
      <c r="C137" s="75">
        <v>-73.67589516887909</v>
      </c>
      <c r="D137" s="86"/>
      <c r="E137" s="88"/>
    </row>
    <row r="138" ht="23.1" customHeight="1">
      <c r="A138" t="s" s="21">
        <v>353</v>
      </c>
      <c r="B138" s="46">
        <v>42.7284787013547</v>
      </c>
      <c r="C138" s="73">
        <v>-73.6757917124913</v>
      </c>
      <c r="D138" s="86"/>
      <c r="E138" s="88"/>
    </row>
    <row r="139" ht="23.1" customHeight="1">
      <c r="A139" t="s" s="24">
        <v>354</v>
      </c>
      <c r="B139" s="54">
        <v>42.7282189113884</v>
      </c>
      <c r="C139" s="75">
        <v>-73.6779245057166</v>
      </c>
      <c r="D139" s="86"/>
      <c r="E139" s="88"/>
    </row>
    <row r="140" ht="23.1" customHeight="1">
      <c r="A140" t="s" s="21">
        <v>355</v>
      </c>
      <c r="B140" s="46">
        <v>42.7282591443478</v>
      </c>
      <c r="C140" s="73">
        <v>-73.67745019796951</v>
      </c>
      <c r="D140" s="86"/>
      <c r="E140" s="88"/>
    </row>
    <row r="141" ht="23.1" customHeight="1">
      <c r="A141" t="s" s="24">
        <v>356</v>
      </c>
      <c r="B141" s="54">
        <v>42.7274062056088</v>
      </c>
      <c r="C141" s="75">
        <v>-73.6780677530227</v>
      </c>
      <c r="D141" s="86"/>
      <c r="E141" s="88"/>
    </row>
    <row r="142" ht="23.1" customHeight="1">
      <c r="A142" t="s" s="21">
        <v>357</v>
      </c>
      <c r="B142" s="46">
        <v>42.7284373188822</v>
      </c>
      <c r="C142" s="73">
        <v>-73.68023237898269</v>
      </c>
      <c r="D142" s="86"/>
      <c r="E142" s="88"/>
    </row>
    <row r="143" ht="23.1" customHeight="1">
      <c r="A143" t="s" s="24">
        <v>358</v>
      </c>
      <c r="B143" s="54">
        <v>42.7282419016509</v>
      </c>
      <c r="C143" s="75">
        <v>-73.6802801280848</v>
      </c>
      <c r="D143" s="86"/>
      <c r="E143" s="88"/>
    </row>
    <row r="144" ht="23.1" customHeight="1">
      <c r="A144" t="s" s="21">
        <v>359</v>
      </c>
      <c r="B144" s="46">
        <v>42.7306673743453</v>
      </c>
      <c r="C144" s="73">
        <v>-73.6823699471182</v>
      </c>
      <c r="D144" s="86"/>
      <c r="E144" s="88"/>
    </row>
    <row r="145" ht="23.1" customHeight="1">
      <c r="A145" t="s" s="24">
        <v>360</v>
      </c>
      <c r="B145" s="54">
        <v>42.7306030016103</v>
      </c>
      <c r="C145" s="75">
        <v>-73.6826277922693</v>
      </c>
      <c r="D145" s="86"/>
      <c r="E145" s="88"/>
    </row>
    <row r="146" ht="23.1" customHeight="1">
      <c r="A146" t="s" s="21">
        <v>361</v>
      </c>
      <c r="B146" s="46">
        <v>42.7305754132952</v>
      </c>
      <c r="C146" s="73">
        <v>-73.6829381614326</v>
      </c>
      <c r="D146" s="86"/>
      <c r="E146" s="88"/>
    </row>
    <row r="147" ht="23.1" customHeight="1">
      <c r="A147" t="s" s="24">
        <v>362</v>
      </c>
      <c r="B147" s="54">
        <v>42.7304144814577</v>
      </c>
      <c r="C147" s="75">
        <v>-73.6830654923715</v>
      </c>
      <c r="D147" s="86"/>
      <c r="E147" s="88"/>
    </row>
    <row r="148" ht="23.1" customHeight="1">
      <c r="A148" t="s" s="21">
        <v>363</v>
      </c>
      <c r="B148" s="46">
        <v>42.7271809010362</v>
      </c>
      <c r="C148" s="73">
        <v>-73.6773196837572</v>
      </c>
      <c r="D148" s="86"/>
      <c r="E148" s="88"/>
    </row>
    <row r="149" ht="23.1" customHeight="1">
      <c r="A149" t="s" s="24">
        <v>364</v>
      </c>
      <c r="B149" s="54">
        <v>42.7270429594612</v>
      </c>
      <c r="C149" s="75">
        <v>-73.6768581091039</v>
      </c>
      <c r="D149" s="86"/>
      <c r="E149" s="88"/>
    </row>
    <row r="150" ht="23.1" customHeight="1">
      <c r="A150" t="s" s="21">
        <v>365</v>
      </c>
      <c r="B150" s="46">
        <v>42.726747534588</v>
      </c>
      <c r="C150" s="73">
        <v>-73.67633286898131</v>
      </c>
      <c r="D150" s="86"/>
      <c r="E150" s="88"/>
    </row>
    <row r="151" ht="23.1" customHeight="1">
      <c r="A151" t="s" s="24">
        <v>366</v>
      </c>
      <c r="B151" s="54">
        <v>42.7267050026023</v>
      </c>
      <c r="C151" s="75">
        <v>-73.67588721069539</v>
      </c>
      <c r="D151" s="86"/>
      <c r="E151" s="88"/>
    </row>
    <row r="152" ht="23.1" customHeight="1">
      <c r="A152" t="s" s="21">
        <v>367</v>
      </c>
      <c r="B152" s="46">
        <v>42.7268165053755</v>
      </c>
      <c r="C152" s="73">
        <v>-73.6754654269606</v>
      </c>
      <c r="D152" s="86"/>
      <c r="E152" s="88"/>
    </row>
    <row r="153" ht="23.1" customHeight="1">
      <c r="A153" t="s" s="24">
        <v>368</v>
      </c>
      <c r="B153" s="54">
        <v>42.7270199691987</v>
      </c>
      <c r="C153" s="75">
        <v>-73.67535401238911</v>
      </c>
      <c r="D153" s="86"/>
      <c r="E153" s="88"/>
    </row>
    <row r="154" ht="23.1" customHeight="1">
      <c r="A154" t="s" s="21">
        <v>369</v>
      </c>
      <c r="B154" s="46">
        <v>42.7263187661922</v>
      </c>
      <c r="C154" s="73">
        <v>-73.6756962142872</v>
      </c>
      <c r="D154" s="86"/>
      <c r="E154" s="88"/>
    </row>
    <row r="155" ht="23.1" customHeight="1">
      <c r="A155" t="s" s="24">
        <v>370</v>
      </c>
      <c r="B155" s="54">
        <v>42.7258049338252</v>
      </c>
      <c r="C155" s="75">
        <v>-73.6753301378381</v>
      </c>
      <c r="D155" s="86"/>
      <c r="E155" s="88"/>
    </row>
    <row r="156" ht="23.1" customHeight="1">
      <c r="A156" t="s" s="21">
        <v>371</v>
      </c>
      <c r="B156" s="46">
        <v>42.7251922433294</v>
      </c>
      <c r="C156" s="73">
        <v>-73.6753301378381</v>
      </c>
      <c r="D156" s="86"/>
      <c r="E156" s="88"/>
    </row>
    <row r="157" ht="23.1" customHeight="1">
      <c r="A157" t="s" s="24">
        <v>372</v>
      </c>
      <c r="B157" s="54">
        <v>42.7301845788326</v>
      </c>
      <c r="C157" s="75">
        <v>-73.683224656045</v>
      </c>
      <c r="D157" s="86"/>
      <c r="E157" s="88"/>
    </row>
    <row r="158" ht="23.1" customHeight="1">
      <c r="A158" t="s" s="21">
        <v>373</v>
      </c>
      <c r="B158" s="46">
        <v>42.730178831267</v>
      </c>
      <c r="C158" s="73">
        <v>-73.6835079673839</v>
      </c>
      <c r="D158" s="86"/>
      <c r="E158" s="88"/>
    </row>
    <row r="159" ht="23.1" customHeight="1">
      <c r="A159" t="s" s="24">
        <v>374</v>
      </c>
      <c r="B159" s="54">
        <v>42.7305524230327</v>
      </c>
      <c r="C159" s="75">
        <v>-73.68359709904099</v>
      </c>
      <c r="D159" s="86"/>
      <c r="E159" s="88"/>
    </row>
    <row r="160" ht="23.1" customHeight="1">
      <c r="A160" t="s" s="21">
        <v>375</v>
      </c>
      <c r="B160" s="46">
        <v>42.7308076149466</v>
      </c>
      <c r="C160" s="73">
        <v>-73.6834395270043</v>
      </c>
      <c r="D160" s="86"/>
      <c r="E160" s="88"/>
    </row>
    <row r="161" ht="23.1" customHeight="1">
      <c r="A161" t="s" s="24">
        <v>376</v>
      </c>
      <c r="B161" s="54">
        <v>42.7308949779441</v>
      </c>
      <c r="C161" s="75">
        <v>-73.6836225652288</v>
      </c>
      <c r="D161" s="86"/>
      <c r="E161" s="88"/>
    </row>
    <row r="162" ht="23.1" customHeight="1">
      <c r="A162" t="s" s="21">
        <v>377</v>
      </c>
      <c r="B162" s="46">
        <v>42.7302512505939</v>
      </c>
      <c r="C162" s="73">
        <v>-73.68438973413519</v>
      </c>
      <c r="D162" s="86"/>
      <c r="E162" s="88"/>
    </row>
    <row r="163" ht="23.1" customHeight="1">
      <c r="A163" t="s" s="24">
        <v>378</v>
      </c>
      <c r="B163" s="54">
        <v>42.7297132784513</v>
      </c>
      <c r="C163" s="75">
        <v>-73.68452502325771</v>
      </c>
      <c r="D163" s="86"/>
      <c r="E163" s="88"/>
    </row>
    <row r="164" ht="23.1" customHeight="1">
      <c r="A164" t="s" s="21">
        <v>379</v>
      </c>
      <c r="B164" s="46">
        <v>42.7294718806949</v>
      </c>
      <c r="C164" s="73">
        <v>-73.68440246722911</v>
      </c>
      <c r="D164" s="86"/>
      <c r="E164" s="88"/>
    </row>
    <row r="165" ht="23.1" customHeight="1">
      <c r="A165" t="s" s="24">
        <v>380</v>
      </c>
      <c r="B165" s="54">
        <v>42.7291822033874</v>
      </c>
      <c r="C165" s="75">
        <v>-73.6844979654332</v>
      </c>
      <c r="D165" s="86"/>
      <c r="E165" s="88"/>
    </row>
    <row r="166" ht="23.1" customHeight="1">
      <c r="A166" t="s" s="21">
        <v>381</v>
      </c>
      <c r="B166" s="46">
        <v>42.7290270191155</v>
      </c>
      <c r="C166" s="73">
        <v>-73.6845886887271</v>
      </c>
      <c r="D166" s="86"/>
      <c r="E166" s="88"/>
    </row>
    <row r="167" ht="23.1" customHeight="1">
      <c r="A167" t="s" s="24">
        <v>382</v>
      </c>
      <c r="B167" s="54">
        <v>42.7289936832348</v>
      </c>
      <c r="C167" s="75">
        <v>-73.6847367109435</v>
      </c>
      <c r="D167" s="86"/>
      <c r="E167" s="88"/>
    </row>
    <row r="168" ht="23.1" customHeight="1">
      <c r="A168" t="s" s="21">
        <v>383</v>
      </c>
      <c r="B168" s="46">
        <v>42.7285373265241</v>
      </c>
      <c r="C168" s="73">
        <v>-73.6848529004252</v>
      </c>
      <c r="D168" s="86"/>
      <c r="E168" s="88"/>
    </row>
    <row r="169" ht="23.1" customHeight="1">
      <c r="A169" t="s" s="24">
        <v>384</v>
      </c>
      <c r="B169" s="54">
        <v>42.7284832994072</v>
      </c>
      <c r="C169" s="75">
        <v>-73.6846141549149</v>
      </c>
      <c r="D169" s="86"/>
      <c r="E169" s="88"/>
    </row>
    <row r="170" ht="23.1" customHeight="1">
      <c r="A170" t="s" s="21">
        <v>385</v>
      </c>
      <c r="B170" s="46">
        <v>42.7287246971635</v>
      </c>
      <c r="C170" s="73">
        <v>-73.6844661326985</v>
      </c>
      <c r="D170" s="86"/>
      <c r="E170" s="88"/>
    </row>
    <row r="171" ht="23.1" customHeight="1">
      <c r="A171" t="s" s="24">
        <v>386</v>
      </c>
      <c r="B171" s="54">
        <v>42.7300638799545</v>
      </c>
      <c r="C171" s="75">
        <v>-73.6828076472204</v>
      </c>
      <c r="D171" s="86"/>
      <c r="E171" s="88"/>
    </row>
    <row r="172" ht="23.1" customHeight="1">
      <c r="A172" t="s" s="21">
        <v>387</v>
      </c>
      <c r="B172" s="46">
        <v>42.7298282297638</v>
      </c>
      <c r="C172" s="73">
        <v>-73.68278218103259</v>
      </c>
      <c r="D172" s="86"/>
      <c r="E172" s="88"/>
    </row>
    <row r="173" ht="23.1" customHeight="1">
      <c r="A173" t="s" s="24">
        <v>388</v>
      </c>
      <c r="B173" s="54">
        <v>42.729985713062</v>
      </c>
      <c r="C173" s="75">
        <v>-73.68231423983239</v>
      </c>
      <c r="D173" s="86"/>
      <c r="E173" s="88"/>
    </row>
    <row r="174" ht="23.1" customHeight="1">
      <c r="A174" t="s" s="21">
        <v>389</v>
      </c>
      <c r="B174" s="46">
        <v>42.729692587215</v>
      </c>
      <c r="C174" s="73">
        <v>-73.682977952351</v>
      </c>
      <c r="D174" s="86"/>
      <c r="E174" s="88"/>
    </row>
    <row r="175" ht="23.1" customHeight="1">
      <c r="A175" t="s" s="24">
        <v>390</v>
      </c>
      <c r="B175" s="54">
        <v>42.7294190030912</v>
      </c>
      <c r="C175" s="75">
        <v>-73.68305594255099</v>
      </c>
      <c r="D175" s="86"/>
      <c r="E175" s="88"/>
    </row>
    <row r="176" ht="23.1" customHeight="1">
      <c r="A176" t="s" s="21">
        <v>391</v>
      </c>
      <c r="B176" s="46">
        <v>42.7292074926761</v>
      </c>
      <c r="C176" s="73">
        <v>-73.6831021000164</v>
      </c>
      <c r="D176" s="86"/>
      <c r="E176" s="88"/>
    </row>
    <row r="177" ht="23.1" customHeight="1">
      <c r="A177" t="s" s="24">
        <v>392</v>
      </c>
      <c r="B177" s="54">
        <v>42.7288051630823</v>
      </c>
      <c r="C177" s="75">
        <v>-73.6831227912939</v>
      </c>
      <c r="D177" s="86"/>
      <c r="E177" s="88"/>
    </row>
    <row r="178" ht="23.1" customHeight="1">
      <c r="A178" t="s" s="21">
        <v>393</v>
      </c>
      <c r="B178" s="46">
        <v>42.7291649606905</v>
      </c>
      <c r="C178" s="73">
        <v>-73.68228559037119</v>
      </c>
      <c r="D178" s="86"/>
      <c r="E178" s="88"/>
    </row>
    <row r="179" ht="23.1" customHeight="1">
      <c r="A179" t="s" s="24">
        <v>394</v>
      </c>
      <c r="B179" s="54">
        <v>42.728591353641</v>
      </c>
      <c r="C179" s="75">
        <v>-73.6832771800573</v>
      </c>
      <c r="D179" s="86"/>
      <c r="E179" s="88"/>
    </row>
    <row r="180" ht="23.1" customHeight="1">
      <c r="A180" t="s" s="21">
        <v>395</v>
      </c>
      <c r="B180" s="46">
        <v>42.7283855907915</v>
      </c>
      <c r="C180" s="73">
        <v>-73.683326520796</v>
      </c>
      <c r="D180" s="86"/>
      <c r="E180" s="88"/>
    </row>
    <row r="181" ht="23.1" customHeight="1">
      <c r="A181" t="s" s="24">
        <v>396</v>
      </c>
      <c r="B181" s="54">
        <v>42.7276958829164</v>
      </c>
      <c r="C181" s="75">
        <v>-73.6824606704121</v>
      </c>
      <c r="D181" s="86"/>
      <c r="E181" s="88"/>
    </row>
    <row r="182" ht="23.1" customHeight="1">
      <c r="A182" t="s" s="21">
        <v>397</v>
      </c>
      <c r="B182" s="46">
        <v>42.7280028029208</v>
      </c>
      <c r="C182" s="73">
        <v>-73.68154229601581</v>
      </c>
      <c r="D182" s="86"/>
      <c r="E182" s="88"/>
    </row>
    <row r="183" ht="23.1" customHeight="1">
      <c r="A183" t="s" s="24">
        <v>398</v>
      </c>
      <c r="B183" s="54">
        <v>42.7283016763334</v>
      </c>
      <c r="C183" s="75">
        <v>-73.6801480222357</v>
      </c>
      <c r="D183" s="86"/>
      <c r="E183" s="88"/>
    </row>
    <row r="184" ht="23.1" customHeight="1">
      <c r="A184" t="s" s="21">
        <v>399</v>
      </c>
      <c r="B184" s="46">
        <v>42.7280694746821</v>
      </c>
      <c r="C184" s="73">
        <v>-73.6786502920678</v>
      </c>
      <c r="D184" s="86"/>
      <c r="E184" s="88"/>
    </row>
    <row r="185" ht="23.1" customHeight="1">
      <c r="A185" t="s" s="24">
        <v>400</v>
      </c>
      <c r="B185" s="54">
        <v>42.7278935991739</v>
      </c>
      <c r="C185" s="75">
        <v>-73.6786884913495</v>
      </c>
      <c r="D185" s="86"/>
      <c r="E185" s="88"/>
    </row>
    <row r="186" ht="23.1" customHeight="1">
      <c r="A186" t="s" s="21">
        <v>401</v>
      </c>
      <c r="B186" s="46">
        <v>42.7277706012695</v>
      </c>
      <c r="C186" s="73">
        <v>-73.6787680731863</v>
      </c>
      <c r="D186" s="86"/>
      <c r="E186" s="88"/>
    </row>
    <row r="187" ht="23.1" customHeight="1">
      <c r="A187" t="s" s="24">
        <v>402</v>
      </c>
      <c r="B187" s="54">
        <v>42.7278798050164</v>
      </c>
      <c r="C187" s="75">
        <v>-73.67960527410899</v>
      </c>
      <c r="D187" s="86"/>
      <c r="E187" s="88"/>
    </row>
    <row r="188" ht="23.1" customHeight="1">
      <c r="A188" t="s" s="21">
        <v>403</v>
      </c>
      <c r="B188" s="46">
        <v>42.7280579795508</v>
      </c>
      <c r="C188" s="73">
        <v>-73.67991405163561</v>
      </c>
      <c r="D188" s="86"/>
      <c r="E188" s="88"/>
    </row>
    <row r="189" ht="23.1" customHeight="1">
      <c r="A189" t="s" s="24">
        <v>404</v>
      </c>
      <c r="B189" s="54">
        <v>42.7280832688396</v>
      </c>
      <c r="C189" s="75">
        <v>-73.6803597099215</v>
      </c>
      <c r="D189" s="86"/>
      <c r="E189" s="88"/>
    </row>
    <row r="190" ht="23.1" customHeight="1">
      <c r="A190" t="s" s="21">
        <v>405</v>
      </c>
      <c r="B190" s="46">
        <v>42.7268509907693</v>
      </c>
      <c r="C190" s="73">
        <v>-73.6781314184922</v>
      </c>
      <c r="D190" s="86"/>
      <c r="E190" s="88"/>
    </row>
    <row r="191" ht="23.1" customHeight="1">
      <c r="A191" t="s" s="24">
        <v>406</v>
      </c>
      <c r="B191" s="54">
        <v>42.7270579031318</v>
      </c>
      <c r="C191" s="75">
        <v>-73.6775043136185</v>
      </c>
      <c r="D191" s="86"/>
      <c r="E191" s="88"/>
    </row>
    <row r="192" ht="23.1" customHeight="1">
      <c r="A192" t="s" s="21">
        <v>407</v>
      </c>
      <c r="B192" s="46">
        <v>42.7270785943681</v>
      </c>
      <c r="C192" s="73">
        <v>-73.678090035937</v>
      </c>
      <c r="D192" s="86"/>
      <c r="E192" s="88"/>
    </row>
    <row r="193" ht="23.1" customHeight="1">
      <c r="A193" t="s" s="24">
        <v>408</v>
      </c>
      <c r="B193" s="54">
        <v>42.7257589533002</v>
      </c>
      <c r="C193" s="75">
        <v>-73.6784545207494</v>
      </c>
      <c r="D193" s="86"/>
      <c r="E193" s="88"/>
    </row>
    <row r="194" ht="23.1" customHeight="1">
      <c r="A194" t="s" s="21">
        <v>409</v>
      </c>
      <c r="B194" s="46">
        <v>42.7248899213775</v>
      </c>
      <c r="C194" s="73">
        <v>-73.6736812021804</v>
      </c>
      <c r="D194" s="86"/>
      <c r="E194" s="88"/>
    </row>
    <row r="195" ht="23.1" customHeight="1">
      <c r="A195" t="s" s="24">
        <v>410</v>
      </c>
      <c r="B195" s="54">
        <v>42.7268969712943</v>
      </c>
      <c r="C195" s="75">
        <v>-73.6735156719599</v>
      </c>
      <c r="D195" s="86"/>
      <c r="E195" s="88"/>
    </row>
    <row r="196" ht="23.1" customHeight="1">
      <c r="A196" t="s" s="21">
        <v>411</v>
      </c>
      <c r="B196" s="46">
        <v>42.7268257014805</v>
      </c>
      <c r="C196" s="73">
        <v>-73.6731448206006</v>
      </c>
      <c r="D196" s="86"/>
      <c r="E196" s="88"/>
    </row>
    <row r="197" ht="23.1" customHeight="1">
      <c r="A197" t="s" s="24">
        <v>412</v>
      </c>
      <c r="B197" s="54">
        <v>42.7268889247024</v>
      </c>
      <c r="C197" s="75">
        <v>-73.67405682844991</v>
      </c>
      <c r="D197" s="86"/>
      <c r="E197" s="88"/>
    </row>
    <row r="198" ht="23.1" customHeight="1">
      <c r="A198" t="s" s="21">
        <v>413</v>
      </c>
      <c r="B198" s="46">
        <v>42.7268532897955</v>
      </c>
      <c r="C198" s="73">
        <v>-73.67435923942961</v>
      </c>
      <c r="D198" s="86"/>
      <c r="E198" s="88"/>
    </row>
    <row r="199" ht="23.1" customHeight="1">
      <c r="A199" t="s" s="24">
        <v>414</v>
      </c>
      <c r="B199" s="54">
        <v>42.7282901812021</v>
      </c>
      <c r="C199" s="75">
        <v>-73.6761959882221</v>
      </c>
      <c r="D199" s="86"/>
      <c r="E199" s="88"/>
    </row>
    <row r="200" ht="23.1" customHeight="1">
      <c r="A200" t="s" s="21">
        <v>415</v>
      </c>
      <c r="B200" s="46">
        <v>42.7275981743007</v>
      </c>
      <c r="C200" s="73">
        <v>-73.67550521787901</v>
      </c>
      <c r="D200" s="86"/>
      <c r="E200" s="88"/>
    </row>
    <row r="201" ht="23.1" customHeight="1">
      <c r="A201" t="s" s="24">
        <v>416</v>
      </c>
      <c r="B201" s="54">
        <v>42.7270579031318</v>
      </c>
      <c r="C201" s="75">
        <v>-73.6755688833484</v>
      </c>
      <c r="D201" s="86"/>
      <c r="E201" s="88"/>
    </row>
    <row r="202" ht="23.1" customHeight="1">
      <c r="A202" t="s" s="21">
        <v>417</v>
      </c>
      <c r="B202" s="46">
        <v>42.7278533662145</v>
      </c>
      <c r="C202" s="73">
        <v>-73.67464891731539</v>
      </c>
      <c r="D202" s="86"/>
      <c r="E202" s="88"/>
    </row>
    <row r="203" ht="23.1" customHeight="1">
      <c r="A203" t="s" s="24">
        <v>418</v>
      </c>
      <c r="B203" s="54">
        <v>42.7276384072601</v>
      </c>
      <c r="C203" s="75">
        <v>-73.6758824357852</v>
      </c>
      <c r="D203" s="86"/>
      <c r="E203" s="88"/>
    </row>
    <row r="204" ht="23.1" customHeight="1">
      <c r="A204" t="s" s="21">
        <v>419</v>
      </c>
      <c r="B204" s="46">
        <v>42.7314295015473</v>
      </c>
      <c r="C204" s="73">
        <v>-73.6812669428606</v>
      </c>
      <c r="D204" s="86"/>
      <c r="E204" s="88"/>
    </row>
    <row r="205" ht="23.1" customHeight="1">
      <c r="A205" t="s" s="24">
        <v>420</v>
      </c>
      <c r="B205" s="54">
        <v>42.7321157608832</v>
      </c>
      <c r="C205" s="75">
        <v>-73.6818335655384</v>
      </c>
      <c r="D205" s="86"/>
      <c r="E205" s="88"/>
    </row>
    <row r="206" ht="23.1" customHeight="1">
      <c r="A206" t="s" s="21">
        <v>421</v>
      </c>
      <c r="B206" s="46">
        <v>42.7316961885924</v>
      </c>
      <c r="C206" s="73">
        <v>-73.6815900451179</v>
      </c>
      <c r="D206" s="86"/>
      <c r="E206" s="88"/>
    </row>
    <row r="207" ht="23.1" customHeight="1">
      <c r="A207" t="s" s="24">
        <v>422</v>
      </c>
      <c r="B207" s="54">
        <v>42.731563994583</v>
      </c>
      <c r="C207" s="75">
        <v>-73.6814738556362</v>
      </c>
      <c r="D207" s="86"/>
      <c r="E207" s="88"/>
    </row>
    <row r="208" ht="23.1" customHeight="1">
      <c r="A208" t="s" s="21">
        <v>423</v>
      </c>
      <c r="B208" s="46">
        <v>42.7314961733086</v>
      </c>
      <c r="C208" s="73">
        <v>-73.68159322839131</v>
      </c>
      <c r="D208" s="86"/>
      <c r="E208" s="88"/>
    </row>
    <row r="209" ht="23.1" customHeight="1">
      <c r="A209" t="s" s="24">
        <v>424</v>
      </c>
      <c r="B209" s="54">
        <v>42.7312283367504</v>
      </c>
      <c r="C209" s="75">
        <v>-73.6816123280322</v>
      </c>
      <c r="D209" s="86"/>
      <c r="E209" s="88"/>
    </row>
    <row r="210" ht="23.1" customHeight="1">
      <c r="A210" t="s" s="21">
        <v>425</v>
      </c>
      <c r="B210" s="46">
        <v>42.7321088638044</v>
      </c>
      <c r="C210" s="73">
        <v>-73.6827057824693</v>
      </c>
      <c r="D210" s="86"/>
      <c r="E210" s="88"/>
    </row>
    <row r="211" ht="23.1" customHeight="1">
      <c r="A211" t="s" s="24">
        <v>426</v>
      </c>
      <c r="B211" s="54">
        <v>42.7318513728643</v>
      </c>
      <c r="C211" s="75">
        <v>-73.6831450742082</v>
      </c>
      <c r="D211" s="86"/>
      <c r="E211" s="88"/>
    </row>
    <row r="212" ht="23.1" customHeight="1">
      <c r="A212" t="s" s="21">
        <v>427</v>
      </c>
      <c r="B212" s="46">
        <v>42.7318513728643</v>
      </c>
      <c r="C212" s="73">
        <v>-73.68258800135089</v>
      </c>
      <c r="D212" s="86"/>
      <c r="E212" s="88"/>
    </row>
    <row r="213" ht="23.1" customHeight="1">
      <c r="A213" t="s" s="24">
        <v>428</v>
      </c>
      <c r="B213" s="54">
        <v>42.7314651364542</v>
      </c>
      <c r="C213" s="75">
        <v>-73.68275989811831</v>
      </c>
      <c r="D213" s="86"/>
      <c r="E213" s="88"/>
    </row>
    <row r="214" ht="23.1" customHeight="1">
      <c r="A214" t="s" s="21">
        <v>429</v>
      </c>
      <c r="B214" s="46">
        <v>42.7310306204929</v>
      </c>
      <c r="C214" s="73">
        <v>-73.68239223003241</v>
      </c>
      <c r="D214" s="86"/>
      <c r="E214" s="88"/>
    </row>
    <row r="215" ht="23.1" customHeight="1">
      <c r="A215" t="s" s="24">
        <v>430</v>
      </c>
      <c r="B215" s="54">
        <v>42.7311616649891</v>
      </c>
      <c r="C215" s="75">
        <v>-73.6829063286979</v>
      </c>
      <c r="D215" s="86"/>
      <c r="E215" s="88"/>
    </row>
    <row r="216" ht="23.1" customHeight="1">
      <c r="A216" t="s" s="21">
        <v>431</v>
      </c>
      <c r="B216" s="46">
        <v>42.7309915370466</v>
      </c>
      <c r="C216" s="73">
        <v>-73.6831036916531</v>
      </c>
      <c r="D216" s="86"/>
      <c r="E216" s="88"/>
    </row>
    <row r="217" ht="23.1" customHeight="1">
      <c r="A217" t="s" s="24">
        <v>432</v>
      </c>
      <c r="B217" s="54">
        <v>42.7309616497053</v>
      </c>
      <c r="C217" s="75">
        <v>-73.68335835353071</v>
      </c>
      <c r="D217" s="86"/>
      <c r="E217" s="88"/>
    </row>
    <row r="218" ht="23.1" customHeight="1">
      <c r="A218" t="s" s="21">
        <v>433</v>
      </c>
      <c r="B218" s="46">
        <v>42.730912220641</v>
      </c>
      <c r="C218" s="73">
        <v>-73.68232060637941</v>
      </c>
      <c r="D218" s="86"/>
      <c r="E218" s="88"/>
    </row>
    <row r="219" ht="23.1" customHeight="1">
      <c r="A219" t="s" s="24">
        <v>434</v>
      </c>
      <c r="B219" s="54">
        <v>42.7311041893329</v>
      </c>
      <c r="C219" s="75">
        <v>-73.68099636461559</v>
      </c>
      <c r="D219" s="86"/>
      <c r="E219" s="88"/>
    </row>
    <row r="220" ht="23.1" customHeight="1">
      <c r="A220" t="s" s="21">
        <v>435</v>
      </c>
      <c r="B220" s="46">
        <v>42.7311214320298</v>
      </c>
      <c r="C220" s="73">
        <v>-73.6813735825219</v>
      </c>
      <c r="D220" s="86"/>
      <c r="E220" s="88"/>
    </row>
    <row r="221" ht="23.1" customHeight="1">
      <c r="A221" t="s" s="24">
        <v>436</v>
      </c>
      <c r="B221" s="54">
        <v>42.730793820789</v>
      </c>
      <c r="C221" s="75">
        <v>-73.680603230342</v>
      </c>
      <c r="D221" s="86"/>
      <c r="E221" s="88"/>
    </row>
    <row r="222" ht="23.1" customHeight="1">
      <c r="A222" t="s" s="21">
        <v>437</v>
      </c>
      <c r="B222" s="46">
        <v>42.7312513270129</v>
      </c>
      <c r="C222" s="73">
        <v>-73.6803644848317</v>
      </c>
      <c r="D222" s="86"/>
      <c r="E222" s="88"/>
    </row>
    <row r="223" ht="23.1" customHeight="1">
      <c r="A223" t="s" s="24">
        <v>438</v>
      </c>
      <c r="B223" s="54">
        <v>42.7314191559292</v>
      </c>
      <c r="C223" s="75">
        <v>-73.68037562628891</v>
      </c>
      <c r="D223" s="86"/>
      <c r="E223" s="88"/>
    </row>
    <row r="224" ht="23.1" customHeight="1">
      <c r="A224" t="s" s="21">
        <v>439</v>
      </c>
      <c r="B224" s="46">
        <v>42.7315869848455</v>
      </c>
      <c r="C224" s="73">
        <v>-73.6808340176686</v>
      </c>
      <c r="D224" s="86"/>
      <c r="E224" s="88"/>
    </row>
    <row r="225" ht="23.1" customHeight="1">
      <c r="A225" t="s" s="24">
        <v>440</v>
      </c>
      <c r="B225" s="54">
        <v>42.7319433339144</v>
      </c>
      <c r="C225" s="75">
        <v>-73.6811937275708</v>
      </c>
      <c r="D225" s="86"/>
      <c r="E225" s="88"/>
    </row>
    <row r="226" ht="23.1" customHeight="1">
      <c r="A226" t="s" s="21">
        <v>441</v>
      </c>
      <c r="B226" s="46">
        <v>42.7321548443294</v>
      </c>
      <c r="C226" s="73">
        <v>-73.68113961192179</v>
      </c>
      <c r="D226" s="86"/>
      <c r="E226" s="88"/>
    </row>
    <row r="227" ht="23.1" customHeight="1">
      <c r="A227" t="s" s="24">
        <v>442</v>
      </c>
      <c r="B227" s="54">
        <v>42.7323410654557</v>
      </c>
      <c r="C227" s="75">
        <v>-73.6812780843178</v>
      </c>
      <c r="D227" s="86"/>
      <c r="E227" s="88"/>
    </row>
    <row r="228" ht="23.1" customHeight="1">
      <c r="A228" t="s" s="21">
        <v>443</v>
      </c>
      <c r="B228" s="46">
        <v>42.732527286582</v>
      </c>
      <c r="C228" s="73">
        <v>-73.6809645318809</v>
      </c>
      <c r="D228" s="86"/>
      <c r="E228" s="88"/>
    </row>
    <row r="229" ht="23.1" customHeight="1">
      <c r="A229" t="s" s="24">
        <v>444</v>
      </c>
      <c r="B229" s="54">
        <v>42.7328801871115</v>
      </c>
      <c r="C229" s="75">
        <v>-73.68267394973461</v>
      </c>
      <c r="D229" s="86"/>
      <c r="E229" s="88"/>
    </row>
    <row r="230" ht="23.1" customHeight="1">
      <c r="A230" t="s" s="21">
        <v>445</v>
      </c>
      <c r="B230" s="46">
        <v>42.7281269503383</v>
      </c>
      <c r="C230" s="73">
        <v>-73.6849754564538</v>
      </c>
      <c r="D230" s="86"/>
      <c r="E230" s="88"/>
    </row>
    <row r="231" ht="23.1" customHeight="1">
      <c r="A231" t="s" s="24">
        <v>446</v>
      </c>
      <c r="B231" s="54">
        <v>42.7278315254651</v>
      </c>
      <c r="C231" s="75">
        <v>-73.6780470617452</v>
      </c>
      <c r="D231" s="86"/>
      <c r="E231" s="88"/>
    </row>
    <row r="232" ht="23.1" customHeight="1">
      <c r="A232" t="s" s="21">
        <v>447</v>
      </c>
      <c r="B232" s="46">
        <v>42.7329434103334</v>
      </c>
      <c r="C232" s="73">
        <v>-73.6803597099215</v>
      </c>
      <c r="D232" s="86"/>
      <c r="E232" s="88"/>
    </row>
    <row r="233" ht="23.1" customHeight="1">
      <c r="A233" t="s" s="24">
        <v>448</v>
      </c>
      <c r="B233" s="54">
        <v>42.7328284590208</v>
      </c>
      <c r="C233" s="75">
        <v>-73.6798822189009</v>
      </c>
      <c r="D233" s="86"/>
      <c r="E233" s="88"/>
    </row>
    <row r="234" ht="23.1" customHeight="1">
      <c r="A234" t="s" s="21">
        <v>449</v>
      </c>
      <c r="B234" s="46">
        <v>42.7334606912398</v>
      </c>
      <c r="C234" s="73">
        <v>-73.6795957242886</v>
      </c>
      <c r="D234" s="86"/>
      <c r="E234" s="88"/>
    </row>
    <row r="235" ht="23.1" customHeight="1">
      <c r="A235" t="s" s="24">
        <v>450</v>
      </c>
      <c r="B235" s="54">
        <v>42.7330813519084</v>
      </c>
      <c r="C235" s="75">
        <v>-73.6806302881665</v>
      </c>
      <c r="D235" s="86"/>
      <c r="E235" s="88"/>
    </row>
    <row r="236" ht="23.1" customHeight="1">
      <c r="A236" t="s" s="21">
        <v>451</v>
      </c>
      <c r="B236" s="46">
        <v>42.7336066794067</v>
      </c>
      <c r="C236" s="73">
        <v>-73.6804233753909</v>
      </c>
      <c r="D236" s="86"/>
      <c r="E236" s="88"/>
    </row>
    <row r="237" ht="23.1" customHeight="1">
      <c r="A237" t="s" s="24">
        <v>452</v>
      </c>
      <c r="B237" s="54">
        <v>42.7337986480986</v>
      </c>
      <c r="C237" s="75">
        <v>-73.6814261065341</v>
      </c>
      <c r="D237" s="86"/>
      <c r="E237" s="88"/>
    </row>
    <row r="238" ht="23.1" customHeight="1">
      <c r="A238" t="s" s="21">
        <v>453</v>
      </c>
      <c r="B238" s="46">
        <v>42.733242283746</v>
      </c>
      <c r="C238" s="73">
        <v>-73.68155821238319</v>
      </c>
      <c r="D238" s="86"/>
      <c r="E238" s="88"/>
    </row>
    <row r="239" ht="23.1" customHeight="1">
      <c r="A239" t="s" s="24">
        <v>454</v>
      </c>
      <c r="B239" s="54">
        <v>42.7339365896736</v>
      </c>
      <c r="C239" s="75">
        <v>-73.68234925584061</v>
      </c>
      <c r="D239" s="86"/>
      <c r="E239" s="88"/>
    </row>
    <row r="240" ht="23.1" customHeight="1">
      <c r="A240" t="s" s="21">
        <v>455</v>
      </c>
      <c r="B240" s="46">
        <v>42.7337135841273</v>
      </c>
      <c r="C240" s="73">
        <v>-73.6834474851879</v>
      </c>
      <c r="D240" s="86"/>
      <c r="E240" s="88"/>
    </row>
    <row r="241" ht="23.1" customHeight="1">
      <c r="A241" t="s" s="24">
        <v>456</v>
      </c>
      <c r="B241" s="54">
        <v>42.7330974450922</v>
      </c>
      <c r="C241" s="75">
        <v>-73.6836146070451</v>
      </c>
      <c r="D241" s="86"/>
      <c r="E241" s="88"/>
    </row>
    <row r="242" ht="23.1" customHeight="1">
      <c r="A242" t="s" s="21">
        <v>457</v>
      </c>
      <c r="B242" s="46">
        <v>42.7308892303785</v>
      </c>
      <c r="C242" s="73">
        <v>-73.6842114708209</v>
      </c>
      <c r="D242" s="86"/>
      <c r="E242" s="88"/>
    </row>
    <row r="243" ht="23.1" customHeight="1">
      <c r="A243" t="s" s="24">
        <v>458</v>
      </c>
      <c r="B243" s="54">
        <v>42.730619094794</v>
      </c>
      <c r="C243" s="75">
        <v>-73.6856757766173</v>
      </c>
      <c r="D243" s="86"/>
      <c r="E243" s="88"/>
    </row>
    <row r="244" ht="23.1" customHeight="1">
      <c r="A244" t="s" s="21">
        <v>459</v>
      </c>
      <c r="B244" s="46">
        <v>42.7305294327702</v>
      </c>
      <c r="C244" s="73">
        <v>-73.68433880175969</v>
      </c>
      <c r="D244" s="86"/>
      <c r="E244" s="88"/>
    </row>
    <row r="245" ht="23.1" customHeight="1">
      <c r="A245" t="s" s="24">
        <v>460</v>
      </c>
      <c r="B245" s="54">
        <v>42.7313340919579</v>
      </c>
      <c r="C245" s="75">
        <v>-73.6855166129438</v>
      </c>
      <c r="D245" s="86"/>
      <c r="E245" s="88"/>
    </row>
    <row r="246" ht="23.1" customHeight="1">
      <c r="A246" t="s" s="21">
        <v>461</v>
      </c>
      <c r="B246" s="46">
        <v>42.7315869848455</v>
      </c>
      <c r="C246" s="73">
        <v>-73.68552616276421</v>
      </c>
      <c r="D246" s="86"/>
      <c r="E246" s="88"/>
    </row>
    <row r="247" ht="23.1" customHeight="1">
      <c r="A247" t="s" s="24">
        <v>462</v>
      </c>
      <c r="B247" s="54">
        <v>42.731637563423</v>
      </c>
      <c r="C247" s="75">
        <v>-73.686519344087</v>
      </c>
      <c r="D247" s="86"/>
      <c r="E247" s="88"/>
    </row>
    <row r="248" ht="23.1" customHeight="1">
      <c r="A248" t="s" s="21">
        <v>463</v>
      </c>
      <c r="B248" s="46">
        <v>42.7316214702393</v>
      </c>
      <c r="C248" s="73">
        <v>-73.6862089749236</v>
      </c>
      <c r="D248" s="86"/>
      <c r="E248" s="88"/>
    </row>
    <row r="249" ht="23.1" customHeight="1">
      <c r="A249" t="s" s="24">
        <v>464</v>
      </c>
      <c r="B249" s="54">
        <v>42.7306443840828</v>
      </c>
      <c r="C249" s="75">
        <v>-73.6864079295155</v>
      </c>
      <c r="D249" s="86"/>
      <c r="E249" s="88"/>
    </row>
    <row r="250" ht="23.1" customHeight="1">
      <c r="A250" t="s" s="21">
        <v>465</v>
      </c>
      <c r="B250" s="46">
        <v>42.7336331182086</v>
      </c>
      <c r="C250" s="73">
        <v>-73.68593043849491</v>
      </c>
      <c r="D250" s="86"/>
      <c r="E250" s="88"/>
    </row>
    <row r="251" ht="23.1" customHeight="1">
      <c r="A251" t="s" s="24">
        <v>466</v>
      </c>
      <c r="B251" s="54">
        <v>42.7334377009773</v>
      </c>
      <c r="C251" s="75">
        <v>-73.6849054244374</v>
      </c>
      <c r="D251" s="86"/>
      <c r="E251" s="88"/>
    </row>
    <row r="252" ht="23.1" customHeight="1">
      <c r="A252" t="s" s="21">
        <v>467</v>
      </c>
      <c r="B252" s="46">
        <v>42.7283453578322</v>
      </c>
      <c r="C252" s="73">
        <v>-73.6872037478831</v>
      </c>
      <c r="D252" s="86"/>
      <c r="E252" s="88"/>
    </row>
    <row r="253" ht="23.1" customHeight="1">
      <c r="A253" t="s" s="24">
        <v>468</v>
      </c>
      <c r="B253" s="54">
        <v>42.7294488904324</v>
      </c>
      <c r="C253" s="75">
        <v>-73.6861278014501</v>
      </c>
      <c r="D253" s="86"/>
      <c r="E253" s="88"/>
    </row>
    <row r="254" ht="23.1" customHeight="1">
      <c r="A254" t="s" s="21">
        <v>469</v>
      </c>
      <c r="B254" s="46">
        <v>42.729563841745</v>
      </c>
      <c r="C254" s="73">
        <v>-73.6869554525525</v>
      </c>
      <c r="D254" s="86"/>
      <c r="E254" s="88"/>
    </row>
    <row r="255" ht="23.1" customHeight="1">
      <c r="A255" t="s" s="24">
        <v>470</v>
      </c>
      <c r="B255" s="54">
        <v>42.7281154552071</v>
      </c>
      <c r="C255" s="75">
        <v>-73.686567093189</v>
      </c>
      <c r="D255" s="86"/>
      <c r="E255" s="88"/>
    </row>
    <row r="256" ht="23.1" customHeight="1">
      <c r="A256" t="s" s="21">
        <v>471</v>
      </c>
      <c r="B256" s="46">
        <v>42.7274717278569</v>
      </c>
      <c r="C256" s="73">
        <v>-73.68516645286201</v>
      </c>
      <c r="D256" s="86"/>
      <c r="E256" s="88"/>
    </row>
    <row r="257" ht="23.1" customHeight="1">
      <c r="A257" t="s" s="24">
        <v>472</v>
      </c>
      <c r="B257" s="54">
        <v>42.7278050866633</v>
      </c>
      <c r="C257" s="75">
        <v>-73.6860577694338</v>
      </c>
      <c r="D257" s="86"/>
      <c r="E257" s="88"/>
    </row>
    <row r="258" ht="23.1" customHeight="1">
      <c r="A258" t="s" s="21">
        <v>473</v>
      </c>
      <c r="B258" s="46">
        <v>42.733288264271</v>
      </c>
      <c r="C258" s="73">
        <v>-73.6784974949413</v>
      </c>
      <c r="D258" s="86"/>
      <c r="E258" s="88"/>
    </row>
    <row r="259" ht="23.1" customHeight="1">
      <c r="A259" t="s" s="24">
        <v>474</v>
      </c>
      <c r="B259" s="54">
        <v>42.7327847775221</v>
      </c>
      <c r="C259" s="75">
        <v>-73.67863119242701</v>
      </c>
      <c r="D259" s="86"/>
      <c r="E259" s="88"/>
    </row>
    <row r="260" ht="23.1" customHeight="1">
      <c r="A260" t="s" s="21">
        <v>475</v>
      </c>
      <c r="B260" s="46">
        <v>42.7328434026915</v>
      </c>
      <c r="C260" s="73">
        <v>-73.67904979288841</v>
      </c>
      <c r="D260" s="86"/>
      <c r="E260" s="88"/>
    </row>
    <row r="261" ht="23.1" customHeight="1">
      <c r="A261" t="s" s="24">
        <v>476</v>
      </c>
      <c r="B261" s="54">
        <v>42.7330066335553</v>
      </c>
      <c r="C261" s="75">
        <v>-73.6794333773416</v>
      </c>
      <c r="D261" s="86"/>
      <c r="E261" s="88"/>
    </row>
    <row r="262" ht="23.1" customHeight="1">
      <c r="A262" t="s" s="21">
        <v>477</v>
      </c>
      <c r="B262" s="46">
        <v>42.7327709833646</v>
      </c>
      <c r="C262" s="73">
        <v>-73.67931718785989</v>
      </c>
      <c r="D262" s="86"/>
      <c r="E262" s="88"/>
    </row>
    <row r="263" ht="23.1" customHeight="1">
      <c r="A263" t="s" s="24">
        <v>478</v>
      </c>
      <c r="B263" s="54">
        <v>42.7325778651595</v>
      </c>
      <c r="C263" s="75">
        <v>-73.6789686194149</v>
      </c>
      <c r="D263" s="86"/>
      <c r="E263" s="88"/>
    </row>
    <row r="264" ht="23.1" customHeight="1">
      <c r="A264" t="s" s="21">
        <v>479</v>
      </c>
      <c r="B264" s="46">
        <v>42.7328284590208</v>
      </c>
      <c r="C264" s="73">
        <v>-73.67892723685981</v>
      </c>
      <c r="D264" s="86"/>
      <c r="E264" s="88"/>
    </row>
    <row r="265" ht="23.1" customHeight="1">
      <c r="A265" t="s" s="24">
        <v>480</v>
      </c>
      <c r="B265" s="54">
        <v>42.7333457399272</v>
      </c>
      <c r="C265" s="75">
        <v>-73.6788158222883</v>
      </c>
      <c r="D265" s="86"/>
      <c r="E265" s="88"/>
    </row>
    <row r="266" ht="23.1" customHeight="1">
      <c r="A266" t="s" s="21">
        <v>481</v>
      </c>
      <c r="B266" s="46">
        <v>42.7331112392497</v>
      </c>
      <c r="C266" s="73">
        <v>-73.67976284614581</v>
      </c>
      <c r="D266" s="86"/>
      <c r="E266" s="88"/>
    </row>
    <row r="267" ht="23.1" customHeight="1">
      <c r="A267" t="s" s="24">
        <v>482</v>
      </c>
      <c r="B267" s="54">
        <v>42.7324951002145</v>
      </c>
      <c r="C267" s="75">
        <v>-73.67870440771679</v>
      </c>
      <c r="D267" s="86"/>
      <c r="E267" s="88"/>
    </row>
    <row r="268" ht="23.1" customHeight="1">
      <c r="A268" t="s" s="21">
        <v>483</v>
      </c>
      <c r="B268" s="46">
        <v>42.7324192323482</v>
      </c>
      <c r="C268" s="73">
        <v>-73.6777335093083</v>
      </c>
      <c r="D268" s="86"/>
      <c r="E268" s="88"/>
    </row>
    <row r="269" ht="23.1" customHeight="1">
      <c r="A269" t="s" s="24">
        <v>484</v>
      </c>
      <c r="B269" s="54">
        <v>42.7328744395459</v>
      </c>
      <c r="C269" s="75">
        <v>-73.67764437765121</v>
      </c>
      <c r="D269" s="86"/>
      <c r="E269" s="88"/>
    </row>
    <row r="270" ht="23.1" customHeight="1">
      <c r="A270" t="s" s="21">
        <v>485</v>
      </c>
      <c r="B270" s="46">
        <v>42.7331606683141</v>
      </c>
      <c r="C270" s="73">
        <v>-73.6775393296266</v>
      </c>
      <c r="D270" s="86"/>
      <c r="E270" s="88"/>
    </row>
    <row r="271" ht="23.1" customHeight="1">
      <c r="A271" t="s" s="24">
        <v>486</v>
      </c>
      <c r="B271" s="54">
        <v>42.7319663241769</v>
      </c>
      <c r="C271" s="75">
        <v>-73.6788317386557</v>
      </c>
      <c r="D271" s="86"/>
      <c r="E271" s="88"/>
    </row>
    <row r="272" ht="23.1" customHeight="1">
      <c r="A272" t="s" s="21">
        <v>487</v>
      </c>
      <c r="B272" s="46">
        <v>42.7318697650743</v>
      </c>
      <c r="C272" s="73">
        <v>-73.6798440196193</v>
      </c>
      <c r="D272" s="86"/>
      <c r="E272" s="88"/>
    </row>
    <row r="273" ht="23.1" customHeight="1">
      <c r="A273" t="s" s="24">
        <v>488</v>
      </c>
      <c r="B273" s="54">
        <v>42.7317938972081</v>
      </c>
      <c r="C273" s="75">
        <v>-73.6807735354727</v>
      </c>
      <c r="D273" s="86"/>
      <c r="E273" s="88"/>
    </row>
    <row r="274" ht="23.1" customHeight="1">
      <c r="A274" t="s" s="21">
        <v>489</v>
      </c>
      <c r="B274" s="46">
        <v>42.7306443840828</v>
      </c>
      <c r="C274" s="73">
        <v>-73.67208319889809</v>
      </c>
      <c r="D274" s="86"/>
      <c r="E274" s="88"/>
    </row>
    <row r="275" ht="23.1" customHeight="1">
      <c r="A275" t="s" s="24">
        <v>490</v>
      </c>
      <c r="B275" s="54">
        <v>42.7306443840828</v>
      </c>
      <c r="C275" s="75">
        <v>-73.671446544204</v>
      </c>
      <c r="D275" s="86"/>
      <c r="E275" s="88"/>
    </row>
    <row r="276" ht="23.1" customHeight="1">
      <c r="A276" t="s" s="21">
        <v>491</v>
      </c>
      <c r="B276" s="46">
        <v>42.7306754209371</v>
      </c>
      <c r="C276" s="73">
        <v>-73.6707382658569</v>
      </c>
      <c r="D276" s="86"/>
      <c r="E276" s="88"/>
    </row>
    <row r="277" ht="23.1" customHeight="1">
      <c r="A277" t="s" s="24">
        <v>492</v>
      </c>
      <c r="B277" s="54">
        <v>42.7308512964453</v>
      </c>
      <c r="C277" s="75">
        <v>-73.6705902436405</v>
      </c>
      <c r="D277" s="86"/>
      <c r="E277" s="88"/>
    </row>
    <row r="278" ht="23.1" customHeight="1">
      <c r="A278" t="s" s="21">
        <v>493</v>
      </c>
      <c r="B278" s="46">
        <v>42.7310007331516</v>
      </c>
      <c r="C278" s="73">
        <v>-73.6706029767344</v>
      </c>
      <c r="D278" s="86"/>
      <c r="E278" s="88"/>
    </row>
    <row r="279" ht="23.1" customHeight="1">
      <c r="A279" t="s" s="24">
        <v>494</v>
      </c>
      <c r="B279" s="54">
        <v>42.7314030627455</v>
      </c>
      <c r="C279" s="75">
        <v>-73.6704501796078</v>
      </c>
      <c r="D279" s="86"/>
      <c r="E279" s="88"/>
    </row>
    <row r="280" ht="23.1" customHeight="1">
      <c r="A280" t="s" s="21">
        <v>495</v>
      </c>
      <c r="B280" s="46">
        <v>42.7314697345067</v>
      </c>
      <c r="C280" s="73">
        <v>-73.6708210309671</v>
      </c>
      <c r="D280" s="86"/>
      <c r="E280" s="88"/>
    </row>
    <row r="281" ht="23.1" customHeight="1">
      <c r="A281" t="s" s="24">
        <v>496</v>
      </c>
      <c r="B281" s="54">
        <v>42.731563994583</v>
      </c>
      <c r="C281" s="75">
        <v>-73.6708894713467</v>
      </c>
      <c r="D281" s="86"/>
      <c r="E281" s="88"/>
    </row>
    <row r="282" ht="23.1" customHeight="1">
      <c r="A282" t="s" s="21">
        <v>497</v>
      </c>
      <c r="B282" s="46">
        <v>42.7316053770555</v>
      </c>
      <c r="C282" s="73">
        <v>-73.6704597294282</v>
      </c>
      <c r="D282" s="86"/>
      <c r="E282" s="88"/>
    </row>
    <row r="283" ht="23.1" customHeight="1">
      <c r="A283" t="s" s="24">
        <v>498</v>
      </c>
      <c r="B283" s="54">
        <v>42.7318605689693</v>
      </c>
      <c r="C283" s="75">
        <v>-73.6703053406649</v>
      </c>
      <c r="D283" s="86"/>
      <c r="E283" s="88"/>
    </row>
    <row r="284" ht="23.1" customHeight="1">
      <c r="A284" t="s" s="21">
        <v>499</v>
      </c>
      <c r="B284" s="46">
        <v>42.7320697803581</v>
      </c>
      <c r="C284" s="73">
        <v>-73.6706093432813</v>
      </c>
      <c r="D284" s="86"/>
      <c r="E284" s="88"/>
    </row>
    <row r="285" ht="23.1" customHeight="1">
      <c r="A285" t="s" s="24">
        <v>500</v>
      </c>
      <c r="B285" s="54">
        <v>42.7322870383388</v>
      </c>
      <c r="C285" s="75">
        <v>-73.67068574184459</v>
      </c>
      <c r="D285" s="86"/>
      <c r="E285" s="88"/>
    </row>
    <row r="286" ht="23.1" customHeight="1">
      <c r="A286" t="s" s="21">
        <v>501</v>
      </c>
      <c r="B286" s="46">
        <v>42.7321088638044</v>
      </c>
      <c r="C286" s="73">
        <v>-73.6712650976162</v>
      </c>
      <c r="D286" s="86"/>
      <c r="E286" s="88"/>
    </row>
    <row r="287" ht="23.1" customHeight="1">
      <c r="A287" t="s" s="24">
        <v>502</v>
      </c>
      <c r="B287" s="54">
        <v>42.7323376169163</v>
      </c>
      <c r="C287" s="75">
        <v>-73.6712014321468</v>
      </c>
      <c r="D287" s="86"/>
      <c r="E287" s="88"/>
    </row>
    <row r="288" ht="23.1" customHeight="1">
      <c r="A288" t="s" s="21">
        <v>503</v>
      </c>
      <c r="B288" s="46">
        <v>42.7321456482244</v>
      </c>
      <c r="C288" s="73">
        <v>-73.67166459843681</v>
      </c>
      <c r="D288" s="86"/>
      <c r="E288" s="88"/>
    </row>
    <row r="289" ht="23.1" customHeight="1">
      <c r="A289" t="s" s="24">
        <v>504</v>
      </c>
      <c r="B289" s="54">
        <v>42.7314605384017</v>
      </c>
      <c r="C289" s="75">
        <v>-73.67110275066921</v>
      </c>
      <c r="D289" s="86"/>
      <c r="E289" s="88"/>
    </row>
    <row r="290" ht="23.1" customHeight="1">
      <c r="A290" t="s" s="21">
        <v>505</v>
      </c>
      <c r="B290" s="46">
        <v>42.7315444528599</v>
      </c>
      <c r="C290" s="73">
        <v>-73.67183808684091</v>
      </c>
      <c r="D290" s="86"/>
      <c r="E290" s="88"/>
    </row>
    <row r="291" ht="23.1" customHeight="1">
      <c r="A291" t="s" s="24">
        <v>506</v>
      </c>
      <c r="B291" s="54">
        <v>42.7325410807395</v>
      </c>
      <c r="C291" s="75">
        <v>-73.670178009726</v>
      </c>
      <c r="D291" s="86"/>
      <c r="E291" s="88"/>
    </row>
    <row r="292" ht="23.1" customHeight="1">
      <c r="A292" t="s" s="21">
        <v>507</v>
      </c>
      <c r="B292" s="46">
        <v>42.7324767080045</v>
      </c>
      <c r="C292" s="73">
        <v>-73.6696066121381</v>
      </c>
      <c r="D292" s="86"/>
      <c r="E292" s="88"/>
    </row>
    <row r="293" ht="23.1" customHeight="1">
      <c r="A293" t="s" s="24">
        <v>508</v>
      </c>
      <c r="B293" s="54">
        <v>42.732315776167</v>
      </c>
      <c r="C293" s="75">
        <v>-73.6686293471826</v>
      </c>
      <c r="D293" s="86"/>
      <c r="E293" s="88"/>
    </row>
    <row r="294" ht="23.1" customHeight="1">
      <c r="A294" t="s" s="21">
        <v>509</v>
      </c>
      <c r="B294" s="46">
        <v>42.7317168798287</v>
      </c>
      <c r="C294" s="73">
        <v>-73.66882034359089</v>
      </c>
      <c r="D294" s="86"/>
      <c r="E294" s="88"/>
    </row>
    <row r="295" ht="23.1" customHeight="1">
      <c r="A295" t="s" s="24">
        <v>510</v>
      </c>
      <c r="B295" s="54">
        <v>42.7317732059718</v>
      </c>
      <c r="C295" s="75">
        <v>-73.66976418417489</v>
      </c>
      <c r="D295" s="86"/>
      <c r="E295" s="88"/>
    </row>
    <row r="296" ht="23.1" customHeight="1">
      <c r="A296" t="s" s="21">
        <v>511</v>
      </c>
      <c r="B296" s="46">
        <v>42.731361680273</v>
      </c>
      <c r="C296" s="73">
        <v>-73.6690590891012</v>
      </c>
      <c r="D296" s="86"/>
      <c r="E296" s="88"/>
    </row>
    <row r="297" ht="23.1" customHeight="1">
      <c r="A297" t="s" s="24">
        <v>512</v>
      </c>
      <c r="B297" s="54">
        <v>42.731490425743</v>
      </c>
      <c r="C297" s="75">
        <v>-73.6686707297378</v>
      </c>
      <c r="D297" s="86"/>
      <c r="E297" s="88"/>
    </row>
    <row r="298" ht="23.1" customHeight="1">
      <c r="A298" t="s" s="21">
        <v>513</v>
      </c>
      <c r="B298" s="46">
        <v>42.7315846858193</v>
      </c>
      <c r="C298" s="73">
        <v>-73.6688967421542</v>
      </c>
      <c r="D298" s="86"/>
      <c r="E298" s="88"/>
    </row>
    <row r="299" ht="23.1" customHeight="1">
      <c r="A299" t="s" s="24">
        <v>514</v>
      </c>
      <c r="B299" s="54">
        <v>42.7311202825166</v>
      </c>
      <c r="C299" s="75">
        <v>-73.6690368061869</v>
      </c>
      <c r="D299" s="86"/>
      <c r="E299" s="88"/>
    </row>
    <row r="300" ht="23.1" customHeight="1">
      <c r="A300" t="s" s="21">
        <v>515</v>
      </c>
      <c r="B300" s="46">
        <v>42.7312421309079</v>
      </c>
      <c r="C300" s="73">
        <v>-73.6695365801217</v>
      </c>
      <c r="D300" s="86"/>
      <c r="E300" s="88"/>
    </row>
    <row r="301" ht="23.1" customHeight="1">
      <c r="A301" t="s" s="24">
        <v>516</v>
      </c>
      <c r="B301" s="54">
        <v>42.7312766163017</v>
      </c>
      <c r="C301" s="75">
        <v>-73.6701334438975</v>
      </c>
      <c r="D301" s="86"/>
      <c r="E301" s="88"/>
    </row>
    <row r="302" ht="23.1" customHeight="1">
      <c r="A302" t="s" s="21">
        <v>517</v>
      </c>
      <c r="B302" s="46">
        <v>42.7308489974191</v>
      </c>
      <c r="C302" s="73">
        <v>-73.670184376273</v>
      </c>
      <c r="D302" s="86"/>
      <c r="E302" s="88"/>
    </row>
    <row r="303" ht="23.1" customHeight="1">
      <c r="A303" t="s" s="24">
        <v>518</v>
      </c>
      <c r="B303" s="54">
        <v>42.7309087721016</v>
      </c>
      <c r="C303" s="75">
        <v>-73.669132304391</v>
      </c>
      <c r="D303" s="86"/>
      <c r="E303" s="88"/>
    </row>
    <row r="304" ht="23.1" customHeight="1">
      <c r="A304" t="s" s="21">
        <v>519</v>
      </c>
      <c r="B304" s="46">
        <v>42.7305294327702</v>
      </c>
      <c r="C304" s="73">
        <v>-73.66858159808061</v>
      </c>
      <c r="D304" s="86"/>
      <c r="E304" s="88"/>
    </row>
    <row r="305" ht="23.1" customHeight="1">
      <c r="A305" t="s" s="24">
        <v>520</v>
      </c>
      <c r="B305" s="54">
        <v>42.7307076073047</v>
      </c>
      <c r="C305" s="75">
        <v>-73.66829987837841</v>
      </c>
      <c r="D305" s="86"/>
      <c r="E305" s="88"/>
    </row>
    <row r="306" ht="23.1" customHeight="1">
      <c r="A306" t="s" s="21">
        <v>521</v>
      </c>
      <c r="B306" s="46">
        <v>42.7312536260392</v>
      </c>
      <c r="C306" s="73">
        <v>-73.66808341578241</v>
      </c>
      <c r="D306" s="86"/>
      <c r="E306" s="88"/>
    </row>
    <row r="307" ht="23.1" customHeight="1">
      <c r="A307" t="s" s="24">
        <v>522</v>
      </c>
      <c r="B307" s="54">
        <v>42.7321801336182</v>
      </c>
      <c r="C307" s="75">
        <v>-73.6681900554437</v>
      </c>
      <c r="D307" s="86"/>
      <c r="E307" s="88"/>
    </row>
    <row r="308" ht="23.1" customHeight="1">
      <c r="A308" t="s" s="21">
        <v>523</v>
      </c>
      <c r="B308" s="46">
        <v>42.7323778498757</v>
      </c>
      <c r="C308" s="73">
        <v>-73.66813593979469</v>
      </c>
      <c r="D308" s="86"/>
      <c r="E308" s="88"/>
    </row>
    <row r="309" ht="23.1" customHeight="1">
      <c r="A309" t="s" s="24">
        <v>524</v>
      </c>
      <c r="B309" s="54">
        <v>42.732426129427</v>
      </c>
      <c r="C309" s="75">
        <v>-73.6685147493377</v>
      </c>
      <c r="D309" s="86"/>
      <c r="E309" s="88"/>
    </row>
    <row r="310" ht="23.1" customHeight="1">
      <c r="A310" t="s" s="21">
        <v>525</v>
      </c>
      <c r="B310" s="46">
        <v>42.7308432498534</v>
      </c>
      <c r="C310" s="73">
        <v>-73.6670424853576</v>
      </c>
      <c r="D310" s="86"/>
      <c r="E310" s="88"/>
    </row>
    <row r="311" ht="23.1" customHeight="1">
      <c r="A311" t="s" s="24">
        <v>526</v>
      </c>
      <c r="B311" s="54">
        <v>42.7297650065419</v>
      </c>
      <c r="C311" s="75">
        <v>-73.66749291855361</v>
      </c>
      <c r="D311" s="86"/>
      <c r="E311" s="88"/>
    </row>
    <row r="312" ht="23.1" customHeight="1">
      <c r="A312" t="s" s="21">
        <v>527</v>
      </c>
      <c r="B312" s="46">
        <v>42.7290189725236</v>
      </c>
      <c r="C312" s="73">
        <v>-73.6680881906926</v>
      </c>
      <c r="D312" s="86"/>
      <c r="E312" s="88"/>
    </row>
    <row r="313" ht="23.1" customHeight="1">
      <c r="A313" t="s" s="24">
        <v>528</v>
      </c>
      <c r="B313" s="54">
        <v>42.728885629001</v>
      </c>
      <c r="C313" s="75">
        <v>-73.6680881906926</v>
      </c>
      <c r="D313" s="86"/>
      <c r="E313" s="88"/>
    </row>
    <row r="314" ht="23.1" customHeight="1">
      <c r="A314" t="s" s="21">
        <v>529</v>
      </c>
      <c r="B314" s="46">
        <v>42.7309271643116</v>
      </c>
      <c r="C314" s="73">
        <v>-73.6668196562146</v>
      </c>
      <c r="D314" s="86"/>
      <c r="E314" s="88"/>
    </row>
    <row r="315" ht="23.1" customHeight="1">
      <c r="A315" t="s" s="24">
        <v>530</v>
      </c>
      <c r="B315" s="54">
        <v>42.7307363451328</v>
      </c>
      <c r="C315" s="75">
        <v>-73.6663803644757</v>
      </c>
      <c r="D315" s="86"/>
      <c r="E315" s="88"/>
    </row>
    <row r="316" ht="23.1" customHeight="1">
      <c r="A316" t="s" s="21">
        <v>531</v>
      </c>
      <c r="B316" s="46">
        <v>42.7305236852046</v>
      </c>
      <c r="C316" s="73">
        <v>-73.66641378884719</v>
      </c>
      <c r="D316" s="86"/>
      <c r="E316" s="88"/>
    </row>
    <row r="317" ht="23.1" customHeight="1">
      <c r="A317" t="s" s="24">
        <v>532</v>
      </c>
      <c r="B317" s="54">
        <v>42.7314180064161</v>
      </c>
      <c r="C317" s="75">
        <v>-73.6663214739165</v>
      </c>
      <c r="D317" s="86"/>
      <c r="E317" s="88"/>
    </row>
    <row r="318" ht="23.1" customHeight="1">
      <c r="A318" t="s" s="21">
        <v>533</v>
      </c>
      <c r="B318" s="46">
        <v>42.7320008095706</v>
      </c>
      <c r="C318" s="73">
        <v>-73.66773803061091</v>
      </c>
      <c r="D318" s="86"/>
      <c r="E318" s="88"/>
    </row>
    <row r="319" ht="23.1" customHeight="1">
      <c r="A319" t="s" s="24">
        <v>534</v>
      </c>
      <c r="B319" s="54">
        <v>42.7313605307598</v>
      </c>
      <c r="C319" s="75">
        <v>-73.66827918710089</v>
      </c>
      <c r="D319" s="86"/>
      <c r="E319" s="88"/>
    </row>
    <row r="320" ht="23.1" customHeight="1">
      <c r="A320" t="s" s="21">
        <v>535</v>
      </c>
      <c r="B320" s="46">
        <v>42.7313030551036</v>
      </c>
      <c r="C320" s="73">
        <v>-73.6678160208109</v>
      </c>
      <c r="D320" s="86"/>
      <c r="E320" s="88"/>
    </row>
    <row r="321" ht="23.1" customHeight="1">
      <c r="A321" t="s" s="24">
        <v>536</v>
      </c>
      <c r="B321" s="54">
        <v>42.7318053923393</v>
      </c>
      <c r="C321" s="75">
        <v>-73.6672875974148</v>
      </c>
      <c r="D321" s="86"/>
      <c r="E321" s="88"/>
    </row>
    <row r="322" ht="23.1" customHeight="1">
      <c r="A322" t="s" s="21">
        <v>537</v>
      </c>
      <c r="B322" s="46">
        <v>42.7313168492611</v>
      </c>
      <c r="C322" s="73">
        <v>-73.6669151544188</v>
      </c>
      <c r="D322" s="86"/>
      <c r="E322" s="88"/>
    </row>
    <row r="323" ht="23.1" customHeight="1">
      <c r="A323" t="s" s="24">
        <v>538</v>
      </c>
      <c r="B323" s="54">
        <v>42.7338342830055</v>
      </c>
      <c r="C323" s="75">
        <v>-73.6676870982354</v>
      </c>
      <c r="D323" s="86"/>
      <c r="E323" s="88"/>
    </row>
    <row r="324" ht="23.1" customHeight="1">
      <c r="A324" t="s" s="21">
        <v>539</v>
      </c>
      <c r="B324" s="46">
        <v>42.7337515180605</v>
      </c>
      <c r="C324" s="73">
        <v>-73.6671968741209</v>
      </c>
      <c r="D324" s="86"/>
      <c r="E324" s="88"/>
    </row>
    <row r="325" ht="23.1" customHeight="1">
      <c r="A325" t="s" s="24">
        <v>540</v>
      </c>
      <c r="B325" s="54">
        <v>42.7326824708539</v>
      </c>
      <c r="C325" s="75">
        <v>-73.6674563109087</v>
      </c>
      <c r="D325" s="86"/>
      <c r="E325" s="88"/>
    </row>
    <row r="326" ht="23.1" customHeight="1">
      <c r="A326" t="s" s="21">
        <v>541</v>
      </c>
      <c r="B326" s="46">
        <v>42.7325249875558</v>
      </c>
      <c r="C326" s="73">
        <v>-73.6665124703247</v>
      </c>
      <c r="D326" s="86"/>
      <c r="E326" s="88"/>
    </row>
    <row r="327" ht="23.1" customHeight="1">
      <c r="A327" t="s" s="24">
        <v>542</v>
      </c>
      <c r="B327" s="54">
        <v>42.7336032308673</v>
      </c>
      <c r="C327" s="75">
        <v>-73.6661575353328</v>
      </c>
      <c r="D327" s="86"/>
      <c r="E327" s="88"/>
    </row>
    <row r="328" ht="23.1" customHeight="1">
      <c r="A328" t="s" s="21">
        <v>543</v>
      </c>
      <c r="B328" s="46">
        <v>42.7316502080674</v>
      </c>
      <c r="C328" s="73">
        <v>-73.6667925983901</v>
      </c>
      <c r="D328" s="86"/>
      <c r="E328" s="88"/>
    </row>
    <row r="329" ht="23.1" customHeight="1">
      <c r="A329" t="s" s="24">
        <v>544</v>
      </c>
      <c r="B329" s="54">
        <v>42.7321502462769</v>
      </c>
      <c r="C329" s="75">
        <v>-73.665597279202</v>
      </c>
      <c r="D329" s="86"/>
      <c r="E329" s="88"/>
    </row>
    <row r="330" ht="23.1" customHeight="1">
      <c r="A330" t="s" s="21">
        <v>545</v>
      </c>
      <c r="B330" s="46">
        <v>42.7328284590208</v>
      </c>
      <c r="C330" s="73">
        <v>-73.6647616699159</v>
      </c>
      <c r="D330" s="86"/>
      <c r="E330" s="88"/>
    </row>
    <row r="331" ht="23.1" customHeight="1">
      <c r="A331" t="s" s="24">
        <v>546</v>
      </c>
      <c r="B331" s="54">
        <v>42.7329204200709</v>
      </c>
      <c r="C331" s="75">
        <v>-73.665350575508</v>
      </c>
      <c r="D331" s="86"/>
      <c r="E331" s="88"/>
    </row>
    <row r="332" ht="23.1" customHeight="1">
      <c r="A332" t="s" s="21">
        <v>547</v>
      </c>
      <c r="B332" s="46">
        <v>42.7330123811209</v>
      </c>
      <c r="C332" s="73">
        <v>-73.6656880024959</v>
      </c>
      <c r="D332" s="86"/>
      <c r="E332" s="88"/>
    </row>
    <row r="333" ht="23.1" customHeight="1">
      <c r="A333" t="s" s="24">
        <v>548</v>
      </c>
      <c r="B333" s="54">
        <v>42.7330491655409</v>
      </c>
      <c r="C333" s="75">
        <v>-73.6659617640143</v>
      </c>
      <c r="D333" s="86"/>
      <c r="E333" s="88"/>
    </row>
    <row r="334" ht="23.1" customHeight="1">
      <c r="A334" t="s" s="21">
        <v>549</v>
      </c>
      <c r="B334" s="46">
        <v>42.7330376704096</v>
      </c>
      <c r="C334" s="73">
        <v>-73.6660827284062</v>
      </c>
      <c r="D334" s="86"/>
      <c r="E334" s="88"/>
    </row>
    <row r="335" ht="23.1" customHeight="1">
      <c r="A335" t="s" s="24">
        <v>550</v>
      </c>
      <c r="B335" s="54">
        <v>42.7324951002145</v>
      </c>
      <c r="C335" s="75">
        <v>-73.6662450753532</v>
      </c>
      <c r="D335" s="86"/>
      <c r="E335" s="88"/>
    </row>
    <row r="336" ht="23.1" customHeight="1">
      <c r="A336" t="s" s="21">
        <v>551</v>
      </c>
      <c r="B336" s="46">
        <v>42.7335997823279</v>
      </c>
      <c r="C336" s="73">
        <v>-73.6658598992633</v>
      </c>
      <c r="D336" s="86"/>
      <c r="E336" s="88"/>
    </row>
    <row r="337" ht="23.1" customHeight="1">
      <c r="A337" t="s" s="24">
        <v>552</v>
      </c>
      <c r="B337" s="54">
        <v>42.7339273935686</v>
      </c>
      <c r="C337" s="75">
        <v>-73.6634040037808</v>
      </c>
      <c r="D337" s="86"/>
      <c r="E337" s="88"/>
    </row>
    <row r="338" ht="23.1" customHeight="1">
      <c r="A338" t="s" s="21">
        <v>553</v>
      </c>
      <c r="B338" s="46">
        <v>42.7334032155835</v>
      </c>
      <c r="C338" s="73">
        <v>-73.66507999726301</v>
      </c>
      <c r="D338" s="86"/>
      <c r="E338" s="88"/>
    </row>
    <row r="339" ht="23.1" customHeight="1">
      <c r="A339" t="s" s="24">
        <v>554</v>
      </c>
      <c r="B339" s="54">
        <v>42.7339319916211</v>
      </c>
      <c r="C339" s="75">
        <v>-73.6649558495976</v>
      </c>
      <c r="D339" s="86"/>
      <c r="E339" s="88"/>
    </row>
    <row r="340" ht="23.1" customHeight="1">
      <c r="A340" t="s" s="21">
        <v>555</v>
      </c>
      <c r="B340" s="46">
        <v>42.734260752375</v>
      </c>
      <c r="C340" s="73">
        <v>-73.6644863167607</v>
      </c>
      <c r="D340" s="86"/>
      <c r="E340" s="88"/>
    </row>
    <row r="341" ht="23.1" customHeight="1">
      <c r="A341" t="s" s="24">
        <v>556</v>
      </c>
      <c r="B341" s="54">
        <v>42.7346527363507</v>
      </c>
      <c r="C341" s="75">
        <v>-73.66439559346681</v>
      </c>
      <c r="D341" s="86"/>
      <c r="E341" s="88"/>
    </row>
    <row r="342" ht="23.1" customHeight="1">
      <c r="A342" t="s" s="21">
        <v>557</v>
      </c>
      <c r="B342" s="46">
        <v>42.734481458895</v>
      </c>
      <c r="C342" s="73">
        <v>-73.6631875411848</v>
      </c>
      <c r="D342" s="86"/>
      <c r="E342" s="88"/>
    </row>
    <row r="343" ht="23.1" customHeight="1">
      <c r="A343" t="s" s="24">
        <v>558</v>
      </c>
      <c r="B343" s="54">
        <v>42.7355872905216</v>
      </c>
      <c r="C343" s="75">
        <v>-73.6642841788954</v>
      </c>
      <c r="D343" s="86"/>
      <c r="E343" s="88"/>
    </row>
    <row r="344" ht="23.1" customHeight="1">
      <c r="A344" t="s" s="21">
        <v>559</v>
      </c>
      <c r="B344" s="46">
        <v>42.7355148711947</v>
      </c>
      <c r="C344" s="73">
        <v>-73.6635201932624</v>
      </c>
      <c r="D344" s="86"/>
      <c r="E344" s="88"/>
    </row>
    <row r="345" ht="23.1" customHeight="1">
      <c r="A345" t="s" s="24">
        <v>560</v>
      </c>
      <c r="B345" s="54">
        <v>42.7355298148653</v>
      </c>
      <c r="C345" s="75">
        <v>-73.6638305624258</v>
      </c>
      <c r="D345" s="86"/>
      <c r="E345" s="88"/>
    </row>
    <row r="346" ht="23.1" customHeight="1">
      <c r="A346" t="s" s="21">
        <v>561</v>
      </c>
      <c r="B346" s="46">
        <v>42.7353780791328</v>
      </c>
      <c r="C346" s="73">
        <v>-73.66385443697681</v>
      </c>
      <c r="D346" s="86"/>
      <c r="E346" s="88"/>
    </row>
    <row r="347" ht="23.1" customHeight="1">
      <c r="A347" t="s" s="24">
        <v>562</v>
      </c>
      <c r="B347" s="54">
        <v>42.7354378538153</v>
      </c>
      <c r="C347" s="75">
        <v>-73.6632177822827</v>
      </c>
      <c r="D347" s="86"/>
      <c r="E347" s="88"/>
    </row>
    <row r="348" ht="23.1" customHeight="1">
      <c r="A348" t="s" s="21">
        <v>563</v>
      </c>
      <c r="B348" s="46">
        <v>42.7352918656484</v>
      </c>
      <c r="C348" s="73">
        <v>-73.6632384735603</v>
      </c>
      <c r="D348" s="86"/>
      <c r="E348" s="88"/>
    </row>
    <row r="349" ht="23.1" customHeight="1">
      <c r="A349" t="s" s="24">
        <v>564</v>
      </c>
      <c r="B349" s="54">
        <v>42.7353389956865</v>
      </c>
      <c r="C349" s="75">
        <v>-73.6635615758176</v>
      </c>
      <c r="D349" s="86"/>
      <c r="E349" s="88"/>
    </row>
    <row r="350" ht="23.1" customHeight="1">
      <c r="A350" t="s" s="21">
        <v>565</v>
      </c>
      <c r="B350" s="46">
        <v>42.7349665534339</v>
      </c>
      <c r="C350" s="73">
        <v>-73.6633642128624</v>
      </c>
      <c r="D350" s="86"/>
      <c r="E350" s="88"/>
    </row>
    <row r="351" ht="23.1" customHeight="1">
      <c r="A351" t="s" s="24">
        <v>566</v>
      </c>
      <c r="B351" s="54">
        <v>42.7351010464696</v>
      </c>
      <c r="C351" s="75">
        <v>-73.6638974111687</v>
      </c>
      <c r="D351" s="86"/>
      <c r="E351" s="88"/>
    </row>
    <row r="352" ht="23.1" customHeight="1">
      <c r="A352" t="s" s="21">
        <v>567</v>
      </c>
      <c r="B352" s="46">
        <v>42.7354033684215</v>
      </c>
      <c r="C352" s="73">
        <v>-73.66292492112341</v>
      </c>
      <c r="D352" s="86"/>
      <c r="E352" s="88"/>
    </row>
    <row r="353" ht="23.1" customHeight="1">
      <c r="A353" t="s" s="24">
        <v>568</v>
      </c>
      <c r="B353" s="54">
        <v>42.7327433950496</v>
      </c>
      <c r="C353" s="75">
        <v>-73.6683269362029</v>
      </c>
      <c r="D353" s="86"/>
      <c r="E353" s="88"/>
    </row>
    <row r="354" ht="23.1" customHeight="1">
      <c r="A354" t="s" s="21">
        <v>569</v>
      </c>
      <c r="B354" s="46">
        <v>42.7339319916211</v>
      </c>
      <c r="C354" s="73">
        <v>-73.6657325683245</v>
      </c>
      <c r="D354" s="86"/>
      <c r="E354" s="88"/>
    </row>
    <row r="355" ht="23.1" customHeight="1">
      <c r="A355" t="s" s="24">
        <v>570</v>
      </c>
      <c r="B355" s="54">
        <v>42.7339986633824</v>
      </c>
      <c r="C355" s="75">
        <v>-73.6661718600634</v>
      </c>
      <c r="D355" s="86"/>
      <c r="E355" s="88"/>
    </row>
    <row r="356" ht="23.1" customHeight="1">
      <c r="A356" t="s" s="21">
        <v>571</v>
      </c>
      <c r="B356" s="46">
        <v>42.7348860875151</v>
      </c>
      <c r="C356" s="73">
        <v>-73.6659553974674</v>
      </c>
      <c r="D356" s="86"/>
      <c r="E356" s="88"/>
    </row>
    <row r="357" ht="23.1" customHeight="1">
      <c r="A357" t="s" s="24">
        <v>572</v>
      </c>
      <c r="B357" s="54">
        <v>42.7357884553185</v>
      </c>
      <c r="C357" s="75">
        <v>-73.66570073558979</v>
      </c>
      <c r="D357" s="86"/>
      <c r="E357" s="88"/>
    </row>
    <row r="358" ht="23.1" customHeight="1">
      <c r="A358" t="s" s="21">
        <v>573</v>
      </c>
      <c r="B358" s="46">
        <v>42.735958583261</v>
      </c>
      <c r="C358" s="73">
        <v>-73.6669422122433</v>
      </c>
      <c r="D358" s="86"/>
      <c r="E358" s="88"/>
    </row>
    <row r="359" ht="23.1" customHeight="1">
      <c r="A359" t="s" s="24">
        <v>574</v>
      </c>
      <c r="B359" s="54">
        <v>42.7350746076677</v>
      </c>
      <c r="C359" s="75">
        <v>-73.66720483230461</v>
      </c>
      <c r="D359" s="86"/>
      <c r="E359" s="88"/>
    </row>
    <row r="360" ht="23.1" customHeight="1">
      <c r="A360" t="s" s="21">
        <v>575</v>
      </c>
      <c r="B360" s="46">
        <v>42.7348171167276</v>
      </c>
      <c r="C360" s="73">
        <v>-73.66548427299379</v>
      </c>
      <c r="D360" s="86"/>
      <c r="E360" s="88"/>
    </row>
    <row r="361" ht="23.1" customHeight="1">
      <c r="A361" t="s" s="24">
        <v>576</v>
      </c>
      <c r="B361" s="54">
        <v>42.7338975062274</v>
      </c>
      <c r="C361" s="75">
        <v>-73.66531874277329</v>
      </c>
      <c r="D361" s="86"/>
      <c r="E361" s="88"/>
    </row>
    <row r="362" ht="23.1" customHeight="1">
      <c r="A362" t="s" s="21">
        <v>577</v>
      </c>
      <c r="B362" s="46">
        <v>42.7346159519307</v>
      </c>
      <c r="C362" s="73">
        <v>-73.66494948305071</v>
      </c>
      <c r="D362" s="86"/>
      <c r="E362" s="88"/>
    </row>
    <row r="363" ht="23.1" customHeight="1">
      <c r="A363" t="s" s="24">
        <v>578</v>
      </c>
      <c r="B363" s="54">
        <v>42.7356620088747</v>
      </c>
      <c r="C363" s="75">
        <v>-73.66493674995679</v>
      </c>
      <c r="D363" s="86"/>
      <c r="E363" s="88"/>
    </row>
    <row r="364" ht="23.1" customHeight="1">
      <c r="A364" t="s" s="21">
        <v>579</v>
      </c>
      <c r="B364" s="46">
        <v>42.736224120793</v>
      </c>
      <c r="C364" s="73">
        <v>-73.6638146460585</v>
      </c>
      <c r="D364" s="86"/>
      <c r="E364" s="88"/>
    </row>
    <row r="365" ht="23.1" customHeight="1">
      <c r="A365" t="s" s="24">
        <v>580</v>
      </c>
      <c r="B365" s="54">
        <v>42.7366678328594</v>
      </c>
      <c r="C365" s="75">
        <v>-73.6633928623236</v>
      </c>
      <c r="D365" s="86"/>
      <c r="E365" s="88"/>
    </row>
    <row r="366" ht="23.1" customHeight="1">
      <c r="A366" t="s" s="21">
        <v>581</v>
      </c>
      <c r="B366" s="46">
        <v>42.7377368800659</v>
      </c>
      <c r="C366" s="73">
        <v>-73.66645676303899</v>
      </c>
      <c r="D366" s="86"/>
      <c r="E366" s="88"/>
    </row>
    <row r="367" ht="23.1" customHeight="1">
      <c r="A367" t="s" s="24">
        <v>582</v>
      </c>
      <c r="B367" s="54">
        <v>42.7382311707098</v>
      </c>
      <c r="C367" s="75">
        <v>-73.67002998750969</v>
      </c>
      <c r="D367" s="86"/>
      <c r="E367" s="88"/>
    </row>
    <row r="368" ht="23.1" customHeight="1">
      <c r="A368" t="s" s="21">
        <v>583</v>
      </c>
      <c r="B368" s="46">
        <v>42.7368057744344</v>
      </c>
      <c r="C368" s="73">
        <v>-73.6703960639588</v>
      </c>
      <c r="D368" s="86"/>
      <c r="E368" s="88"/>
    </row>
    <row r="369" ht="23.1" customHeight="1">
      <c r="A369" t="s" s="24">
        <v>584</v>
      </c>
      <c r="B369" s="54">
        <v>42.7364183885112</v>
      </c>
      <c r="C369" s="75">
        <v>-73.67054886108539</v>
      </c>
      <c r="D369" s="86"/>
      <c r="E369" s="88"/>
    </row>
    <row r="370" ht="23.1" customHeight="1">
      <c r="A370" t="s" s="21">
        <v>585</v>
      </c>
      <c r="B370" s="46">
        <v>42.7345757189713</v>
      </c>
      <c r="C370" s="73">
        <v>-73.6710422684733</v>
      </c>
      <c r="D370" s="86"/>
      <c r="E370" s="88"/>
    </row>
    <row r="371" ht="23.1" customHeight="1">
      <c r="A371" t="s" s="24">
        <v>586</v>
      </c>
      <c r="B371" s="54">
        <v>42.7350125339589</v>
      </c>
      <c r="C371" s="75">
        <v>-73.67399316298049</v>
      </c>
      <c r="D371" s="86"/>
      <c r="E371" s="88"/>
    </row>
    <row r="372" ht="23.1" customHeight="1">
      <c r="A372" t="s" s="21">
        <v>587</v>
      </c>
      <c r="B372" s="46">
        <v>42.7342308650337</v>
      </c>
      <c r="C372" s="73">
        <v>-73.6742478248581</v>
      </c>
      <c r="D372" s="86"/>
      <c r="E372" s="88"/>
    </row>
    <row r="373" ht="23.1" customHeight="1">
      <c r="A373" t="s" s="24">
        <v>588</v>
      </c>
      <c r="B373" s="54">
        <v>42.7372195991595</v>
      </c>
      <c r="C373" s="75">
        <v>-73.6733978908415</v>
      </c>
      <c r="D373" s="86"/>
      <c r="E373" s="88"/>
    </row>
    <row r="374" ht="23.1" customHeight="1">
      <c r="A374" t="s" s="21">
        <v>589</v>
      </c>
      <c r="B374" s="46">
        <v>42.7352688753859</v>
      </c>
      <c r="C374" s="73">
        <v>-73.6759508761648</v>
      </c>
      <c r="D374" s="86"/>
      <c r="E374" s="88"/>
    </row>
    <row r="375" ht="23.1" customHeight="1">
      <c r="A375" t="s" s="24">
        <v>590</v>
      </c>
      <c r="B375" s="54">
        <v>42.738920878585</v>
      </c>
      <c r="C375" s="75">
        <v>-73.6749322286543</v>
      </c>
      <c r="D375" s="86"/>
      <c r="E375" s="88"/>
    </row>
    <row r="376" ht="23.1" customHeight="1">
      <c r="A376" t="s" s="21">
        <v>591</v>
      </c>
      <c r="B376" s="46">
        <v>42.7367540463438</v>
      </c>
      <c r="C376" s="73">
        <v>-73.669961547130</v>
      </c>
      <c r="D376" s="86"/>
      <c r="E376" s="88"/>
    </row>
    <row r="377" ht="23.1" customHeight="1">
      <c r="A377" t="s" s="24">
        <v>592</v>
      </c>
      <c r="B377" s="54">
        <v>42.7295615427187</v>
      </c>
      <c r="C377" s="75">
        <v>-73.6796275570233</v>
      </c>
      <c r="D377" s="86"/>
      <c r="E377" s="88"/>
    </row>
    <row r="378" ht="23.1" customHeight="1">
      <c r="A378" t="s" s="21">
        <v>593</v>
      </c>
      <c r="B378" s="46">
        <v>42.7304891998108</v>
      </c>
      <c r="C378" s="73">
        <v>-73.67771759294099</v>
      </c>
      <c r="D378" s="86"/>
      <c r="E378" s="88"/>
    </row>
    <row r="379" ht="13.55" customHeight="1">
      <c r="A379" s="68"/>
      <c r="B379" s="69"/>
      <c r="C379" s="69"/>
      <c r="D379" s="39"/>
      <c r="E379" s="4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586"/>
  <sheetViews>
    <sheetView workbookViewId="0" showGridLines="0" defaultGridColor="1"/>
  </sheetViews>
  <sheetFormatPr defaultColWidth="8.83333" defaultRowHeight="14.25" customHeight="1" outlineLevelRow="0" outlineLevelCol="0"/>
  <cols>
    <col min="1" max="2" width="64" style="92" customWidth="1"/>
    <col min="3" max="3" width="20" style="92" customWidth="1"/>
    <col min="4" max="4" width="8.85156" style="92" customWidth="1"/>
    <col min="5" max="5" width="87" style="92" customWidth="1"/>
    <col min="6" max="16384" width="8.85156" style="92" customWidth="1"/>
  </cols>
  <sheetData>
    <row r="1" ht="36" customHeight="1">
      <c r="A1" t="s" s="17">
        <v>1313</v>
      </c>
      <c r="B1" t="s" s="18">
        <v>1314</v>
      </c>
      <c r="C1" t="s" s="19">
        <v>1315</v>
      </c>
      <c r="D1" s="84"/>
      <c r="E1" t="s" s="85">
        <v>1299</v>
      </c>
    </row>
    <row r="2" ht="23.1" customHeight="1">
      <c r="A2" t="s" s="21">
        <v>223</v>
      </c>
      <c r="B2" t="s" s="45">
        <v>224</v>
      </c>
      <c r="C2" t="b" s="52">
        <v>1</v>
      </c>
      <c r="D2" s="86"/>
      <c r="E2" t="s" s="87">
        <v>1316</v>
      </c>
    </row>
    <row r="3" ht="23.1" customHeight="1">
      <c r="A3" t="s" s="24">
        <v>219</v>
      </c>
      <c r="B3" t="s" s="53">
        <v>224</v>
      </c>
      <c r="C3" t="b" s="57">
        <v>1</v>
      </c>
      <c r="D3" s="86"/>
      <c r="E3" s="88"/>
    </row>
    <row r="4" ht="23.1" customHeight="1">
      <c r="A4" t="s" s="21">
        <v>220</v>
      </c>
      <c r="B4" t="s" s="45">
        <v>219</v>
      </c>
      <c r="C4" t="b" s="52">
        <v>1</v>
      </c>
      <c r="D4" s="86"/>
      <c r="E4" t="s" s="87">
        <v>1301</v>
      </c>
    </row>
    <row r="5" ht="23.1" customHeight="1">
      <c r="A5" t="s" s="24">
        <v>220</v>
      </c>
      <c r="B5" t="s" s="53">
        <v>221</v>
      </c>
      <c r="C5" t="b" s="57">
        <v>1</v>
      </c>
      <c r="D5" s="86"/>
      <c r="E5" s="88"/>
    </row>
    <row r="6" ht="23.1" customHeight="1">
      <c r="A6" t="s" s="21">
        <v>222</v>
      </c>
      <c r="B6" t="s" s="45">
        <v>221</v>
      </c>
      <c r="C6" t="b" s="52">
        <v>1</v>
      </c>
      <c r="D6" s="86"/>
      <c r="E6" t="s" s="89">
        <v>1302</v>
      </c>
    </row>
    <row r="7" ht="23.1" customHeight="1">
      <c r="A7" t="s" s="24">
        <v>223</v>
      </c>
      <c r="B7" t="s" s="53">
        <v>226</v>
      </c>
      <c r="C7" t="b" s="57">
        <v>1</v>
      </c>
      <c r="D7" s="86"/>
      <c r="E7" t="s" s="87">
        <v>1317</v>
      </c>
    </row>
    <row r="8" ht="23.1" customHeight="1">
      <c r="A8" t="s" s="21">
        <v>225</v>
      </c>
      <c r="B8" t="s" s="45">
        <v>226</v>
      </c>
      <c r="C8" t="b" s="52">
        <v>1</v>
      </c>
      <c r="D8" s="86"/>
      <c r="E8" s="88"/>
    </row>
    <row r="9" ht="23.1" customHeight="1">
      <c r="A9" t="s" s="24">
        <v>228</v>
      </c>
      <c r="B9" t="s" s="53">
        <v>225</v>
      </c>
      <c r="C9" t="b" s="57">
        <v>1</v>
      </c>
      <c r="D9" s="86"/>
      <c r="E9" t="s" s="89">
        <v>1305</v>
      </c>
    </row>
    <row r="10" ht="48" customHeight="1">
      <c r="A10" t="s" s="21">
        <v>228</v>
      </c>
      <c r="B10" t="s" s="45">
        <v>227</v>
      </c>
      <c r="C10" t="b" s="52">
        <v>1</v>
      </c>
      <c r="D10" s="86"/>
      <c r="E10" t="s" s="90">
        <v>1318</v>
      </c>
    </row>
    <row r="11" ht="23.1" customHeight="1">
      <c r="A11" t="s" s="24">
        <v>218</v>
      </c>
      <c r="B11" t="s" s="53">
        <v>229</v>
      </c>
      <c r="C11" t="b" s="57">
        <v>1</v>
      </c>
      <c r="D11" s="86"/>
      <c r="E11" s="88"/>
    </row>
    <row r="12" ht="23.1" customHeight="1">
      <c r="A12" t="s" s="21">
        <v>224</v>
      </c>
      <c r="B12" t="s" s="45">
        <v>229</v>
      </c>
      <c r="C12" t="b" s="52">
        <v>1</v>
      </c>
      <c r="D12" s="86"/>
      <c r="E12" t="s" s="87">
        <v>1307</v>
      </c>
    </row>
    <row r="13" ht="23.1" customHeight="1">
      <c r="A13" t="s" s="24">
        <v>223</v>
      </c>
      <c r="B13" t="s" s="53">
        <v>230</v>
      </c>
      <c r="C13" t="b" s="57">
        <v>1</v>
      </c>
      <c r="D13" s="86"/>
      <c r="E13" s="88"/>
    </row>
    <row r="14" ht="23.1" customHeight="1">
      <c r="A14" t="s" s="21">
        <v>222</v>
      </c>
      <c r="B14" t="s" s="45">
        <v>230</v>
      </c>
      <c r="C14" t="b" s="52">
        <v>1</v>
      </c>
      <c r="D14" s="86"/>
      <c r="E14" t="s" s="87">
        <v>1308</v>
      </c>
    </row>
    <row r="15" ht="23.1" customHeight="1">
      <c r="A15" t="s" s="24">
        <v>225</v>
      </c>
      <c r="B15" t="s" s="53">
        <v>231</v>
      </c>
      <c r="C15" t="b" s="57">
        <v>1</v>
      </c>
      <c r="D15" s="86"/>
      <c r="E15" s="88"/>
    </row>
    <row r="16" ht="23.1" customHeight="1">
      <c r="A16" t="s" s="21">
        <v>232</v>
      </c>
      <c r="B16" t="s" s="45">
        <v>231</v>
      </c>
      <c r="C16" t="b" s="52">
        <v>1</v>
      </c>
      <c r="D16" s="86"/>
      <c r="E16" t="s" s="87">
        <v>1309</v>
      </c>
    </row>
    <row r="17" ht="23.1" customHeight="1">
      <c r="A17" t="s" s="24">
        <v>233</v>
      </c>
      <c r="B17" t="s" s="53">
        <v>232</v>
      </c>
      <c r="C17" t="b" s="57">
        <v>1</v>
      </c>
      <c r="D17" s="86"/>
      <c r="E17" s="88"/>
    </row>
    <row r="18" ht="23.1" customHeight="1">
      <c r="A18" t="s" s="21">
        <v>221</v>
      </c>
      <c r="B18" t="s" s="45">
        <v>235</v>
      </c>
      <c r="C18" t="b" s="52">
        <v>1</v>
      </c>
      <c r="D18" s="86"/>
      <c r="E18" s="88"/>
    </row>
    <row r="19" ht="23.1" customHeight="1">
      <c r="A19" t="s" s="24">
        <v>234</v>
      </c>
      <c r="B19" t="s" s="53">
        <v>235</v>
      </c>
      <c r="C19" t="b" s="57">
        <v>1</v>
      </c>
      <c r="D19" s="86"/>
      <c r="E19" s="88"/>
    </row>
    <row r="20" ht="23.1" customHeight="1">
      <c r="A20" t="s" s="21">
        <v>233</v>
      </c>
      <c r="B20" t="s" s="45">
        <v>234</v>
      </c>
      <c r="C20" t="b" s="52">
        <v>1</v>
      </c>
      <c r="D20" s="86"/>
      <c r="E20" s="88"/>
    </row>
    <row r="21" ht="23.1" customHeight="1">
      <c r="A21" t="s" s="24">
        <v>222</v>
      </c>
      <c r="B21" t="s" s="53">
        <v>236</v>
      </c>
      <c r="C21" t="b" s="57">
        <v>1</v>
      </c>
      <c r="D21" s="86"/>
      <c r="E21" s="88"/>
    </row>
    <row r="22" ht="23.1" customHeight="1">
      <c r="A22" t="s" s="21">
        <v>76</v>
      </c>
      <c r="B22" t="s" s="45">
        <v>236</v>
      </c>
      <c r="C22" t="b" s="52">
        <v>1</v>
      </c>
      <c r="D22" s="86"/>
      <c r="E22" s="88"/>
    </row>
    <row r="23" ht="23.1" customHeight="1">
      <c r="A23" t="s" s="24">
        <v>233</v>
      </c>
      <c r="B23" t="s" s="53">
        <v>236</v>
      </c>
      <c r="C23" t="b" s="57">
        <v>1</v>
      </c>
      <c r="D23" s="86"/>
      <c r="E23" s="88"/>
    </row>
    <row r="24" ht="23.1" customHeight="1">
      <c r="A24" t="s" s="21">
        <v>106</v>
      </c>
      <c r="B24" t="s" s="45">
        <v>237</v>
      </c>
      <c r="C24" t="b" s="52">
        <v>1</v>
      </c>
      <c r="D24" s="86"/>
      <c r="E24" s="88"/>
    </row>
    <row r="25" ht="23.1" customHeight="1">
      <c r="A25" t="s" s="24">
        <v>238</v>
      </c>
      <c r="B25" t="s" s="53">
        <v>237</v>
      </c>
      <c r="C25" t="b" s="57">
        <v>1</v>
      </c>
      <c r="D25" s="86"/>
      <c r="E25" s="88"/>
    </row>
    <row r="26" ht="23.1" customHeight="1">
      <c r="A26" t="s" s="21">
        <v>228</v>
      </c>
      <c r="B26" t="s" s="45">
        <v>240</v>
      </c>
      <c r="C26" t="b" s="52">
        <v>1</v>
      </c>
      <c r="D26" s="86"/>
      <c r="E26" s="88"/>
    </row>
    <row r="27" ht="23.1" customHeight="1">
      <c r="A27" t="s" s="24">
        <v>239</v>
      </c>
      <c r="B27" t="s" s="53">
        <v>240</v>
      </c>
      <c r="C27" t="b" s="57">
        <v>1</v>
      </c>
      <c r="D27" s="86"/>
      <c r="E27" s="88"/>
    </row>
    <row r="28" ht="23.1" customHeight="1">
      <c r="A28" t="s" s="21">
        <v>229</v>
      </c>
      <c r="B28" t="s" s="45">
        <v>240</v>
      </c>
      <c r="C28" t="b" s="52">
        <v>1</v>
      </c>
      <c r="D28" s="86"/>
      <c r="E28" s="88"/>
    </row>
    <row r="29" ht="23.1" customHeight="1">
      <c r="A29" t="s" s="24">
        <v>242</v>
      </c>
      <c r="B29" t="s" s="53">
        <v>234</v>
      </c>
      <c r="C29" t="b" s="57">
        <v>1</v>
      </c>
      <c r="D29" s="86"/>
      <c r="E29" s="88"/>
    </row>
    <row r="30" ht="23.1" customHeight="1">
      <c r="A30" t="s" s="21">
        <v>242</v>
      </c>
      <c r="B30" t="s" s="45">
        <v>243</v>
      </c>
      <c r="C30" t="b" s="52">
        <v>1</v>
      </c>
      <c r="D30" s="86"/>
      <c r="E30" s="88"/>
    </row>
    <row r="31" ht="23.1" customHeight="1">
      <c r="A31" t="s" s="24">
        <v>241</v>
      </c>
      <c r="B31" t="s" s="53">
        <v>244</v>
      </c>
      <c r="C31" t="b" s="57">
        <v>1</v>
      </c>
      <c r="D31" s="86"/>
      <c r="E31" s="88"/>
    </row>
    <row r="32" ht="23.1" customHeight="1">
      <c r="A32" t="s" s="21">
        <v>243</v>
      </c>
      <c r="B32" t="s" s="45">
        <v>244</v>
      </c>
      <c r="C32" t="b" s="52">
        <v>1</v>
      </c>
      <c r="D32" s="86"/>
      <c r="E32" s="88"/>
    </row>
    <row r="33" ht="23.1" customHeight="1">
      <c r="A33" t="s" s="24">
        <v>245</v>
      </c>
      <c r="B33" t="s" s="53">
        <v>244</v>
      </c>
      <c r="C33" t="b" s="57">
        <v>1</v>
      </c>
      <c r="D33" s="86"/>
      <c r="E33" s="88"/>
    </row>
    <row r="34" ht="23.1" customHeight="1">
      <c r="A34" t="s" s="21">
        <v>245</v>
      </c>
      <c r="B34" t="s" s="45">
        <v>247</v>
      </c>
      <c r="C34" t="b" s="52">
        <v>1</v>
      </c>
      <c r="D34" s="86"/>
      <c r="E34" s="88"/>
    </row>
    <row r="35" ht="23.1" customHeight="1">
      <c r="A35" t="s" s="24">
        <v>102</v>
      </c>
      <c r="B35" t="s" s="53">
        <v>246</v>
      </c>
      <c r="C35" t="b" s="57">
        <v>1</v>
      </c>
      <c r="D35" s="86"/>
      <c r="E35" s="88"/>
    </row>
    <row r="36" ht="23.1" customHeight="1">
      <c r="A36" t="s" s="21">
        <v>94</v>
      </c>
      <c r="B36" t="s" s="45">
        <v>246</v>
      </c>
      <c r="C36" t="b" s="52">
        <v>1</v>
      </c>
      <c r="D36" s="86"/>
      <c r="E36" s="88"/>
    </row>
    <row r="37" ht="23.1" customHeight="1">
      <c r="A37" t="s" s="24">
        <v>247</v>
      </c>
      <c r="B37" t="s" s="53">
        <v>246</v>
      </c>
      <c r="C37" t="b" s="57">
        <v>1</v>
      </c>
      <c r="D37" s="86"/>
      <c r="E37" s="88"/>
    </row>
    <row r="38" ht="23.1" customHeight="1">
      <c r="A38" t="s" s="21">
        <v>248</v>
      </c>
      <c r="B38" t="s" s="45">
        <v>244</v>
      </c>
      <c r="C38" t="b" s="52">
        <v>1</v>
      </c>
      <c r="D38" s="86"/>
      <c r="E38" s="88"/>
    </row>
    <row r="39" ht="23.1" customHeight="1">
      <c r="A39" t="s" s="24">
        <v>242</v>
      </c>
      <c r="B39" t="s" s="53">
        <v>252</v>
      </c>
      <c r="C39" t="b" s="57">
        <v>1</v>
      </c>
      <c r="D39" s="86"/>
      <c r="E39" s="88"/>
    </row>
    <row r="40" ht="23.1" customHeight="1">
      <c r="A40" t="s" s="21">
        <v>251</v>
      </c>
      <c r="B40" t="s" s="45">
        <v>252</v>
      </c>
      <c r="C40" t="b" s="52">
        <v>1</v>
      </c>
      <c r="D40" s="86"/>
      <c r="E40" s="88"/>
    </row>
    <row r="41" ht="23.1" customHeight="1">
      <c r="A41" t="s" s="24">
        <v>82</v>
      </c>
      <c r="B41" t="s" s="53">
        <v>250</v>
      </c>
      <c r="C41" t="b" s="57">
        <v>1</v>
      </c>
      <c r="D41" s="86"/>
      <c r="E41" s="88"/>
    </row>
    <row r="42" ht="23.1" customHeight="1">
      <c r="A42" t="s" s="21">
        <v>246</v>
      </c>
      <c r="B42" t="s" s="45">
        <v>250</v>
      </c>
      <c r="C42" t="b" s="52">
        <v>1</v>
      </c>
      <c r="D42" s="86"/>
      <c r="E42" s="88"/>
    </row>
    <row r="43" ht="23.1" customHeight="1">
      <c r="A43" t="s" s="24">
        <v>251</v>
      </c>
      <c r="B43" t="s" s="53">
        <v>250</v>
      </c>
      <c r="C43" t="b" s="57">
        <v>1</v>
      </c>
      <c r="D43" s="86"/>
      <c r="E43" s="88"/>
    </row>
    <row r="44" ht="23.1" customHeight="1">
      <c r="A44" t="s" s="21">
        <v>249</v>
      </c>
      <c r="B44" t="s" s="45">
        <v>250</v>
      </c>
      <c r="C44" t="b" s="52">
        <v>1</v>
      </c>
      <c r="D44" s="86"/>
      <c r="E44" s="88"/>
    </row>
    <row r="45" ht="23.1" customHeight="1">
      <c r="A45" t="s" s="24">
        <v>248</v>
      </c>
      <c r="B45" t="s" s="53">
        <v>249</v>
      </c>
      <c r="C45" t="b" s="57">
        <v>1</v>
      </c>
      <c r="D45" s="86"/>
      <c r="E45" s="88"/>
    </row>
    <row r="46" ht="23.1" customHeight="1">
      <c r="A46" t="s" s="21">
        <v>246</v>
      </c>
      <c r="B46" t="s" s="45">
        <v>253</v>
      </c>
      <c r="C46" t="b" s="52">
        <v>1</v>
      </c>
      <c r="D46" s="86"/>
      <c r="E46" s="88"/>
    </row>
    <row r="47" ht="23.1" customHeight="1">
      <c r="A47" t="s" s="24">
        <v>134</v>
      </c>
      <c r="B47" t="s" s="53">
        <v>254</v>
      </c>
      <c r="C47" t="b" s="57">
        <v>1</v>
      </c>
      <c r="D47" s="86"/>
      <c r="E47" s="88"/>
    </row>
    <row r="48" ht="23.1" customHeight="1">
      <c r="A48" t="s" s="21">
        <v>253</v>
      </c>
      <c r="B48" t="s" s="45">
        <v>254</v>
      </c>
      <c r="C48" t="b" s="52">
        <v>1</v>
      </c>
      <c r="D48" s="86"/>
      <c r="E48" s="88"/>
    </row>
    <row r="49" ht="23.1" customHeight="1">
      <c r="A49" t="s" s="24">
        <v>253</v>
      </c>
      <c r="B49" t="s" s="53">
        <v>112</v>
      </c>
      <c r="C49" t="b" s="57">
        <v>1</v>
      </c>
      <c r="D49" s="86"/>
      <c r="E49" s="88"/>
    </row>
    <row r="50" ht="23.1" customHeight="1">
      <c r="A50" t="s" s="21">
        <v>246</v>
      </c>
      <c r="B50" t="s" s="45">
        <v>256</v>
      </c>
      <c r="C50" t="b" s="52">
        <v>1</v>
      </c>
      <c r="D50" s="86"/>
      <c r="E50" s="88"/>
    </row>
    <row r="51" ht="23.1" customHeight="1">
      <c r="A51" t="s" s="24">
        <v>255</v>
      </c>
      <c r="B51" t="s" s="53">
        <v>256</v>
      </c>
      <c r="C51" t="b" s="57">
        <v>1</v>
      </c>
      <c r="D51" s="86"/>
      <c r="E51" s="88"/>
    </row>
    <row r="52" ht="23.1" customHeight="1">
      <c r="A52" t="s" s="21">
        <v>114</v>
      </c>
      <c r="B52" t="s" s="45">
        <v>255</v>
      </c>
      <c r="C52" t="b" s="52">
        <v>1</v>
      </c>
      <c r="D52" s="86"/>
      <c r="E52" s="88"/>
    </row>
    <row r="53" ht="23.1" customHeight="1">
      <c r="A53" t="s" s="24">
        <v>241</v>
      </c>
      <c r="B53" t="s" s="53">
        <v>257</v>
      </c>
      <c r="C53" t="b" s="57">
        <v>1</v>
      </c>
      <c r="D53" s="86"/>
      <c r="E53" s="88"/>
    </row>
    <row r="54" ht="23.1" customHeight="1">
      <c r="A54" t="s" s="21">
        <v>255</v>
      </c>
      <c r="B54" t="s" s="45">
        <v>257</v>
      </c>
      <c r="C54" t="b" s="52">
        <v>1</v>
      </c>
      <c r="D54" s="86"/>
      <c r="E54" s="88"/>
    </row>
    <row r="55" ht="23.1" customHeight="1">
      <c r="A55" t="s" s="24">
        <v>253</v>
      </c>
      <c r="B55" t="s" s="53">
        <v>258</v>
      </c>
      <c r="C55" t="b" s="57">
        <v>1</v>
      </c>
      <c r="D55" s="86"/>
      <c r="E55" s="88"/>
    </row>
    <row r="56" ht="23.1" customHeight="1">
      <c r="A56" t="s" s="21">
        <v>260</v>
      </c>
      <c r="B56" t="s" s="45">
        <v>259</v>
      </c>
      <c r="C56" t="b" s="52">
        <v>0</v>
      </c>
      <c r="D56" s="86"/>
      <c r="E56" s="88"/>
    </row>
    <row r="57" ht="23.1" customHeight="1">
      <c r="A57" t="s" s="24">
        <v>258</v>
      </c>
      <c r="B57" t="s" s="53">
        <v>259</v>
      </c>
      <c r="C57" t="b" s="57">
        <v>1</v>
      </c>
      <c r="D57" s="86"/>
      <c r="E57" s="88"/>
    </row>
    <row r="58" ht="23.1" customHeight="1">
      <c r="A58" t="s" s="21">
        <v>261</v>
      </c>
      <c r="B58" t="s" s="45">
        <v>259</v>
      </c>
      <c r="C58" t="b" s="52">
        <v>1</v>
      </c>
      <c r="D58" s="86"/>
      <c r="E58" s="88"/>
    </row>
    <row r="59" ht="23.1" customHeight="1">
      <c r="A59" t="s" s="24">
        <v>254</v>
      </c>
      <c r="B59" t="s" s="53">
        <v>262</v>
      </c>
      <c r="C59" t="b" s="57">
        <v>1</v>
      </c>
      <c r="D59" s="86"/>
      <c r="E59" s="88"/>
    </row>
    <row r="60" ht="23.1" customHeight="1">
      <c r="A60" t="s" s="21">
        <v>261</v>
      </c>
      <c r="B60" t="s" s="45">
        <v>262</v>
      </c>
      <c r="C60" t="b" s="52">
        <v>1</v>
      </c>
      <c r="D60" s="86"/>
      <c r="E60" s="88"/>
    </row>
    <row r="61" ht="23.1" customHeight="1">
      <c r="A61" t="s" s="24">
        <v>254</v>
      </c>
      <c r="B61" t="s" s="53">
        <v>263</v>
      </c>
      <c r="C61" t="b" s="57">
        <v>1</v>
      </c>
      <c r="D61" s="86"/>
      <c r="E61" s="88"/>
    </row>
    <row r="62" ht="23.1" customHeight="1">
      <c r="A62" t="s" s="21">
        <v>266</v>
      </c>
      <c r="B62" t="s" s="45">
        <v>160</v>
      </c>
      <c r="C62" t="b" s="52">
        <v>1</v>
      </c>
      <c r="D62" s="86"/>
      <c r="E62" s="88"/>
    </row>
    <row r="63" ht="23.1" customHeight="1">
      <c r="A63" t="s" s="24">
        <v>118</v>
      </c>
      <c r="B63" t="s" s="53">
        <v>265</v>
      </c>
      <c r="C63" t="b" s="57">
        <v>1</v>
      </c>
      <c r="D63" s="86"/>
      <c r="E63" s="88"/>
    </row>
    <row r="64" ht="23.1" customHeight="1">
      <c r="A64" t="s" s="21">
        <v>268</v>
      </c>
      <c r="B64" t="s" s="45">
        <v>265</v>
      </c>
      <c r="C64" t="b" s="52">
        <v>1</v>
      </c>
      <c r="D64" s="86"/>
      <c r="E64" s="88"/>
    </row>
    <row r="65" ht="23.1" customHeight="1">
      <c r="A65" t="s" s="24">
        <v>267</v>
      </c>
      <c r="B65" t="s" s="53">
        <v>265</v>
      </c>
      <c r="C65" t="b" s="57">
        <v>1</v>
      </c>
      <c r="D65" s="86"/>
      <c r="E65" s="88"/>
    </row>
    <row r="66" ht="23.1" customHeight="1">
      <c r="A66" t="s" s="21">
        <v>266</v>
      </c>
      <c r="B66" t="s" s="45">
        <v>268</v>
      </c>
      <c r="C66" t="b" s="52">
        <v>1</v>
      </c>
      <c r="D66" s="86"/>
      <c r="E66" s="88"/>
    </row>
    <row r="67" ht="23.1" customHeight="1">
      <c r="A67" t="s" s="24">
        <v>267</v>
      </c>
      <c r="B67" t="s" s="53">
        <v>266</v>
      </c>
      <c r="C67" t="b" s="57">
        <v>1</v>
      </c>
      <c r="D67" s="86"/>
      <c r="E67" s="88"/>
    </row>
    <row r="68" ht="23.1" customHeight="1">
      <c r="A68" t="s" s="21">
        <v>265</v>
      </c>
      <c r="B68" t="s" s="45">
        <v>266</v>
      </c>
      <c r="C68" t="b" s="52">
        <v>1</v>
      </c>
      <c r="D68" s="86"/>
      <c r="E68" s="88"/>
    </row>
    <row r="69" ht="23.1" customHeight="1">
      <c r="A69" t="s" s="24">
        <v>267</v>
      </c>
      <c r="B69" t="s" s="53">
        <v>268</v>
      </c>
      <c r="C69" t="b" s="57">
        <v>1</v>
      </c>
      <c r="D69" s="86"/>
      <c r="E69" s="88"/>
    </row>
    <row r="70" ht="23.1" customHeight="1">
      <c r="A70" t="s" s="21">
        <v>195</v>
      </c>
      <c r="B70" t="s" s="45">
        <v>267</v>
      </c>
      <c r="C70" t="b" s="52">
        <v>1</v>
      </c>
      <c r="D70" s="86"/>
      <c r="E70" s="88"/>
    </row>
    <row r="71" ht="23.1" customHeight="1">
      <c r="A71" t="s" s="24">
        <v>268</v>
      </c>
      <c r="B71" t="s" s="53">
        <v>195</v>
      </c>
      <c r="C71" t="b" s="57">
        <v>1</v>
      </c>
      <c r="D71" s="86"/>
      <c r="E71" s="88"/>
    </row>
    <row r="72" ht="23.1" customHeight="1">
      <c r="A72" t="s" s="21">
        <v>265</v>
      </c>
      <c r="B72" t="s" s="45">
        <v>264</v>
      </c>
      <c r="C72" t="b" s="52">
        <v>1</v>
      </c>
      <c r="D72" s="86"/>
      <c r="E72" s="88"/>
    </row>
    <row r="73" ht="23.1" customHeight="1">
      <c r="A73" t="s" s="24">
        <v>255</v>
      </c>
      <c r="B73" t="s" s="53">
        <v>269</v>
      </c>
      <c r="C73" t="b" s="57">
        <v>1</v>
      </c>
      <c r="D73" s="86"/>
      <c r="E73" s="88"/>
    </row>
    <row r="74" ht="23.1" customHeight="1">
      <c r="A74" t="s" s="21">
        <v>264</v>
      </c>
      <c r="B74" t="s" s="45">
        <v>269</v>
      </c>
      <c r="C74" t="b" s="52">
        <v>1</v>
      </c>
      <c r="D74" s="86"/>
      <c r="E74" s="88"/>
    </row>
    <row r="75" ht="23.1" customHeight="1">
      <c r="A75" t="s" s="24">
        <v>264</v>
      </c>
      <c r="B75" t="s" s="53">
        <v>263</v>
      </c>
      <c r="C75" t="b" s="57">
        <v>1</v>
      </c>
      <c r="D75" s="86"/>
      <c r="E75" s="88"/>
    </row>
    <row r="76" ht="23.1" customHeight="1">
      <c r="A76" t="s" s="21">
        <v>156</v>
      </c>
      <c r="B76" t="s" s="45">
        <v>264</v>
      </c>
      <c r="C76" t="b" s="52">
        <v>1</v>
      </c>
      <c r="D76" s="86"/>
      <c r="E76" s="88"/>
    </row>
    <row r="77" ht="23.1" customHeight="1">
      <c r="A77" t="s" s="24">
        <v>208</v>
      </c>
      <c r="B77" t="s" s="53">
        <v>263</v>
      </c>
      <c r="C77" t="b" s="57">
        <v>1</v>
      </c>
      <c r="D77" s="86"/>
      <c r="E77" s="88"/>
    </row>
    <row r="78" ht="23.1" customHeight="1">
      <c r="A78" t="s" s="21">
        <v>235</v>
      </c>
      <c r="B78" t="s" s="45">
        <v>270</v>
      </c>
      <c r="C78" t="b" s="52">
        <v>1</v>
      </c>
      <c r="D78" s="86"/>
      <c r="E78" s="88"/>
    </row>
    <row r="79" ht="23.1" customHeight="1">
      <c r="A79" t="s" s="24">
        <v>260</v>
      </c>
      <c r="B79" t="s" s="53">
        <v>270</v>
      </c>
      <c r="C79" t="b" s="57">
        <v>1</v>
      </c>
      <c r="D79" s="86"/>
      <c r="E79" s="88"/>
    </row>
    <row r="80" ht="23.1" customHeight="1">
      <c r="A80" t="s" s="21">
        <v>168</v>
      </c>
      <c r="B80" t="s" s="45">
        <v>271</v>
      </c>
      <c r="C80" t="b" s="52">
        <v>1</v>
      </c>
      <c r="D80" s="86"/>
      <c r="E80" s="88"/>
    </row>
    <row r="81" ht="23.1" customHeight="1">
      <c r="A81" t="s" s="24">
        <v>220</v>
      </c>
      <c r="B81" t="s" s="53">
        <v>271</v>
      </c>
      <c r="C81" t="b" s="57">
        <v>1</v>
      </c>
      <c r="D81" s="86"/>
      <c r="E81" s="88"/>
    </row>
    <row r="82" ht="23.1" customHeight="1">
      <c r="A82" t="s" s="21">
        <v>270</v>
      </c>
      <c r="B82" t="s" s="45">
        <v>176</v>
      </c>
      <c r="C82" t="b" s="52">
        <v>1</v>
      </c>
      <c r="D82" s="86"/>
      <c r="E82" s="88"/>
    </row>
    <row r="83" ht="23.1" customHeight="1">
      <c r="A83" t="s" s="24">
        <v>221</v>
      </c>
      <c r="B83" t="s" s="53">
        <v>176</v>
      </c>
      <c r="C83" t="b" s="57">
        <v>1</v>
      </c>
      <c r="D83" s="86"/>
      <c r="E83" s="88"/>
    </row>
    <row r="84" ht="23.1" customHeight="1">
      <c r="A84" t="s" s="21">
        <v>272</v>
      </c>
      <c r="B84" t="s" s="45">
        <v>176</v>
      </c>
      <c r="C84" t="b" s="52">
        <v>1</v>
      </c>
      <c r="D84" s="86"/>
      <c r="E84" s="88"/>
    </row>
    <row r="85" ht="23.1" customHeight="1">
      <c r="A85" t="s" s="24">
        <v>272</v>
      </c>
      <c r="B85" t="s" s="53">
        <v>260</v>
      </c>
      <c r="C85" t="b" s="57">
        <v>1</v>
      </c>
      <c r="D85" s="86"/>
      <c r="E85" s="88"/>
    </row>
    <row r="86" ht="23.1" customHeight="1">
      <c r="A86" t="s" s="21">
        <v>168</v>
      </c>
      <c r="B86" t="s" s="45">
        <v>273</v>
      </c>
      <c r="C86" t="b" s="52">
        <v>0</v>
      </c>
      <c r="D86" s="86"/>
      <c r="E86" s="88"/>
    </row>
    <row r="87" ht="23.1" customHeight="1">
      <c r="A87" t="s" s="24">
        <v>274</v>
      </c>
      <c r="B87" t="s" s="53">
        <v>273</v>
      </c>
      <c r="C87" t="b" s="57">
        <v>1</v>
      </c>
      <c r="D87" s="86"/>
      <c r="E87" s="88"/>
    </row>
    <row r="88" ht="23.1" customHeight="1">
      <c r="A88" t="s" s="21">
        <v>275</v>
      </c>
      <c r="B88" t="s" s="45">
        <v>273</v>
      </c>
      <c r="C88" t="b" s="52">
        <v>1</v>
      </c>
      <c r="D88" s="86"/>
      <c r="E88" s="88"/>
    </row>
    <row r="89" ht="23.1" customHeight="1">
      <c r="A89" t="s" s="24">
        <v>275</v>
      </c>
      <c r="B89" t="s" s="53">
        <v>276</v>
      </c>
      <c r="C89" t="b" s="57">
        <v>0</v>
      </c>
      <c r="D89" s="86"/>
      <c r="E89" s="88"/>
    </row>
    <row r="90" ht="23.1" customHeight="1">
      <c r="A90" t="s" s="21">
        <v>186</v>
      </c>
      <c r="B90" t="s" s="45">
        <v>276</v>
      </c>
      <c r="C90" t="b" s="52">
        <v>1</v>
      </c>
      <c r="D90" s="86"/>
      <c r="E90" s="88"/>
    </row>
    <row r="91" ht="23.1" customHeight="1">
      <c r="A91" t="s" s="24">
        <v>277</v>
      </c>
      <c r="B91" t="s" s="53">
        <v>278</v>
      </c>
      <c r="C91" t="b" s="57">
        <v>1</v>
      </c>
      <c r="D91" s="86"/>
      <c r="E91" s="88"/>
    </row>
    <row r="92" ht="23.1" customHeight="1">
      <c r="A92" t="s" s="21">
        <v>277</v>
      </c>
      <c r="B92" t="s" s="45">
        <v>279</v>
      </c>
      <c r="C92" t="b" s="52">
        <v>0</v>
      </c>
      <c r="D92" s="86"/>
      <c r="E92" s="88"/>
    </row>
    <row r="93" ht="23.1" customHeight="1">
      <c r="A93" t="s" s="24">
        <v>273</v>
      </c>
      <c r="B93" t="s" s="53">
        <v>279</v>
      </c>
      <c r="C93" t="b" s="57">
        <v>1</v>
      </c>
      <c r="D93" s="86"/>
      <c r="E93" s="88"/>
    </row>
    <row r="94" ht="23.1" customHeight="1">
      <c r="A94" t="s" s="21">
        <v>276</v>
      </c>
      <c r="B94" t="s" s="45">
        <v>150</v>
      </c>
      <c r="C94" t="b" s="52">
        <v>1</v>
      </c>
      <c r="D94" s="86"/>
      <c r="E94" s="88"/>
    </row>
    <row r="95" ht="23.1" customHeight="1">
      <c r="A95" t="s" s="24">
        <v>116</v>
      </c>
      <c r="B95" t="s" s="53">
        <v>280</v>
      </c>
      <c r="C95" t="b" s="57">
        <v>1</v>
      </c>
      <c r="D95" s="86"/>
      <c r="E95" s="88"/>
    </row>
    <row r="96" ht="23.1" customHeight="1">
      <c r="A96" t="s" s="21">
        <v>276</v>
      </c>
      <c r="B96" t="s" s="45">
        <v>280</v>
      </c>
      <c r="C96" t="b" s="52">
        <v>1</v>
      </c>
      <c r="D96" s="86"/>
      <c r="E96" s="88"/>
    </row>
    <row r="97" ht="23.1" customHeight="1">
      <c r="A97" t="s" s="24">
        <v>282</v>
      </c>
      <c r="B97" t="s" s="53">
        <v>281</v>
      </c>
      <c r="C97" t="b" s="57">
        <v>1</v>
      </c>
      <c r="D97" s="86"/>
      <c r="E97" s="88"/>
    </row>
    <row r="98" ht="23.1" customHeight="1">
      <c r="A98" t="s" s="21">
        <v>282</v>
      </c>
      <c r="B98" t="s" s="45">
        <v>283</v>
      </c>
      <c r="C98" t="b" s="52">
        <v>1</v>
      </c>
      <c r="D98" s="86"/>
      <c r="E98" s="88"/>
    </row>
    <row r="99" ht="23.1" customHeight="1">
      <c r="A99" t="s" s="24">
        <v>284</v>
      </c>
      <c r="B99" t="s" s="53">
        <v>283</v>
      </c>
      <c r="C99" t="b" s="57">
        <v>1</v>
      </c>
      <c r="D99" s="86"/>
      <c r="E99" s="88"/>
    </row>
    <row r="100" ht="23.1" customHeight="1">
      <c r="A100" t="s" s="21">
        <v>286</v>
      </c>
      <c r="B100" t="s" s="45">
        <v>285</v>
      </c>
      <c r="C100" t="b" s="52">
        <v>1</v>
      </c>
      <c r="D100" s="86"/>
      <c r="E100" s="88"/>
    </row>
    <row r="101" ht="23.1" customHeight="1">
      <c r="A101" t="s" s="24">
        <v>282</v>
      </c>
      <c r="B101" t="s" s="53">
        <v>289</v>
      </c>
      <c r="C101" t="b" s="57">
        <v>1</v>
      </c>
      <c r="D101" s="86"/>
      <c r="E101" s="88"/>
    </row>
    <row r="102" ht="23.1" customHeight="1">
      <c r="A102" t="s" s="21">
        <v>67</v>
      </c>
      <c r="B102" t="s" s="45">
        <v>289</v>
      </c>
      <c r="C102" t="b" s="52">
        <v>1</v>
      </c>
      <c r="D102" s="86"/>
      <c r="E102" s="88"/>
    </row>
    <row r="103" ht="23.1" customHeight="1">
      <c r="A103" t="s" s="24">
        <v>178</v>
      </c>
      <c r="B103" t="s" s="53">
        <v>289</v>
      </c>
      <c r="C103" t="b" s="57">
        <v>1</v>
      </c>
      <c r="D103" s="86"/>
      <c r="E103" s="88"/>
    </row>
    <row r="104" ht="23.1" customHeight="1">
      <c r="A104" t="s" s="21">
        <v>287</v>
      </c>
      <c r="B104" t="s" s="45">
        <v>289</v>
      </c>
      <c r="C104" t="b" s="52">
        <v>1</v>
      </c>
      <c r="D104" s="86"/>
      <c r="E104" s="88"/>
    </row>
    <row r="105" ht="23.1" customHeight="1">
      <c r="A105" t="s" s="24">
        <v>284</v>
      </c>
      <c r="B105" t="s" s="53">
        <v>291</v>
      </c>
      <c r="C105" t="b" s="57">
        <v>1</v>
      </c>
      <c r="D105" s="86"/>
      <c r="E105" s="88"/>
    </row>
    <row r="106" ht="23.1" customHeight="1">
      <c r="A106" t="s" s="21">
        <v>285</v>
      </c>
      <c r="B106" t="s" s="45">
        <v>291</v>
      </c>
      <c r="C106" t="b" s="52">
        <v>1</v>
      </c>
      <c r="D106" s="86"/>
      <c r="E106" s="88"/>
    </row>
    <row r="107" ht="23.1" customHeight="1">
      <c r="A107" t="s" s="24">
        <v>280</v>
      </c>
      <c r="B107" t="s" s="53">
        <v>290</v>
      </c>
      <c r="C107" t="b" s="57">
        <v>1</v>
      </c>
      <c r="D107" s="86"/>
      <c r="E107" s="88"/>
    </row>
    <row r="108" ht="23.1" customHeight="1">
      <c r="A108" t="s" s="21">
        <v>292</v>
      </c>
      <c r="B108" t="s" s="45">
        <v>290</v>
      </c>
      <c r="C108" t="b" s="52">
        <v>1</v>
      </c>
      <c r="D108" s="86"/>
      <c r="E108" s="88"/>
    </row>
    <row r="109" ht="23.1" customHeight="1">
      <c r="A109" t="s" s="24">
        <v>292</v>
      </c>
      <c r="B109" t="s" s="53">
        <v>144</v>
      </c>
      <c r="C109" t="b" s="57">
        <v>1</v>
      </c>
      <c r="D109" s="86"/>
      <c r="E109" s="88"/>
    </row>
    <row r="110" ht="23.1" customHeight="1">
      <c r="A110" t="s" s="21">
        <v>293</v>
      </c>
      <c r="B110" t="s" s="45">
        <v>292</v>
      </c>
      <c r="C110" t="b" s="52">
        <v>1</v>
      </c>
      <c r="D110" s="86"/>
      <c r="E110" s="88"/>
    </row>
    <row r="111" ht="23.1" customHeight="1">
      <c r="A111" t="s" s="24">
        <v>282</v>
      </c>
      <c r="B111" t="s" s="53">
        <v>294</v>
      </c>
      <c r="C111" t="b" s="57">
        <v>1</v>
      </c>
      <c r="D111" s="86"/>
      <c r="E111" s="88"/>
    </row>
    <row r="112" ht="23.1" customHeight="1">
      <c r="A112" t="s" s="21">
        <v>72</v>
      </c>
      <c r="B112" t="s" s="45">
        <v>294</v>
      </c>
      <c r="C112" t="b" s="52">
        <v>1</v>
      </c>
      <c r="D112" s="86"/>
      <c r="E112" s="88"/>
    </row>
    <row r="113" ht="23.1" customHeight="1">
      <c r="A113" t="s" s="24">
        <v>295</v>
      </c>
      <c r="B113" t="s" s="53">
        <v>294</v>
      </c>
      <c r="C113" t="b" s="57">
        <v>0</v>
      </c>
      <c r="D113" s="86"/>
      <c r="E113" s="88"/>
    </row>
    <row r="114" ht="23.1" customHeight="1">
      <c r="A114" t="s" s="21">
        <v>295</v>
      </c>
      <c r="B114" t="s" s="45">
        <v>273</v>
      </c>
      <c r="C114" t="b" s="52">
        <v>1</v>
      </c>
      <c r="D114" s="86"/>
      <c r="E114" s="88"/>
    </row>
    <row r="115" ht="23.1" customHeight="1">
      <c r="A115" t="s" s="24">
        <v>281</v>
      </c>
      <c r="B115" t="s" s="53">
        <v>296</v>
      </c>
      <c r="C115" t="b" s="57">
        <v>1</v>
      </c>
      <c r="D115" s="86"/>
      <c r="E115" s="88"/>
    </row>
    <row r="116" ht="23.1" customHeight="1">
      <c r="A116" t="s" s="21">
        <v>220</v>
      </c>
      <c r="B116" t="s" s="45">
        <v>296</v>
      </c>
      <c r="C116" t="b" s="52">
        <v>1</v>
      </c>
      <c r="D116" s="86"/>
      <c r="E116" s="88"/>
    </row>
    <row r="117" ht="23.1" customHeight="1">
      <c r="A117" t="s" s="24">
        <v>295</v>
      </c>
      <c r="B117" t="s" s="53">
        <v>296</v>
      </c>
      <c r="C117" t="b" s="57">
        <v>0</v>
      </c>
      <c r="D117" s="86"/>
      <c r="E117" s="88"/>
    </row>
    <row r="118" ht="23.1" customHeight="1">
      <c r="A118" t="s" s="21">
        <v>288</v>
      </c>
      <c r="B118" t="s" s="45">
        <v>297</v>
      </c>
      <c r="C118" t="b" s="52">
        <v>1</v>
      </c>
      <c r="D118" s="86"/>
      <c r="E118" s="88"/>
    </row>
    <row r="119" ht="23.1" customHeight="1">
      <c r="A119" t="s" s="24">
        <v>293</v>
      </c>
      <c r="B119" t="s" s="53">
        <v>298</v>
      </c>
      <c r="C119" t="b" s="57">
        <v>1</v>
      </c>
      <c r="D119" s="86"/>
      <c r="E119" s="88"/>
    </row>
    <row r="120" ht="23.1" customHeight="1">
      <c r="A120" t="s" s="21">
        <v>285</v>
      </c>
      <c r="B120" t="s" s="45">
        <v>298</v>
      </c>
      <c r="C120" t="b" s="52">
        <v>0</v>
      </c>
      <c r="D120" s="86"/>
      <c r="E120" s="88"/>
    </row>
    <row r="121" ht="23.1" customHeight="1">
      <c r="A121" t="s" s="24">
        <v>128</v>
      </c>
      <c r="B121" t="s" s="53">
        <v>298</v>
      </c>
      <c r="C121" t="b" s="57">
        <v>1</v>
      </c>
      <c r="D121" s="86"/>
      <c r="E121" s="88"/>
    </row>
    <row r="122" ht="23.1" customHeight="1">
      <c r="A122" t="s" s="21">
        <v>301</v>
      </c>
      <c r="B122" t="s" s="45">
        <v>300</v>
      </c>
      <c r="C122" t="b" s="52">
        <v>1</v>
      </c>
      <c r="D122" s="86"/>
      <c r="E122" s="88"/>
    </row>
    <row r="123" ht="23.1" customHeight="1">
      <c r="A123" t="s" s="24">
        <v>299</v>
      </c>
      <c r="B123" t="s" s="53">
        <v>300</v>
      </c>
      <c r="C123" t="b" s="57">
        <v>1</v>
      </c>
      <c r="D123" s="86"/>
      <c r="E123" s="88"/>
    </row>
    <row r="124" ht="23.1" customHeight="1">
      <c r="A124" t="s" s="21">
        <v>302</v>
      </c>
      <c r="B124" t="s" s="45">
        <v>301</v>
      </c>
      <c r="C124" t="b" s="52">
        <v>1</v>
      </c>
      <c r="D124" s="86"/>
      <c r="E124" s="88"/>
    </row>
    <row r="125" ht="23.1" customHeight="1">
      <c r="A125" t="s" s="24">
        <v>293</v>
      </c>
      <c r="B125" t="s" s="53">
        <v>299</v>
      </c>
      <c r="C125" t="b" s="57">
        <v>1</v>
      </c>
      <c r="D125" s="86"/>
      <c r="E125" s="88"/>
    </row>
    <row r="126" ht="23.1" customHeight="1">
      <c r="A126" t="s" s="21">
        <v>302</v>
      </c>
      <c r="B126" t="s" s="45">
        <v>305</v>
      </c>
      <c r="C126" t="b" s="52">
        <v>1</v>
      </c>
      <c r="D126" s="86"/>
      <c r="E126" s="88"/>
    </row>
    <row r="127" ht="23.1" customHeight="1">
      <c r="A127" t="s" s="24">
        <v>299</v>
      </c>
      <c r="B127" t="s" s="53">
        <v>305</v>
      </c>
      <c r="C127" t="b" s="57">
        <v>1</v>
      </c>
      <c r="D127" s="86"/>
      <c r="E127" s="88"/>
    </row>
    <row r="128" ht="23.1" customHeight="1">
      <c r="A128" t="s" s="21">
        <v>303</v>
      </c>
      <c r="B128" t="s" s="45">
        <v>305</v>
      </c>
      <c r="C128" t="b" s="52">
        <v>1</v>
      </c>
      <c r="D128" s="86"/>
      <c r="E128" s="88"/>
    </row>
    <row r="129" ht="23.1" customHeight="1">
      <c r="A129" t="s" s="24">
        <v>304</v>
      </c>
      <c r="B129" t="s" s="53">
        <v>303</v>
      </c>
      <c r="C129" t="b" s="57">
        <v>1</v>
      </c>
      <c r="D129" s="86"/>
      <c r="E129" s="88"/>
    </row>
    <row r="130" ht="23.1" customHeight="1">
      <c r="A130" t="s" s="21">
        <v>148</v>
      </c>
      <c r="B130" t="s" s="45">
        <v>303</v>
      </c>
      <c r="C130" t="b" s="52">
        <v>1</v>
      </c>
      <c r="D130" s="86"/>
      <c r="E130" s="88"/>
    </row>
    <row r="131" ht="23.1" customHeight="1">
      <c r="A131" t="s" s="24">
        <v>309</v>
      </c>
      <c r="B131" t="s" s="53">
        <v>304</v>
      </c>
      <c r="C131" t="b" s="57">
        <v>1</v>
      </c>
      <c r="D131" s="86"/>
      <c r="E131" s="88"/>
    </row>
    <row r="132" ht="23.1" customHeight="1">
      <c r="A132" t="s" s="21">
        <v>308</v>
      </c>
      <c r="B132" t="s" s="45">
        <v>304</v>
      </c>
      <c r="C132" t="b" s="52">
        <v>1</v>
      </c>
      <c r="D132" s="86"/>
      <c r="E132" s="88"/>
    </row>
    <row r="133" ht="23.1" customHeight="1">
      <c r="A133" t="s" s="24">
        <v>309</v>
      </c>
      <c r="B133" t="s" s="53">
        <v>308</v>
      </c>
      <c r="C133" t="b" s="57">
        <v>1</v>
      </c>
      <c r="D133" s="86"/>
      <c r="E133" s="88"/>
    </row>
    <row r="134" ht="23.1" customHeight="1">
      <c r="A134" t="s" s="21">
        <v>310</v>
      </c>
      <c r="B134" t="s" s="45">
        <v>286</v>
      </c>
      <c r="C134" t="b" s="52">
        <v>0</v>
      </c>
      <c r="D134" s="86"/>
      <c r="E134" s="88"/>
    </row>
    <row r="135" ht="23.1" customHeight="1">
      <c r="A135" t="s" s="24">
        <v>297</v>
      </c>
      <c r="B135" t="s" s="53">
        <v>310</v>
      </c>
      <c r="C135" t="b" s="57">
        <v>1</v>
      </c>
      <c r="D135" s="86"/>
      <c r="E135" s="88"/>
    </row>
    <row r="136" ht="23.1" customHeight="1">
      <c r="A136" t="s" s="21">
        <v>309</v>
      </c>
      <c r="B136" t="s" s="45">
        <v>310</v>
      </c>
      <c r="C136" t="b" s="52">
        <v>1</v>
      </c>
      <c r="D136" s="86"/>
      <c r="E136" s="88"/>
    </row>
    <row r="137" ht="23.1" customHeight="1">
      <c r="A137" t="s" s="24">
        <v>307</v>
      </c>
      <c r="B137" t="s" s="53">
        <v>308</v>
      </c>
      <c r="C137" t="b" s="57">
        <v>1</v>
      </c>
      <c r="D137" s="86"/>
      <c r="E137" s="88"/>
    </row>
    <row r="138" ht="23.1" customHeight="1">
      <c r="A138" t="s" s="21">
        <v>297</v>
      </c>
      <c r="B138" t="s" s="45">
        <v>307</v>
      </c>
      <c r="C138" t="b" s="52">
        <v>1</v>
      </c>
      <c r="D138" s="86"/>
      <c r="E138" s="88"/>
    </row>
    <row r="139" ht="23.1" customHeight="1">
      <c r="A139" t="s" s="24">
        <v>297</v>
      </c>
      <c r="B139" t="s" s="53">
        <v>308</v>
      </c>
      <c r="C139" t="b" s="57">
        <v>1</v>
      </c>
      <c r="D139" s="86"/>
      <c r="E139" s="88"/>
    </row>
    <row r="140" ht="23.1" customHeight="1">
      <c r="A140" t="s" s="21">
        <v>311</v>
      </c>
      <c r="B140" t="s" s="45">
        <v>307</v>
      </c>
      <c r="C140" t="b" s="52">
        <v>1</v>
      </c>
      <c r="D140" s="86"/>
      <c r="E140" s="88"/>
    </row>
    <row r="141" ht="23.1" customHeight="1">
      <c r="A141" t="s" s="24">
        <v>311</v>
      </c>
      <c r="B141" t="s" s="53">
        <v>306</v>
      </c>
      <c r="C141" t="b" s="57">
        <v>1</v>
      </c>
      <c r="D141" s="86"/>
      <c r="E141" s="88"/>
    </row>
    <row r="142" ht="23.1" customHeight="1">
      <c r="A142" t="s" s="21">
        <v>304</v>
      </c>
      <c r="B142" t="s" s="45">
        <v>306</v>
      </c>
      <c r="C142" t="b" s="52">
        <v>1</v>
      </c>
      <c r="D142" s="86"/>
      <c r="E142" s="88"/>
    </row>
    <row r="143" ht="23.1" customHeight="1">
      <c r="A143" t="s" s="24">
        <v>297</v>
      </c>
      <c r="B143" t="s" s="53">
        <v>311</v>
      </c>
      <c r="C143" t="b" s="57">
        <v>1</v>
      </c>
      <c r="D143" s="86"/>
      <c r="E143" s="88"/>
    </row>
    <row r="144" ht="23.1" customHeight="1">
      <c r="A144" t="s" s="21">
        <v>312</v>
      </c>
      <c r="B144" t="s" s="45">
        <v>311</v>
      </c>
      <c r="C144" t="b" s="52">
        <v>1</v>
      </c>
      <c r="D144" s="86"/>
      <c r="E144" s="88"/>
    </row>
    <row r="145" ht="23.1" customHeight="1">
      <c r="A145" t="s" s="24">
        <v>313</v>
      </c>
      <c r="B145" t="s" s="53">
        <v>311</v>
      </c>
      <c r="C145" t="b" s="57">
        <v>1</v>
      </c>
      <c r="D145" s="86"/>
      <c r="E145" s="88"/>
    </row>
    <row r="146" ht="23.1" customHeight="1">
      <c r="A146" t="s" s="21">
        <v>312</v>
      </c>
      <c r="B146" t="s" s="45">
        <v>313</v>
      </c>
      <c r="C146" t="b" s="52">
        <v>1</v>
      </c>
      <c r="D146" s="86"/>
      <c r="E146" s="88"/>
    </row>
    <row r="147" ht="23.1" customHeight="1">
      <c r="A147" t="s" s="24">
        <v>314</v>
      </c>
      <c r="B147" t="s" s="53">
        <v>313</v>
      </c>
      <c r="C147" t="b" s="57">
        <v>1</v>
      </c>
      <c r="D147" s="86"/>
      <c r="E147" s="88"/>
    </row>
    <row r="148" ht="23.1" customHeight="1">
      <c r="A148" t="s" s="21">
        <v>315</v>
      </c>
      <c r="B148" t="s" s="45">
        <v>312</v>
      </c>
      <c r="C148" t="b" s="52">
        <v>1</v>
      </c>
      <c r="D148" s="86"/>
      <c r="E148" s="88"/>
    </row>
    <row r="149" ht="23.1" customHeight="1">
      <c r="A149" t="s" s="24">
        <v>314</v>
      </c>
      <c r="B149" t="s" s="53">
        <v>315</v>
      </c>
      <c r="C149" t="b" s="57">
        <v>1</v>
      </c>
      <c r="D149" s="86"/>
      <c r="E149" s="88"/>
    </row>
    <row r="150" ht="23.1" customHeight="1">
      <c r="A150" t="s" s="21">
        <v>304</v>
      </c>
      <c r="B150" t="s" s="45">
        <v>312</v>
      </c>
      <c r="C150" t="b" s="52">
        <v>1</v>
      </c>
      <c r="D150" s="86"/>
      <c r="E150" s="88"/>
    </row>
    <row r="151" ht="23.1" customHeight="1">
      <c r="A151" t="s" s="24">
        <v>309</v>
      </c>
      <c r="B151" t="s" s="53">
        <v>128</v>
      </c>
      <c r="C151" t="b" s="57">
        <v>1</v>
      </c>
      <c r="D151" s="86"/>
      <c r="E151" s="88"/>
    </row>
    <row r="152" ht="23.1" customHeight="1">
      <c r="A152" t="s" s="21">
        <v>287</v>
      </c>
      <c r="B152" t="s" s="45">
        <v>316</v>
      </c>
      <c r="C152" t="b" s="52">
        <v>1</v>
      </c>
      <c r="D152" s="86"/>
      <c r="E152" s="88"/>
    </row>
    <row r="153" ht="23.1" customHeight="1">
      <c r="A153" t="s" s="24">
        <v>288</v>
      </c>
      <c r="B153" t="s" s="53">
        <v>316</v>
      </c>
      <c r="C153" t="b" s="57">
        <v>1</v>
      </c>
      <c r="D153" s="86"/>
      <c r="E153" s="88"/>
    </row>
    <row r="154" ht="23.1" customHeight="1">
      <c r="A154" t="s" s="21">
        <v>286</v>
      </c>
      <c r="B154" t="s" s="45">
        <v>316</v>
      </c>
      <c r="C154" t="b" s="52">
        <v>1</v>
      </c>
      <c r="D154" s="86"/>
      <c r="E154" s="88"/>
    </row>
    <row r="155" ht="23.1" customHeight="1">
      <c r="A155" t="s" s="24">
        <v>293</v>
      </c>
      <c r="B155" t="s" s="53">
        <v>318</v>
      </c>
      <c r="C155" t="b" s="57">
        <v>1</v>
      </c>
      <c r="D155" s="86"/>
      <c r="E155" s="88"/>
    </row>
    <row r="156" ht="23.1" customHeight="1">
      <c r="A156" t="s" s="21">
        <v>317</v>
      </c>
      <c r="B156" t="s" s="45">
        <v>318</v>
      </c>
      <c r="C156" t="b" s="52">
        <v>1</v>
      </c>
      <c r="D156" s="86"/>
      <c r="E156" s="88"/>
    </row>
    <row r="157" ht="23.1" customHeight="1">
      <c r="A157" t="s" s="24">
        <v>144</v>
      </c>
      <c r="B157" t="s" s="53">
        <v>318</v>
      </c>
      <c r="C157" t="b" s="57">
        <v>1</v>
      </c>
      <c r="D157" s="86"/>
      <c r="E157" s="88"/>
    </row>
    <row r="158" ht="23.1" customHeight="1">
      <c r="A158" t="s" s="21">
        <v>300</v>
      </c>
      <c r="B158" t="s" s="45">
        <v>317</v>
      </c>
      <c r="C158" t="b" s="52">
        <v>1</v>
      </c>
      <c r="D158" s="86"/>
      <c r="E158" s="88"/>
    </row>
    <row r="159" ht="23.1" customHeight="1">
      <c r="A159" t="s" s="24">
        <v>301</v>
      </c>
      <c r="B159" t="s" s="53">
        <v>126</v>
      </c>
      <c r="C159" t="b" s="57">
        <v>1</v>
      </c>
      <c r="D159" s="86"/>
      <c r="E159" s="88"/>
    </row>
    <row r="160" ht="23.1" customHeight="1">
      <c r="A160" t="s" s="21">
        <v>317</v>
      </c>
      <c r="B160" t="s" s="45">
        <v>319</v>
      </c>
      <c r="C160" t="b" s="52">
        <v>1</v>
      </c>
      <c r="D160" s="86"/>
      <c r="E160" s="88"/>
    </row>
    <row r="161" ht="23.1" customHeight="1">
      <c r="A161" t="s" s="24">
        <v>126</v>
      </c>
      <c r="B161" t="s" s="53">
        <v>319</v>
      </c>
      <c r="C161" t="b" s="57">
        <v>1</v>
      </c>
      <c r="D161" s="86"/>
      <c r="E161" s="88"/>
    </row>
    <row r="162" ht="23.1" customHeight="1">
      <c r="A162" t="s" s="21">
        <v>203</v>
      </c>
      <c r="B162" t="s" s="45">
        <v>319</v>
      </c>
      <c r="C162" t="b" s="52">
        <v>1</v>
      </c>
      <c r="D162" s="86"/>
      <c r="E162" s="88"/>
    </row>
    <row r="163" ht="23.1" customHeight="1">
      <c r="A163" t="s" s="24">
        <v>276</v>
      </c>
      <c r="B163" t="s" s="53">
        <v>321</v>
      </c>
      <c r="C163" t="b" s="57">
        <v>1</v>
      </c>
      <c r="D163" s="86"/>
      <c r="E163" s="88"/>
    </row>
    <row r="164" ht="23.1" customHeight="1">
      <c r="A164" t="s" s="21">
        <v>277</v>
      </c>
      <c r="B164" t="s" s="45">
        <v>323</v>
      </c>
      <c r="C164" t="b" s="52">
        <v>1</v>
      </c>
      <c r="D164" s="86"/>
      <c r="E164" s="88"/>
    </row>
    <row r="165" ht="23.1" customHeight="1">
      <c r="A165" t="s" s="24">
        <v>321</v>
      </c>
      <c r="B165" t="s" s="53">
        <v>323</v>
      </c>
      <c r="C165" t="b" s="57">
        <v>1</v>
      </c>
      <c r="D165" s="86"/>
      <c r="E165" s="88"/>
    </row>
    <row r="166" ht="23.1" customHeight="1">
      <c r="A166" t="s" s="21">
        <v>184</v>
      </c>
      <c r="B166" t="s" s="45">
        <v>323</v>
      </c>
      <c r="C166" t="b" s="52">
        <v>1</v>
      </c>
      <c r="D166" s="86"/>
      <c r="E166" s="88"/>
    </row>
    <row r="167" ht="23.1" customHeight="1">
      <c r="A167" t="s" s="24">
        <v>321</v>
      </c>
      <c r="B167" t="s" s="53">
        <v>322</v>
      </c>
      <c r="C167" t="b" s="57">
        <v>1</v>
      </c>
      <c r="D167" s="86"/>
      <c r="E167" s="88"/>
    </row>
    <row r="168" ht="23.1" customHeight="1">
      <c r="A168" t="s" s="21">
        <v>324</v>
      </c>
      <c r="B168" t="s" s="45">
        <v>322</v>
      </c>
      <c r="C168" t="b" s="52">
        <v>1</v>
      </c>
      <c r="D168" s="86"/>
      <c r="E168" s="88"/>
    </row>
    <row r="169" ht="23.1" customHeight="1">
      <c r="A169" t="s" s="24">
        <v>325</v>
      </c>
      <c r="B169" t="s" s="53">
        <v>324</v>
      </c>
      <c r="C169" t="b" s="57">
        <v>1</v>
      </c>
      <c r="D169" s="86"/>
      <c r="E169" s="88"/>
    </row>
    <row r="170" ht="23.1" customHeight="1">
      <c r="A170" t="s" s="21">
        <v>317</v>
      </c>
      <c r="B170" t="s" s="45">
        <v>326</v>
      </c>
      <c r="C170" t="b" s="52">
        <v>1</v>
      </c>
      <c r="D170" s="86"/>
      <c r="E170" s="88"/>
    </row>
    <row r="171" ht="23.1" customHeight="1">
      <c r="A171" t="s" s="24">
        <v>327</v>
      </c>
      <c r="B171" t="s" s="53">
        <v>326</v>
      </c>
      <c r="C171" t="b" s="57">
        <v>1</v>
      </c>
      <c r="D171" s="86"/>
      <c r="E171" s="88"/>
    </row>
    <row r="172" ht="23.1" customHeight="1">
      <c r="A172" t="s" s="21">
        <v>203</v>
      </c>
      <c r="B172" t="s" s="45">
        <v>327</v>
      </c>
      <c r="C172" t="b" s="52">
        <v>1</v>
      </c>
      <c r="D172" s="86"/>
      <c r="E172" s="88"/>
    </row>
    <row r="173" ht="23.1" customHeight="1">
      <c r="A173" t="s" s="24">
        <v>328</v>
      </c>
      <c r="B173" t="s" s="53">
        <v>329</v>
      </c>
      <c r="C173" t="b" s="57">
        <v>1</v>
      </c>
      <c r="D173" s="86"/>
      <c r="E173" s="88"/>
    </row>
    <row r="174" ht="23.1" customHeight="1">
      <c r="A174" t="s" s="21">
        <v>325</v>
      </c>
      <c r="B174" t="s" s="45">
        <v>329</v>
      </c>
      <c r="C174" t="b" s="52">
        <v>1</v>
      </c>
      <c r="D174" s="86"/>
      <c r="E174" s="88"/>
    </row>
    <row r="175" ht="23.1" customHeight="1">
      <c r="A175" t="s" s="24">
        <v>328</v>
      </c>
      <c r="B175" t="s" s="53">
        <v>146</v>
      </c>
      <c r="C175" t="b" s="57">
        <v>1</v>
      </c>
      <c r="D175" s="86"/>
      <c r="E175" s="88"/>
    </row>
    <row r="176" ht="23.1" customHeight="1">
      <c r="A176" t="s" s="21">
        <v>318</v>
      </c>
      <c r="B176" t="s" s="45">
        <v>330</v>
      </c>
      <c r="C176" t="b" s="52">
        <v>1</v>
      </c>
      <c r="D176" s="86"/>
      <c r="E176" s="88"/>
    </row>
    <row r="177" ht="23.1" customHeight="1">
      <c r="A177" t="s" s="24">
        <v>326</v>
      </c>
      <c r="B177" t="s" s="53">
        <v>330</v>
      </c>
      <c r="C177" t="b" s="57">
        <v>1</v>
      </c>
      <c r="D177" s="86"/>
      <c r="E177" s="88"/>
    </row>
    <row r="178" ht="23.1" customHeight="1">
      <c r="A178" t="s" s="21">
        <v>328</v>
      </c>
      <c r="B178" t="s" s="45">
        <v>330</v>
      </c>
      <c r="C178" t="b" s="52">
        <v>1</v>
      </c>
      <c r="D178" s="86"/>
      <c r="E178" s="88"/>
    </row>
    <row r="179" ht="23.1" customHeight="1">
      <c r="A179" t="s" s="24">
        <v>326</v>
      </c>
      <c r="B179" t="s" s="53">
        <v>320</v>
      </c>
      <c r="C179" t="b" s="57">
        <v>1</v>
      </c>
      <c r="D179" s="86"/>
      <c r="E179" s="88"/>
    </row>
    <row r="180" ht="23.1" customHeight="1">
      <c r="A180" t="s" s="21">
        <v>327</v>
      </c>
      <c r="B180" t="s" s="45">
        <v>331</v>
      </c>
      <c r="C180" t="b" s="52">
        <v>1</v>
      </c>
      <c r="D180" s="86"/>
      <c r="E180" s="88"/>
    </row>
    <row r="181" ht="23.1" customHeight="1">
      <c r="A181" t="s" s="24">
        <v>326</v>
      </c>
      <c r="B181" t="s" s="53">
        <v>331</v>
      </c>
      <c r="C181" t="b" s="57">
        <v>1</v>
      </c>
      <c r="D181" s="86"/>
      <c r="E181" s="88"/>
    </row>
    <row r="182" ht="23.1" customHeight="1">
      <c r="A182" t="s" s="21">
        <v>332</v>
      </c>
      <c r="B182" t="s" s="45">
        <v>331</v>
      </c>
      <c r="C182" t="b" s="52">
        <v>1</v>
      </c>
      <c r="D182" s="86"/>
      <c r="E182" s="88"/>
    </row>
    <row r="183" ht="23.1" customHeight="1">
      <c r="A183" t="s" s="24">
        <v>333</v>
      </c>
      <c r="B183" t="s" s="53">
        <v>332</v>
      </c>
      <c r="C183" t="b" s="57">
        <v>1</v>
      </c>
      <c r="D183" s="86"/>
      <c r="E183" s="88"/>
    </row>
    <row r="184" ht="23.1" customHeight="1">
      <c r="A184" t="s" s="21">
        <v>327</v>
      </c>
      <c r="B184" t="s" s="45">
        <v>338</v>
      </c>
      <c r="C184" t="b" s="52">
        <v>1</v>
      </c>
      <c r="D184" s="86"/>
      <c r="E184" s="88"/>
    </row>
    <row r="185" ht="23.1" customHeight="1">
      <c r="A185" t="s" s="24">
        <v>337</v>
      </c>
      <c r="B185" t="s" s="53">
        <v>338</v>
      </c>
      <c r="C185" t="b" s="57">
        <v>1</v>
      </c>
      <c r="D185" s="86"/>
      <c r="E185" s="88"/>
    </row>
    <row r="186" ht="23.1" customHeight="1">
      <c r="A186" t="s" s="21">
        <v>335</v>
      </c>
      <c r="B186" t="s" s="45">
        <v>337</v>
      </c>
      <c r="C186" t="b" s="52">
        <v>1</v>
      </c>
      <c r="D186" s="86"/>
      <c r="E186" s="88"/>
    </row>
    <row r="187" ht="23.1" customHeight="1">
      <c r="A187" t="s" s="24">
        <v>335</v>
      </c>
      <c r="B187" t="s" s="53">
        <v>334</v>
      </c>
      <c r="C187" t="b" s="57">
        <v>1</v>
      </c>
      <c r="D187" s="86"/>
      <c r="E187" s="88"/>
    </row>
    <row r="188" ht="23.1" customHeight="1">
      <c r="A188" t="s" s="21">
        <v>331</v>
      </c>
      <c r="B188" t="s" s="45">
        <v>334</v>
      </c>
      <c r="C188" t="b" s="52">
        <v>1</v>
      </c>
      <c r="D188" s="86"/>
      <c r="E188" s="88"/>
    </row>
    <row r="189" ht="23.1" customHeight="1">
      <c r="A189" t="s" s="24">
        <v>333</v>
      </c>
      <c r="B189" t="s" s="53">
        <v>336</v>
      </c>
      <c r="C189" t="b" s="57">
        <v>1</v>
      </c>
      <c r="D189" s="86"/>
      <c r="E189" s="88"/>
    </row>
    <row r="190" ht="23.1" customHeight="1">
      <c r="A190" t="s" s="21">
        <v>320</v>
      </c>
      <c r="B190" t="s" s="45">
        <v>333</v>
      </c>
      <c r="C190" t="b" s="52">
        <v>1</v>
      </c>
      <c r="D190" s="86"/>
      <c r="E190" s="88"/>
    </row>
    <row r="191" ht="23.1" customHeight="1">
      <c r="A191" t="s" s="24">
        <v>336</v>
      </c>
      <c r="B191" t="s" s="53">
        <v>335</v>
      </c>
      <c r="C191" t="b" s="57">
        <v>1</v>
      </c>
      <c r="D191" s="86"/>
      <c r="E191" s="88"/>
    </row>
    <row r="192" ht="23.1" customHeight="1">
      <c r="A192" t="s" s="21">
        <v>338</v>
      </c>
      <c r="B192" t="s" s="45">
        <v>340</v>
      </c>
      <c r="C192" t="b" s="52">
        <v>1</v>
      </c>
      <c r="D192" s="86"/>
      <c r="E192" s="88"/>
    </row>
    <row r="193" ht="23.1" customHeight="1">
      <c r="A193" t="s" s="24">
        <v>339</v>
      </c>
      <c r="B193" t="s" s="53">
        <v>340</v>
      </c>
      <c r="C193" t="b" s="57">
        <v>1</v>
      </c>
      <c r="D193" s="86"/>
      <c r="E193" s="88"/>
    </row>
    <row r="194" ht="23.1" customHeight="1">
      <c r="A194" t="s" s="21">
        <v>335</v>
      </c>
      <c r="B194" t="s" s="45">
        <v>339</v>
      </c>
      <c r="C194" t="b" s="52">
        <v>1</v>
      </c>
      <c r="D194" s="86"/>
      <c r="E194" s="88"/>
    </row>
    <row r="195" ht="23.1" customHeight="1">
      <c r="A195" t="s" s="24">
        <v>120</v>
      </c>
      <c r="B195" t="s" s="53">
        <v>281</v>
      </c>
      <c r="C195" t="b" s="57">
        <v>0</v>
      </c>
      <c r="D195" s="86"/>
      <c r="E195" s="88"/>
    </row>
    <row r="196" ht="23.1" customHeight="1">
      <c r="A196" t="s" s="21">
        <v>158</v>
      </c>
      <c r="B196" t="s" s="45">
        <v>341</v>
      </c>
      <c r="C196" t="b" s="52">
        <v>1</v>
      </c>
      <c r="D196" s="86"/>
      <c r="E196" s="88"/>
    </row>
    <row r="197" ht="23.1" customHeight="1">
      <c r="A197" t="s" s="24">
        <v>281</v>
      </c>
      <c r="B197" t="s" s="53">
        <v>341</v>
      </c>
      <c r="C197" t="b" s="57">
        <v>1</v>
      </c>
      <c r="D197" s="86"/>
      <c r="E197" s="88"/>
    </row>
    <row r="198" ht="23.1" customHeight="1">
      <c r="A198" t="s" s="21">
        <v>229</v>
      </c>
      <c r="B198" t="s" s="45">
        <v>191</v>
      </c>
      <c r="C198" t="b" s="52">
        <v>1</v>
      </c>
      <c r="D198" s="86"/>
      <c r="E198" s="88"/>
    </row>
    <row r="199" ht="23.1" customHeight="1">
      <c r="A199" t="s" s="24">
        <v>322</v>
      </c>
      <c r="B199" t="s" s="53">
        <v>342</v>
      </c>
      <c r="C199" t="b" s="57">
        <v>1</v>
      </c>
      <c r="D199" s="86"/>
      <c r="E199" s="88"/>
    </row>
    <row r="200" ht="23.1" customHeight="1">
      <c r="A200" t="s" s="21">
        <v>104</v>
      </c>
      <c r="B200" t="s" s="45">
        <v>342</v>
      </c>
      <c r="C200" t="b" s="52">
        <v>1</v>
      </c>
      <c r="D200" s="86"/>
      <c r="E200" s="88"/>
    </row>
    <row r="201" ht="23.1" customHeight="1">
      <c r="A201" t="s" s="24">
        <v>184</v>
      </c>
      <c r="B201" t="s" s="53">
        <v>342</v>
      </c>
      <c r="C201" t="b" s="57">
        <v>1</v>
      </c>
      <c r="D201" s="86"/>
      <c r="E201" s="88"/>
    </row>
    <row r="202" ht="23.1" customHeight="1">
      <c r="A202" t="s" s="21">
        <v>271</v>
      </c>
      <c r="B202" t="s" s="45">
        <v>343</v>
      </c>
      <c r="C202" t="b" s="52">
        <v>1</v>
      </c>
      <c r="D202" s="86"/>
      <c r="E202" s="88"/>
    </row>
    <row r="203" ht="23.1" customHeight="1">
      <c r="A203" t="s" s="24">
        <v>342</v>
      </c>
      <c r="B203" t="s" s="53">
        <v>343</v>
      </c>
      <c r="C203" t="b" s="57">
        <v>1</v>
      </c>
      <c r="D203" s="86"/>
      <c r="E203" s="88"/>
    </row>
    <row r="204" ht="23.1" customHeight="1">
      <c r="A204" t="s" s="21">
        <v>344</v>
      </c>
      <c r="B204" t="s" s="45">
        <v>343</v>
      </c>
      <c r="C204" t="b" s="52">
        <v>1</v>
      </c>
      <c r="D204" s="86"/>
      <c r="E204" s="88"/>
    </row>
    <row r="205" ht="23.1" customHeight="1">
      <c r="A205" t="s" s="24">
        <v>176</v>
      </c>
      <c r="B205" t="s" s="53">
        <v>347</v>
      </c>
      <c r="C205" t="b" s="57">
        <v>1</v>
      </c>
      <c r="D205" s="86"/>
      <c r="E205" s="88"/>
    </row>
    <row r="206" ht="23.1" customHeight="1">
      <c r="A206" t="s" s="21">
        <v>271</v>
      </c>
      <c r="B206" t="s" s="45">
        <v>347</v>
      </c>
      <c r="C206" t="b" s="52">
        <v>1</v>
      </c>
      <c r="D206" s="86"/>
      <c r="E206" s="88"/>
    </row>
    <row r="207" ht="23.1" customHeight="1">
      <c r="A207" t="s" s="24">
        <v>346</v>
      </c>
      <c r="B207" t="s" s="53">
        <v>347</v>
      </c>
      <c r="C207" t="b" s="57">
        <v>0</v>
      </c>
      <c r="D207" s="86"/>
      <c r="E207" s="88"/>
    </row>
    <row r="208" ht="23.1" customHeight="1">
      <c r="A208" t="s" s="21">
        <v>278</v>
      </c>
      <c r="B208" t="s" s="45">
        <v>345</v>
      </c>
      <c r="C208" t="b" s="52">
        <v>1</v>
      </c>
      <c r="D208" s="86"/>
      <c r="E208" s="88"/>
    </row>
    <row r="209" ht="23.1" customHeight="1">
      <c r="A209" t="s" s="24">
        <v>278</v>
      </c>
      <c r="B209" t="s" s="53">
        <v>166</v>
      </c>
      <c r="C209" t="b" s="57">
        <v>1</v>
      </c>
      <c r="D209" s="86"/>
      <c r="E209" s="88"/>
    </row>
    <row r="210" ht="23.1" customHeight="1">
      <c r="A210" t="s" s="21">
        <v>344</v>
      </c>
      <c r="B210" t="s" s="45">
        <v>348</v>
      </c>
      <c r="C210" t="b" s="52">
        <v>1</v>
      </c>
      <c r="D210" s="86"/>
      <c r="E210" s="88"/>
    </row>
    <row r="211" ht="23.1" customHeight="1">
      <c r="A211" t="s" s="24">
        <v>278</v>
      </c>
      <c r="B211" t="s" s="53">
        <v>348</v>
      </c>
      <c r="C211" t="b" s="57">
        <v>1</v>
      </c>
      <c r="D211" s="86"/>
      <c r="E211" s="88"/>
    </row>
    <row r="212" ht="23.1" customHeight="1">
      <c r="A212" t="s" s="21">
        <v>345</v>
      </c>
      <c r="B212" t="s" s="45">
        <v>346</v>
      </c>
      <c r="C212" t="b" s="52">
        <v>1</v>
      </c>
      <c r="D212" s="86"/>
      <c r="E212" s="88"/>
    </row>
    <row r="213" ht="23.1" customHeight="1">
      <c r="A213" t="s" s="24">
        <v>349</v>
      </c>
      <c r="B213" t="s" s="53">
        <v>272</v>
      </c>
      <c r="C213" t="b" s="57">
        <v>1</v>
      </c>
      <c r="D213" s="86"/>
      <c r="E213" s="88"/>
    </row>
    <row r="214" ht="23.1" customHeight="1">
      <c r="A214" t="s" s="21">
        <v>176</v>
      </c>
      <c r="B214" t="s" s="45">
        <v>349</v>
      </c>
      <c r="C214" t="b" s="52">
        <v>1</v>
      </c>
      <c r="D214" s="86"/>
      <c r="E214" s="88"/>
    </row>
    <row r="215" ht="23.1" customHeight="1">
      <c r="A215" t="s" s="24">
        <v>345</v>
      </c>
      <c r="B215" t="s" s="53">
        <v>349</v>
      </c>
      <c r="C215" t="b" s="57">
        <v>1</v>
      </c>
      <c r="D215" s="86"/>
      <c r="E215" s="88"/>
    </row>
    <row r="216" ht="23.1" customHeight="1">
      <c r="A216" t="s" s="21">
        <v>348</v>
      </c>
      <c r="B216" t="s" s="45">
        <v>154</v>
      </c>
      <c r="C216" t="b" s="52">
        <v>1</v>
      </c>
      <c r="D216" s="86"/>
      <c r="E216" s="88"/>
    </row>
    <row r="217" ht="23.1" customHeight="1">
      <c r="A217" t="s" s="24">
        <v>180</v>
      </c>
      <c r="B217" t="s" s="53">
        <v>78</v>
      </c>
      <c r="C217" t="b" s="57">
        <v>1</v>
      </c>
      <c r="D217" s="86"/>
      <c r="E217" s="88"/>
    </row>
    <row r="218" ht="23.1" customHeight="1">
      <c r="A218" t="s" s="21">
        <v>154</v>
      </c>
      <c r="B218" t="s" s="45">
        <v>78</v>
      </c>
      <c r="C218" t="b" s="52">
        <v>1</v>
      </c>
      <c r="D218" s="86"/>
      <c r="E218" s="88"/>
    </row>
    <row r="219" ht="23.1" customHeight="1">
      <c r="A219" t="s" s="24">
        <v>348</v>
      </c>
      <c r="B219" t="s" s="53">
        <v>350</v>
      </c>
      <c r="C219" t="b" s="57">
        <v>1</v>
      </c>
      <c r="D219" s="86"/>
      <c r="E219" s="88"/>
    </row>
    <row r="220" ht="23.1" customHeight="1">
      <c r="A220" t="s" s="21">
        <v>351</v>
      </c>
      <c r="B220" t="s" s="45">
        <v>350</v>
      </c>
      <c r="C220" t="b" s="52">
        <v>1</v>
      </c>
      <c r="D220" s="86"/>
      <c r="E220" s="88"/>
    </row>
    <row r="221" ht="23.1" customHeight="1">
      <c r="A221" t="s" s="24">
        <v>352</v>
      </c>
      <c r="B221" t="s" s="53">
        <v>351</v>
      </c>
      <c r="C221" t="b" s="57">
        <v>1</v>
      </c>
      <c r="D221" s="86"/>
      <c r="E221" s="88"/>
    </row>
    <row r="222" ht="23.1" customHeight="1">
      <c r="A222" t="s" s="21">
        <v>353</v>
      </c>
      <c r="B222" t="s" s="45">
        <v>352</v>
      </c>
      <c r="C222" t="b" s="52">
        <v>1</v>
      </c>
      <c r="D222" s="86"/>
      <c r="E222" s="88"/>
    </row>
    <row r="223" ht="23.1" customHeight="1">
      <c r="A223" t="s" s="24">
        <v>353</v>
      </c>
      <c r="B223" t="s" s="53">
        <v>262</v>
      </c>
      <c r="C223" t="b" s="57">
        <v>1</v>
      </c>
      <c r="D223" s="86"/>
      <c r="E223" s="88"/>
    </row>
    <row r="224" ht="23.1" customHeight="1">
      <c r="A224" t="s" s="21">
        <v>260</v>
      </c>
      <c r="B224" t="s" s="45">
        <v>352</v>
      </c>
      <c r="C224" t="b" s="52">
        <v>1</v>
      </c>
      <c r="D224" s="86"/>
      <c r="E224" s="88"/>
    </row>
    <row r="225" ht="23.1" customHeight="1">
      <c r="A225" t="s" s="24">
        <v>344</v>
      </c>
      <c r="B225" t="s" s="53">
        <v>355</v>
      </c>
      <c r="C225" t="b" s="57">
        <v>1</v>
      </c>
      <c r="D225" s="86"/>
      <c r="E225" s="88"/>
    </row>
    <row r="226" ht="23.1" customHeight="1">
      <c r="A226" t="s" s="21">
        <v>343</v>
      </c>
      <c r="B226" t="s" s="45">
        <v>354</v>
      </c>
      <c r="C226" t="b" s="52">
        <v>1</v>
      </c>
      <c r="D226" s="86"/>
      <c r="E226" s="88"/>
    </row>
    <row r="227" ht="23.1" customHeight="1">
      <c r="A227" t="s" s="24">
        <v>355</v>
      </c>
      <c r="B227" t="s" s="53">
        <v>354</v>
      </c>
      <c r="C227" t="b" s="57">
        <v>1</v>
      </c>
      <c r="D227" s="86"/>
      <c r="E227" s="88"/>
    </row>
    <row r="228" ht="23.1" customHeight="1">
      <c r="A228" t="s" s="21">
        <v>325</v>
      </c>
      <c r="B228" t="s" s="45">
        <v>357</v>
      </c>
      <c r="C228" t="b" s="52">
        <v>1</v>
      </c>
      <c r="D228" s="86"/>
      <c r="E228" s="88"/>
    </row>
    <row r="229" ht="23.1" customHeight="1">
      <c r="A229" t="s" s="24">
        <v>358</v>
      </c>
      <c r="B229" t="s" s="53">
        <v>357</v>
      </c>
      <c r="C229" t="b" s="57">
        <v>1</v>
      </c>
      <c r="D229" s="86"/>
      <c r="E229" s="88"/>
    </row>
    <row r="230" ht="23.1" customHeight="1">
      <c r="A230" t="s" s="21">
        <v>320</v>
      </c>
      <c r="B230" t="s" s="45">
        <v>358</v>
      </c>
      <c r="C230" t="b" s="52">
        <v>1</v>
      </c>
      <c r="D230" s="86"/>
      <c r="E230" s="88"/>
    </row>
    <row r="231" ht="23.1" customHeight="1">
      <c r="A231" t="s" s="24">
        <v>356</v>
      </c>
      <c r="B231" t="s" s="53">
        <v>74</v>
      </c>
      <c r="C231" t="b" s="57">
        <v>1</v>
      </c>
      <c r="D231" s="86"/>
      <c r="E231" s="88"/>
    </row>
    <row r="232" ht="23.1" customHeight="1">
      <c r="A232" t="s" s="21">
        <v>311</v>
      </c>
      <c r="B232" t="s" s="45">
        <v>359</v>
      </c>
      <c r="C232" t="b" s="52">
        <v>1</v>
      </c>
      <c r="D232" s="86"/>
      <c r="E232" s="88"/>
    </row>
    <row r="233" ht="23.1" customHeight="1">
      <c r="A233" t="s" s="24">
        <v>360</v>
      </c>
      <c r="B233" t="s" s="53">
        <v>359</v>
      </c>
      <c r="C233" t="b" s="57">
        <v>1</v>
      </c>
      <c r="D233" s="86"/>
      <c r="E233" s="88"/>
    </row>
    <row r="234" ht="23.1" customHeight="1">
      <c r="A234" t="s" s="21">
        <v>1303</v>
      </c>
      <c r="B234" t="s" s="45">
        <v>360</v>
      </c>
      <c r="C234" t="b" s="52">
        <v>1</v>
      </c>
      <c r="D234" s="86"/>
      <c r="E234" s="88"/>
    </row>
    <row r="235" ht="23.1" customHeight="1">
      <c r="A235" t="s" s="24">
        <v>362</v>
      </c>
      <c r="B235" t="s" s="53">
        <v>361</v>
      </c>
      <c r="C235" t="b" s="57">
        <v>1</v>
      </c>
      <c r="D235" s="86"/>
      <c r="E235" s="88"/>
    </row>
    <row r="236" ht="23.1" customHeight="1">
      <c r="A236" t="s" s="21">
        <v>360</v>
      </c>
      <c r="B236" t="s" s="45">
        <v>361</v>
      </c>
      <c r="C236" t="b" s="52">
        <v>1</v>
      </c>
      <c r="D236" s="86"/>
      <c r="E236" s="88"/>
    </row>
    <row r="237" ht="23.1" customHeight="1">
      <c r="A237" t="s" s="24">
        <v>100</v>
      </c>
      <c r="B237" t="s" s="53">
        <v>362</v>
      </c>
      <c r="C237" t="b" s="57">
        <v>1</v>
      </c>
      <c r="D237" s="86"/>
      <c r="E237" s="88"/>
    </row>
    <row r="238" ht="23.1" customHeight="1">
      <c r="A238" t="s" s="21">
        <v>356</v>
      </c>
      <c r="B238" t="s" s="45">
        <v>363</v>
      </c>
      <c r="C238" t="b" s="52">
        <v>1</v>
      </c>
      <c r="D238" s="86"/>
      <c r="E238" s="88"/>
    </row>
    <row r="239" ht="23.1" customHeight="1">
      <c r="A239" t="s" s="24">
        <v>364</v>
      </c>
      <c r="B239" t="s" s="53">
        <v>363</v>
      </c>
      <c r="C239" t="b" s="57">
        <v>1</v>
      </c>
      <c r="D239" s="86"/>
      <c r="E239" s="88"/>
    </row>
    <row r="240" ht="23.1" customHeight="1">
      <c r="A240" t="s" s="21">
        <v>365</v>
      </c>
      <c r="B240" t="s" s="45">
        <v>364</v>
      </c>
      <c r="C240" t="b" s="52">
        <v>1</v>
      </c>
      <c r="D240" s="86"/>
      <c r="E240" s="88"/>
    </row>
    <row r="241" ht="23.1" customHeight="1">
      <c r="A241" t="s" s="24">
        <v>267</v>
      </c>
      <c r="B241" t="s" s="53">
        <v>368</v>
      </c>
      <c r="C241" t="b" s="57">
        <v>1</v>
      </c>
      <c r="D241" s="86"/>
      <c r="E241" s="88"/>
    </row>
    <row r="242" ht="23.1" customHeight="1">
      <c r="A242" t="s" s="21">
        <v>365</v>
      </c>
      <c r="B242" t="s" s="45">
        <v>366</v>
      </c>
      <c r="C242" t="b" s="52">
        <v>1</v>
      </c>
      <c r="D242" s="86"/>
      <c r="E242" s="88"/>
    </row>
    <row r="243" ht="23.1" customHeight="1">
      <c r="A243" t="s" s="24">
        <v>368</v>
      </c>
      <c r="B243" t="s" s="53">
        <v>367</v>
      </c>
      <c r="C243" t="b" s="57">
        <v>1</v>
      </c>
      <c r="D243" s="86"/>
      <c r="E243" s="88"/>
    </row>
    <row r="244" ht="23.1" customHeight="1">
      <c r="A244" t="s" s="21">
        <v>366</v>
      </c>
      <c r="B244" t="s" s="45">
        <v>367</v>
      </c>
      <c r="C244" t="b" s="52">
        <v>1</v>
      </c>
      <c r="D244" s="86"/>
      <c r="E244" s="88"/>
    </row>
    <row r="245" ht="23.1" customHeight="1">
      <c r="A245" t="s" s="24">
        <v>365</v>
      </c>
      <c r="B245" t="s" s="53">
        <v>369</v>
      </c>
      <c r="C245" t="b" s="57">
        <v>1</v>
      </c>
      <c r="D245" s="86"/>
      <c r="E245" s="88"/>
    </row>
    <row r="246" ht="23.1" customHeight="1">
      <c r="A246" t="s" s="21">
        <v>370</v>
      </c>
      <c r="B246" t="s" s="45">
        <v>369</v>
      </c>
      <c r="C246" t="b" s="52">
        <v>1</v>
      </c>
      <c r="D246" s="86"/>
      <c r="E246" s="88"/>
    </row>
    <row r="247" ht="23.1" customHeight="1">
      <c r="A247" t="s" s="24">
        <v>370</v>
      </c>
      <c r="B247" t="s" s="53">
        <v>371</v>
      </c>
      <c r="C247" t="b" s="57">
        <v>1</v>
      </c>
      <c r="D247" s="86"/>
      <c r="E247" s="88"/>
    </row>
    <row r="248" ht="23.1" customHeight="1">
      <c r="A248" t="s" s="21">
        <v>362</v>
      </c>
      <c r="B248" t="s" s="45">
        <v>372</v>
      </c>
      <c r="C248" t="b" s="52">
        <v>1</v>
      </c>
      <c r="D248" s="86"/>
      <c r="E248" s="88"/>
    </row>
    <row r="249" ht="23.1" customHeight="1">
      <c r="A249" t="s" s="24">
        <v>376</v>
      </c>
      <c r="B249" t="s" s="53">
        <v>375</v>
      </c>
      <c r="C249" t="b" s="57">
        <v>1</v>
      </c>
      <c r="D249" s="86"/>
      <c r="E249" s="88"/>
    </row>
    <row r="250" ht="23.1" customHeight="1">
      <c r="A250" t="s" s="21">
        <v>374</v>
      </c>
      <c r="B250" t="s" s="45">
        <v>373</v>
      </c>
      <c r="C250" t="b" s="52">
        <v>1</v>
      </c>
      <c r="D250" s="86"/>
      <c r="E250" s="88"/>
    </row>
    <row r="251" ht="23.1" customHeight="1">
      <c r="A251" t="s" s="24">
        <v>372</v>
      </c>
      <c r="B251" t="s" s="53">
        <v>373</v>
      </c>
      <c r="C251" t="b" s="57">
        <v>1</v>
      </c>
      <c r="D251" s="86"/>
      <c r="E251" s="88"/>
    </row>
    <row r="252" ht="23.1" customHeight="1">
      <c r="A252" t="s" s="21">
        <v>374</v>
      </c>
      <c r="B252" t="s" s="45">
        <v>375</v>
      </c>
      <c r="C252" t="b" s="52">
        <v>1</v>
      </c>
      <c r="D252" s="86"/>
      <c r="E252" s="88"/>
    </row>
    <row r="253" ht="23.1" customHeight="1">
      <c r="A253" t="s" s="24">
        <v>376</v>
      </c>
      <c r="B253" t="s" s="53">
        <v>164</v>
      </c>
      <c r="C253" t="b" s="57">
        <v>1</v>
      </c>
      <c r="D253" s="86"/>
      <c r="E253" s="88"/>
    </row>
    <row r="254" ht="23.1" customHeight="1">
      <c r="A254" t="s" s="21">
        <v>376</v>
      </c>
      <c r="B254" t="s" s="45">
        <v>377</v>
      </c>
      <c r="C254" t="b" s="52">
        <v>1</v>
      </c>
      <c r="D254" s="86"/>
      <c r="E254" s="88"/>
    </row>
    <row r="255" ht="23.1" customHeight="1">
      <c r="A255" t="s" s="24">
        <v>378</v>
      </c>
      <c r="B255" t="s" s="53">
        <v>377</v>
      </c>
      <c r="C255" t="b" s="57">
        <v>1</v>
      </c>
      <c r="D255" s="86"/>
      <c r="E255" s="88"/>
    </row>
    <row r="256" ht="23.1" customHeight="1">
      <c r="A256" t="s" s="21">
        <v>382</v>
      </c>
      <c r="B256" t="s" s="45">
        <v>381</v>
      </c>
      <c r="C256" t="b" s="52">
        <v>1</v>
      </c>
      <c r="D256" s="86"/>
      <c r="E256" s="88"/>
    </row>
    <row r="257" ht="23.1" customHeight="1">
      <c r="A257" t="s" s="24">
        <v>380</v>
      </c>
      <c r="B257" t="s" s="53">
        <v>381</v>
      </c>
      <c r="C257" t="b" s="57">
        <v>1</v>
      </c>
      <c r="D257" s="86"/>
      <c r="E257" s="88"/>
    </row>
    <row r="258" ht="23.1" customHeight="1">
      <c r="A258" t="s" s="21">
        <v>379</v>
      </c>
      <c r="B258" t="s" s="45">
        <v>380</v>
      </c>
      <c r="C258" t="b" s="52">
        <v>1</v>
      </c>
      <c r="D258" s="86"/>
      <c r="E258" s="88"/>
    </row>
    <row r="259" ht="23.1" customHeight="1">
      <c r="A259" t="s" s="24">
        <v>378</v>
      </c>
      <c r="B259" t="s" s="53">
        <v>379</v>
      </c>
      <c r="C259" t="b" s="57">
        <v>1</v>
      </c>
      <c r="D259" s="86"/>
      <c r="E259" s="88"/>
    </row>
    <row r="260" ht="23.1" customHeight="1">
      <c r="A260" t="s" s="21">
        <v>382</v>
      </c>
      <c r="B260" t="s" s="45">
        <v>378</v>
      </c>
      <c r="C260" t="b" s="52">
        <v>1</v>
      </c>
      <c r="D260" s="86"/>
      <c r="E260" s="88"/>
    </row>
    <row r="261" ht="23.1" customHeight="1">
      <c r="A261" t="s" s="24">
        <v>382</v>
      </c>
      <c r="B261" t="s" s="53">
        <v>383</v>
      </c>
      <c r="C261" t="b" s="57">
        <v>1</v>
      </c>
      <c r="D261" s="86"/>
      <c r="E261" s="88"/>
    </row>
    <row r="262" ht="23.1" customHeight="1">
      <c r="A262" t="s" s="21">
        <v>385</v>
      </c>
      <c r="B262" t="s" s="45">
        <v>384</v>
      </c>
      <c r="C262" t="b" s="52">
        <v>1</v>
      </c>
      <c r="D262" s="86"/>
      <c r="E262" s="88"/>
    </row>
    <row r="263" ht="23.1" customHeight="1">
      <c r="A263" t="s" s="24">
        <v>383</v>
      </c>
      <c r="B263" t="s" s="53">
        <v>384</v>
      </c>
      <c r="C263" t="b" s="57">
        <v>1</v>
      </c>
      <c r="D263" s="86"/>
      <c r="E263" s="88"/>
    </row>
    <row r="264" ht="23.1" customHeight="1">
      <c r="A264" t="s" s="21">
        <v>385</v>
      </c>
      <c r="B264" t="s" s="45">
        <v>124</v>
      </c>
      <c r="C264" t="b" s="52">
        <v>1</v>
      </c>
      <c r="D264" s="86"/>
      <c r="E264" s="88"/>
    </row>
    <row r="265" ht="23.1" customHeight="1">
      <c r="A265" t="s" s="24">
        <v>315</v>
      </c>
      <c r="B265" t="s" s="53">
        <v>80</v>
      </c>
      <c r="C265" t="b" s="57">
        <v>1</v>
      </c>
      <c r="D265" s="86"/>
      <c r="E265" s="88"/>
    </row>
    <row r="266" ht="23.1" customHeight="1">
      <c r="A266" t="s" s="21">
        <v>314</v>
      </c>
      <c r="B266" t="s" s="45">
        <v>80</v>
      </c>
      <c r="C266" t="b" s="52">
        <v>1</v>
      </c>
      <c r="D266" s="86"/>
      <c r="E266" s="88"/>
    </row>
    <row r="267" ht="23.1" customHeight="1">
      <c r="A267" t="s" s="24">
        <v>388</v>
      </c>
      <c r="B267" t="s" s="53">
        <v>302</v>
      </c>
      <c r="C267" t="b" s="57">
        <v>1</v>
      </c>
      <c r="D267" s="86"/>
      <c r="E267" s="88"/>
    </row>
    <row r="268" ht="23.1" customHeight="1">
      <c r="A268" t="s" s="21">
        <v>387</v>
      </c>
      <c r="B268" t="s" s="45">
        <v>388</v>
      </c>
      <c r="C268" t="b" s="52">
        <v>1</v>
      </c>
      <c r="D268" s="86"/>
      <c r="E268" s="88"/>
    </row>
    <row r="269" ht="23.1" customHeight="1">
      <c r="A269" t="s" s="24">
        <v>386</v>
      </c>
      <c r="B269" t="s" s="53">
        <v>387</v>
      </c>
      <c r="C269" t="b" s="57">
        <v>1</v>
      </c>
      <c r="D269" s="86"/>
      <c r="E269" s="88"/>
    </row>
    <row r="270" ht="23.1" customHeight="1">
      <c r="A270" t="s" s="21">
        <v>80</v>
      </c>
      <c r="B270" t="s" s="45">
        <v>386</v>
      </c>
      <c r="C270" t="b" s="52">
        <v>1</v>
      </c>
      <c r="D270" s="86"/>
      <c r="E270" s="88"/>
    </row>
    <row r="271" ht="23.1" customHeight="1">
      <c r="A271" t="s" s="24">
        <v>339</v>
      </c>
      <c r="B271" t="s" s="53">
        <v>392</v>
      </c>
      <c r="C271" t="b" s="57">
        <v>1</v>
      </c>
      <c r="D271" s="86"/>
      <c r="E271" s="88"/>
    </row>
    <row r="272" ht="23.1" customHeight="1">
      <c r="A272" t="s" s="21">
        <v>387</v>
      </c>
      <c r="B272" t="s" s="45">
        <v>389</v>
      </c>
      <c r="C272" t="b" s="52">
        <v>1</v>
      </c>
      <c r="D272" s="86"/>
      <c r="E272" s="88"/>
    </row>
    <row r="273" ht="23.1" customHeight="1">
      <c r="A273" t="s" s="24">
        <v>390</v>
      </c>
      <c r="B273" t="s" s="53">
        <v>391</v>
      </c>
      <c r="C273" t="b" s="57">
        <v>1</v>
      </c>
      <c r="D273" s="86"/>
      <c r="E273" s="88"/>
    </row>
    <row r="274" ht="23.1" customHeight="1">
      <c r="A274" t="s" s="21">
        <v>389</v>
      </c>
      <c r="B274" t="s" s="45">
        <v>390</v>
      </c>
      <c r="C274" t="b" s="52">
        <v>1</v>
      </c>
      <c r="D274" s="86"/>
      <c r="E274" s="88"/>
    </row>
    <row r="275" ht="23.1" customHeight="1">
      <c r="A275" t="s" s="24">
        <v>126</v>
      </c>
      <c r="B275" t="s" s="53">
        <v>390</v>
      </c>
      <c r="C275" t="b" s="57">
        <v>1</v>
      </c>
      <c r="D275" s="86"/>
      <c r="E275" s="88"/>
    </row>
    <row r="276" ht="23.1" customHeight="1">
      <c r="A276" t="s" s="21">
        <v>391</v>
      </c>
      <c r="B276" t="s" s="45">
        <v>392</v>
      </c>
      <c r="C276" t="b" s="52">
        <v>1</v>
      </c>
      <c r="D276" s="86"/>
      <c r="E276" s="88"/>
    </row>
    <row r="277" ht="23.1" customHeight="1">
      <c r="A277" t="s" s="24">
        <v>336</v>
      </c>
      <c r="B277" t="s" s="53">
        <v>152</v>
      </c>
      <c r="C277" t="b" s="57">
        <v>1</v>
      </c>
      <c r="D277" s="86"/>
      <c r="E277" s="88"/>
    </row>
    <row r="278" ht="23.1" customHeight="1">
      <c r="A278" t="s" s="21">
        <v>126</v>
      </c>
      <c r="B278" t="s" s="45">
        <v>393</v>
      </c>
      <c r="C278" t="b" s="52">
        <v>1</v>
      </c>
      <c r="D278" s="86"/>
      <c r="E278" s="88"/>
    </row>
    <row r="279" ht="23.1" customHeight="1">
      <c r="A279" t="s" s="24">
        <v>338</v>
      </c>
      <c r="B279" t="s" s="53">
        <v>393</v>
      </c>
      <c r="C279" t="b" s="57">
        <v>1</v>
      </c>
      <c r="D279" s="86"/>
      <c r="E279" s="88"/>
    </row>
    <row r="280" ht="23.1" customHeight="1">
      <c r="A280" t="s" s="21">
        <v>152</v>
      </c>
      <c r="B280" t="s" s="45">
        <v>108</v>
      </c>
      <c r="C280" t="b" s="52">
        <v>1</v>
      </c>
      <c r="D280" s="86"/>
      <c r="E280" s="88"/>
    </row>
    <row r="281" ht="23.1" customHeight="1">
      <c r="A281" t="s" s="24">
        <v>397</v>
      </c>
      <c r="B281" t="s" s="53">
        <v>108</v>
      </c>
      <c r="C281" t="b" s="57">
        <v>1</v>
      </c>
      <c r="D281" s="86"/>
      <c r="E281" s="88"/>
    </row>
    <row r="282" ht="23.1" customHeight="1">
      <c r="A282" t="s" s="21">
        <v>162</v>
      </c>
      <c r="B282" t="s" s="45">
        <v>397</v>
      </c>
      <c r="C282" t="b" s="52">
        <v>1</v>
      </c>
      <c r="D282" s="86"/>
      <c r="E282" s="88"/>
    </row>
    <row r="283" ht="23.1" customHeight="1">
      <c r="A283" t="s" s="24">
        <v>392</v>
      </c>
      <c r="B283" t="s" s="53">
        <v>394</v>
      </c>
      <c r="C283" t="b" s="57">
        <v>1</v>
      </c>
      <c r="D283" s="86"/>
      <c r="E283" s="88"/>
    </row>
    <row r="284" ht="23.1" customHeight="1">
      <c r="A284" t="s" s="21">
        <v>395</v>
      </c>
      <c r="B284" t="s" s="45">
        <v>394</v>
      </c>
      <c r="C284" t="b" s="52">
        <v>1</v>
      </c>
      <c r="D284" s="86"/>
      <c r="E284" s="88"/>
    </row>
    <row r="285" ht="23.1" customHeight="1">
      <c r="A285" t="s" s="24">
        <v>396</v>
      </c>
      <c r="B285" t="s" s="53">
        <v>395</v>
      </c>
      <c r="C285" t="b" s="57">
        <v>1</v>
      </c>
      <c r="D285" s="86"/>
      <c r="E285" s="88"/>
    </row>
    <row r="286" ht="23.1" customHeight="1">
      <c r="A286" t="s" s="21">
        <v>396</v>
      </c>
      <c r="B286" t="s" s="45">
        <v>182</v>
      </c>
      <c r="C286" t="b" s="52">
        <v>1</v>
      </c>
      <c r="D286" s="86"/>
      <c r="E286" s="88"/>
    </row>
    <row r="287" ht="23.1" customHeight="1">
      <c r="A287" t="s" s="24">
        <v>358</v>
      </c>
      <c r="B287" t="s" s="53">
        <v>398</v>
      </c>
      <c r="C287" t="b" s="57">
        <v>1</v>
      </c>
      <c r="D287" s="86"/>
      <c r="E287" s="88"/>
    </row>
    <row r="288" ht="23.1" customHeight="1">
      <c r="A288" t="s" s="21">
        <v>357</v>
      </c>
      <c r="B288" t="s" s="45">
        <v>398</v>
      </c>
      <c r="C288" t="b" s="52">
        <v>1</v>
      </c>
      <c r="D288" s="86"/>
      <c r="E288" s="88"/>
    </row>
    <row r="289" ht="23.1" customHeight="1">
      <c r="A289" t="s" s="24">
        <v>399</v>
      </c>
      <c r="B289" t="s" s="53">
        <v>398</v>
      </c>
      <c r="C289" t="b" s="57">
        <v>1</v>
      </c>
      <c r="D289" s="86"/>
      <c r="E289" s="88"/>
    </row>
    <row r="290" ht="23.1" customHeight="1">
      <c r="A290" t="s" s="21">
        <v>401</v>
      </c>
      <c r="B290" t="s" s="45">
        <v>400</v>
      </c>
      <c r="C290" t="b" s="52">
        <v>1</v>
      </c>
      <c r="D290" s="86"/>
      <c r="E290" s="88"/>
    </row>
    <row r="291" ht="23.1" customHeight="1">
      <c r="A291" t="s" s="24">
        <v>399</v>
      </c>
      <c r="B291" t="s" s="53">
        <v>400</v>
      </c>
      <c r="C291" t="b" s="57">
        <v>1</v>
      </c>
      <c r="D291" s="86"/>
      <c r="E291" s="88"/>
    </row>
    <row r="292" ht="23.1" customHeight="1">
      <c r="A292" t="s" s="21">
        <v>401</v>
      </c>
      <c r="B292" t="s" s="45">
        <v>402</v>
      </c>
      <c r="C292" t="b" s="52">
        <v>1</v>
      </c>
      <c r="D292" s="86"/>
      <c r="E292" s="88"/>
    </row>
    <row r="293" ht="23.1" customHeight="1">
      <c r="A293" t="s" s="24">
        <v>403</v>
      </c>
      <c r="B293" t="s" s="53">
        <v>402</v>
      </c>
      <c r="C293" t="b" s="57">
        <v>1</v>
      </c>
      <c r="D293" s="86"/>
      <c r="E293" s="88"/>
    </row>
    <row r="294" ht="23.1" customHeight="1">
      <c r="A294" t="s" s="21">
        <v>404</v>
      </c>
      <c r="B294" t="s" s="45">
        <v>403</v>
      </c>
      <c r="C294" t="b" s="52">
        <v>1</v>
      </c>
      <c r="D294" s="86"/>
      <c r="E294" s="88"/>
    </row>
    <row r="295" ht="23.1" customHeight="1">
      <c r="A295" t="s" s="24">
        <v>358</v>
      </c>
      <c r="B295" t="s" s="53">
        <v>404</v>
      </c>
      <c r="C295" t="b" s="57">
        <v>1</v>
      </c>
      <c r="D295" s="86"/>
      <c r="E295" s="88"/>
    </row>
    <row r="296" ht="23.1" customHeight="1">
      <c r="A296" t="s" s="21">
        <v>182</v>
      </c>
      <c r="B296" t="s" s="45">
        <v>404</v>
      </c>
      <c r="C296" t="b" s="52">
        <v>1</v>
      </c>
      <c r="D296" s="86"/>
      <c r="E296" s="88"/>
    </row>
    <row r="297" ht="23.1" customHeight="1">
      <c r="A297" t="s" s="24">
        <v>405</v>
      </c>
      <c r="B297" t="s" s="53">
        <v>182</v>
      </c>
      <c r="C297" t="b" s="57">
        <v>1</v>
      </c>
      <c r="D297" s="86"/>
      <c r="E297" s="88"/>
    </row>
    <row r="298" ht="23.1" customHeight="1">
      <c r="A298" t="s" s="21">
        <v>363</v>
      </c>
      <c r="B298" t="s" s="45">
        <v>406</v>
      </c>
      <c r="C298" t="b" s="52">
        <v>1</v>
      </c>
      <c r="D298" s="86"/>
      <c r="E298" s="88"/>
    </row>
    <row r="299" ht="23.1" customHeight="1">
      <c r="A299" t="s" s="24">
        <v>356</v>
      </c>
      <c r="B299" t="s" s="53">
        <v>407</v>
      </c>
      <c r="C299" t="b" s="57">
        <v>1</v>
      </c>
      <c r="D299" s="86"/>
      <c r="E299" s="88"/>
    </row>
    <row r="300" ht="23.1" customHeight="1">
      <c r="A300" t="s" s="21">
        <v>405</v>
      </c>
      <c r="B300" t="s" s="45">
        <v>407</v>
      </c>
      <c r="C300" t="b" s="52">
        <v>1</v>
      </c>
      <c r="D300" s="86"/>
      <c r="E300" s="88"/>
    </row>
    <row r="301" ht="23.1" customHeight="1">
      <c r="A301" t="s" s="24">
        <v>406</v>
      </c>
      <c r="B301" t="s" s="53">
        <v>407</v>
      </c>
      <c r="C301" t="b" s="57">
        <v>1</v>
      </c>
      <c r="D301" s="86"/>
      <c r="E301" s="88"/>
    </row>
    <row r="302" ht="23.1" customHeight="1">
      <c r="A302" t="s" s="21">
        <v>405</v>
      </c>
      <c r="B302" t="s" s="45">
        <v>408</v>
      </c>
      <c r="C302" t="b" s="52">
        <v>1</v>
      </c>
      <c r="D302" s="86"/>
      <c r="E302" s="88"/>
    </row>
    <row r="303" ht="23.1" customHeight="1">
      <c r="A303" t="s" s="24">
        <v>371</v>
      </c>
      <c r="B303" t="s" s="53">
        <v>408</v>
      </c>
      <c r="C303" t="b" s="57">
        <v>1</v>
      </c>
      <c r="D303" s="86"/>
      <c r="E303" s="88"/>
    </row>
    <row r="304" ht="23.1" customHeight="1">
      <c r="A304" t="s" s="21">
        <v>257</v>
      </c>
      <c r="B304" t="s" s="45">
        <v>411</v>
      </c>
      <c r="C304" t="b" s="52">
        <v>1</v>
      </c>
      <c r="D304" s="86"/>
      <c r="E304" s="88"/>
    </row>
    <row r="305" ht="23.1" customHeight="1">
      <c r="A305" t="s" s="24">
        <v>410</v>
      </c>
      <c r="B305" t="s" s="53">
        <v>411</v>
      </c>
      <c r="C305" t="b" s="57">
        <v>1</v>
      </c>
      <c r="D305" s="86"/>
      <c r="E305" s="88"/>
    </row>
    <row r="306" ht="23.1" customHeight="1">
      <c r="A306" t="s" s="21">
        <v>409</v>
      </c>
      <c r="B306" t="s" s="45">
        <v>411</v>
      </c>
      <c r="C306" t="b" s="52">
        <v>1</v>
      </c>
      <c r="D306" s="86"/>
      <c r="E306" s="88"/>
    </row>
    <row r="307" ht="23.1" customHeight="1">
      <c r="A307" t="s" s="24">
        <v>371</v>
      </c>
      <c r="B307" t="s" s="53">
        <v>409</v>
      </c>
      <c r="C307" t="b" s="57">
        <v>1</v>
      </c>
      <c r="D307" s="86"/>
      <c r="E307" s="88"/>
    </row>
    <row r="308" ht="23.1" customHeight="1">
      <c r="A308" t="s" s="21">
        <v>268</v>
      </c>
      <c r="B308" t="s" s="45">
        <v>412</v>
      </c>
      <c r="C308" t="b" s="52">
        <v>1</v>
      </c>
      <c r="D308" s="86"/>
      <c r="E308" s="88"/>
    </row>
    <row r="309" ht="23.1" customHeight="1">
      <c r="A309" t="s" s="24">
        <v>368</v>
      </c>
      <c r="B309" t="s" s="53">
        <v>413</v>
      </c>
      <c r="C309" t="b" s="57">
        <v>1</v>
      </c>
      <c r="D309" s="86"/>
      <c r="E309" s="88"/>
    </row>
    <row r="310" ht="23.1" customHeight="1">
      <c r="A310" t="s" s="21">
        <v>412</v>
      </c>
      <c r="B310" t="s" s="45">
        <v>413</v>
      </c>
      <c r="C310" t="b" s="52">
        <v>1</v>
      </c>
      <c r="D310" s="86"/>
      <c r="E310" s="88"/>
    </row>
    <row r="311" ht="23.1" customHeight="1">
      <c r="A311" t="s" s="24">
        <v>263</v>
      </c>
      <c r="B311" t="s" s="53">
        <v>417</v>
      </c>
      <c r="C311" t="b" s="57">
        <v>1</v>
      </c>
      <c r="D311" s="86"/>
      <c r="E311" s="88"/>
    </row>
    <row r="312" ht="23.1" customHeight="1">
      <c r="A312" t="s" s="21">
        <v>415</v>
      </c>
      <c r="B312" t="s" s="45">
        <v>417</v>
      </c>
      <c r="C312" t="b" s="52">
        <v>1</v>
      </c>
      <c r="D312" s="86"/>
      <c r="E312" s="88"/>
    </row>
    <row r="313" ht="23.1" customHeight="1">
      <c r="A313" t="s" s="24">
        <v>266</v>
      </c>
      <c r="B313" t="s" s="53">
        <v>417</v>
      </c>
      <c r="C313" t="b" s="57">
        <v>1</v>
      </c>
      <c r="D313" s="86"/>
      <c r="E313" s="88"/>
    </row>
    <row r="314" ht="23.1" customHeight="1">
      <c r="A314" t="s" s="21">
        <v>415</v>
      </c>
      <c r="B314" t="s" s="45">
        <v>416</v>
      </c>
      <c r="C314" t="b" s="52">
        <v>1</v>
      </c>
      <c r="D314" s="86"/>
      <c r="E314" s="88"/>
    </row>
    <row r="315" ht="23.1" customHeight="1">
      <c r="A315" t="s" s="24">
        <v>368</v>
      </c>
      <c r="B315" t="s" s="53">
        <v>416</v>
      </c>
      <c r="C315" t="b" s="57">
        <v>1</v>
      </c>
      <c r="D315" s="86"/>
      <c r="E315" s="88"/>
    </row>
    <row r="316" ht="23.1" customHeight="1">
      <c r="A316" t="s" s="21">
        <v>418</v>
      </c>
      <c r="B316" t="s" s="45">
        <v>415</v>
      </c>
      <c r="C316" t="b" s="52">
        <v>0</v>
      </c>
      <c r="D316" s="86"/>
      <c r="E316" s="88"/>
    </row>
    <row r="317" ht="23.1" customHeight="1">
      <c r="A317" t="s" s="24">
        <v>418</v>
      </c>
      <c r="B317" t="s" s="53">
        <v>414</v>
      </c>
      <c r="C317" t="b" s="57">
        <v>1</v>
      </c>
      <c r="D317" s="86"/>
      <c r="E317" s="88"/>
    </row>
    <row r="318" ht="23.1" customHeight="1">
      <c r="A318" t="s" s="21">
        <v>351</v>
      </c>
      <c r="B318" t="s" s="45">
        <v>414</v>
      </c>
      <c r="C318" t="b" s="52">
        <v>1</v>
      </c>
      <c r="D318" s="86"/>
      <c r="E318" s="88"/>
    </row>
    <row r="319" ht="23.1" customHeight="1">
      <c r="A319" t="s" s="24">
        <v>420</v>
      </c>
      <c r="B319" t="s" s="53">
        <v>421</v>
      </c>
      <c r="C319" t="b" s="57">
        <v>1</v>
      </c>
      <c r="D319" s="86"/>
      <c r="E319" s="88"/>
    </row>
    <row r="320" ht="23.1" customHeight="1">
      <c r="A320" t="s" s="21">
        <v>419</v>
      </c>
      <c r="B320" t="s" s="45">
        <v>422</v>
      </c>
      <c r="C320" t="b" s="52">
        <v>1</v>
      </c>
      <c r="D320" s="86"/>
      <c r="E320" s="88"/>
    </row>
    <row r="321" ht="23.1" customHeight="1">
      <c r="A321" t="s" s="24">
        <v>421</v>
      </c>
      <c r="B321" t="s" s="53">
        <v>422</v>
      </c>
      <c r="C321" t="b" s="57">
        <v>1</v>
      </c>
      <c r="D321" s="86"/>
      <c r="E321" s="88"/>
    </row>
    <row r="322" ht="23.1" customHeight="1">
      <c r="A322" t="s" s="21">
        <v>423</v>
      </c>
      <c r="B322" t="s" s="45">
        <v>422</v>
      </c>
      <c r="C322" t="b" s="52">
        <v>1</v>
      </c>
      <c r="D322" s="86"/>
      <c r="E322" s="88"/>
    </row>
    <row r="323" ht="23.1" customHeight="1">
      <c r="A323" t="s" s="24">
        <v>90</v>
      </c>
      <c r="B323" t="s" s="53">
        <v>424</v>
      </c>
      <c r="C323" t="b" s="57">
        <v>1</v>
      </c>
      <c r="D323" s="86"/>
      <c r="E323" s="88"/>
    </row>
    <row r="324" ht="23.1" customHeight="1">
      <c r="A324" t="s" s="21">
        <v>423</v>
      </c>
      <c r="B324" t="s" s="45">
        <v>424</v>
      </c>
      <c r="C324" t="b" s="52">
        <v>1</v>
      </c>
      <c r="D324" s="86"/>
      <c r="E324" s="88"/>
    </row>
    <row r="325" ht="23.1" customHeight="1">
      <c r="A325" t="s" s="24">
        <v>420</v>
      </c>
      <c r="B325" t="s" s="53">
        <v>425</v>
      </c>
      <c r="C325" t="b" s="57">
        <v>1</v>
      </c>
      <c r="D325" s="86"/>
      <c r="E325" s="88"/>
    </row>
    <row r="326" ht="23.1" customHeight="1">
      <c r="A326" t="s" s="21">
        <v>426</v>
      </c>
      <c r="B326" t="s" s="45">
        <v>425</v>
      </c>
      <c r="C326" t="b" s="52">
        <v>1</v>
      </c>
      <c r="D326" s="86"/>
      <c r="E326" s="88"/>
    </row>
    <row r="327" ht="23.1" customHeight="1">
      <c r="A327" t="s" s="24">
        <v>426</v>
      </c>
      <c r="B327" t="s" s="53">
        <v>427</v>
      </c>
      <c r="C327" t="b" s="57">
        <v>1</v>
      </c>
      <c r="D327" s="86"/>
      <c r="E327" s="88"/>
    </row>
    <row r="328" ht="23.1" customHeight="1">
      <c r="A328" t="s" s="21">
        <v>423</v>
      </c>
      <c r="B328" t="s" s="45">
        <v>427</v>
      </c>
      <c r="C328" t="b" s="52">
        <v>1</v>
      </c>
      <c r="D328" s="86"/>
      <c r="E328" s="88"/>
    </row>
    <row r="329" ht="23.1" customHeight="1">
      <c r="A329" t="s" s="24">
        <v>426</v>
      </c>
      <c r="B329" t="s" s="53">
        <v>210</v>
      </c>
      <c r="C329" t="b" s="57">
        <v>1</v>
      </c>
      <c r="D329" s="86"/>
      <c r="E329" s="88"/>
    </row>
    <row r="330" ht="23.1" customHeight="1">
      <c r="A330" t="s" s="21">
        <v>428</v>
      </c>
      <c r="B330" t="s" s="45">
        <v>427</v>
      </c>
      <c r="C330" t="b" s="52">
        <v>1</v>
      </c>
      <c r="D330" s="86"/>
      <c r="E330" s="88"/>
    </row>
    <row r="331" ht="23.1" customHeight="1">
      <c r="A331" t="s" s="24">
        <v>423</v>
      </c>
      <c r="B331" t="s" s="53">
        <v>428</v>
      </c>
      <c r="C331" t="b" s="57">
        <v>1</v>
      </c>
      <c r="D331" s="86"/>
      <c r="E331" s="88"/>
    </row>
    <row r="332" ht="23.1" customHeight="1">
      <c r="A332" t="s" s="21">
        <v>432</v>
      </c>
      <c r="B332" t="s" s="45">
        <v>375</v>
      </c>
      <c r="C332" t="b" s="52">
        <v>1</v>
      </c>
      <c r="D332" s="86"/>
      <c r="E332" s="88"/>
    </row>
    <row r="333" ht="23.1" customHeight="1">
      <c r="A333" t="s" s="24">
        <v>164</v>
      </c>
      <c r="B333" t="s" s="53">
        <v>432</v>
      </c>
      <c r="C333" t="b" s="57">
        <v>1</v>
      </c>
      <c r="D333" s="86"/>
      <c r="E333" s="88"/>
    </row>
    <row r="334" ht="23.1" customHeight="1">
      <c r="A334" t="s" s="21">
        <v>431</v>
      </c>
      <c r="B334" t="s" s="45">
        <v>432</v>
      </c>
      <c r="C334" t="b" s="52">
        <v>1</v>
      </c>
      <c r="D334" s="86"/>
      <c r="E334" s="88"/>
    </row>
    <row r="335" ht="23.1" customHeight="1">
      <c r="A335" t="s" s="24">
        <v>430</v>
      </c>
      <c r="B335" t="s" s="53">
        <v>431</v>
      </c>
      <c r="C335" t="b" s="57">
        <v>1</v>
      </c>
      <c r="D335" s="86"/>
      <c r="E335" s="88"/>
    </row>
    <row r="336" ht="23.1" customHeight="1">
      <c r="A336" t="s" s="21">
        <v>428</v>
      </c>
      <c r="B336" t="s" s="45">
        <v>430</v>
      </c>
      <c r="C336" t="b" s="52">
        <v>1</v>
      </c>
      <c r="D336" s="86"/>
      <c r="E336" s="88"/>
    </row>
    <row r="337" ht="23.1" customHeight="1">
      <c r="A337" t="s" s="24">
        <v>429</v>
      </c>
      <c r="B337" t="s" s="53">
        <v>428</v>
      </c>
      <c r="C337" t="b" s="57">
        <v>1</v>
      </c>
      <c r="D337" s="86"/>
      <c r="E337" s="88"/>
    </row>
    <row r="338" ht="23.1" customHeight="1">
      <c r="A338" t="s" s="21">
        <v>429</v>
      </c>
      <c r="B338" t="s" s="45">
        <v>433</v>
      </c>
      <c r="C338" t="b" s="52">
        <v>0</v>
      </c>
      <c r="D338" s="86"/>
      <c r="E338" s="88"/>
    </row>
    <row r="339" ht="23.1" customHeight="1">
      <c r="A339" t="s" s="24">
        <v>359</v>
      </c>
      <c r="B339" t="s" s="53">
        <v>433</v>
      </c>
      <c r="C339" t="b" s="57">
        <v>1</v>
      </c>
      <c r="D339" s="86"/>
      <c r="E339" s="88"/>
    </row>
    <row r="340" ht="23.1" customHeight="1">
      <c r="A340" t="s" s="21">
        <v>188</v>
      </c>
      <c r="B340" t="s" s="45">
        <v>435</v>
      </c>
      <c r="C340" t="b" s="52">
        <v>1</v>
      </c>
      <c r="D340" s="86"/>
      <c r="E340" s="88"/>
    </row>
    <row r="341" ht="23.1" customHeight="1">
      <c r="A341" t="s" s="24">
        <v>434</v>
      </c>
      <c r="B341" t="s" s="53">
        <v>435</v>
      </c>
      <c r="C341" t="b" s="57">
        <v>1</v>
      </c>
      <c r="D341" s="86"/>
      <c r="E341" s="88"/>
    </row>
    <row r="342" ht="23.1" customHeight="1">
      <c r="A342" t="s" s="21">
        <v>288</v>
      </c>
      <c r="B342" t="s" s="45">
        <v>434</v>
      </c>
      <c r="C342" t="b" s="52">
        <v>1</v>
      </c>
      <c r="D342" s="86"/>
      <c r="E342" s="88"/>
    </row>
    <row r="343" ht="23.1" customHeight="1">
      <c r="A343" t="s" s="24">
        <v>201</v>
      </c>
      <c r="B343" t="s" s="53">
        <v>436</v>
      </c>
      <c r="C343" t="b" s="57">
        <v>1</v>
      </c>
      <c r="D343" s="86"/>
      <c r="E343" s="88"/>
    </row>
    <row r="344" ht="23.1" customHeight="1">
      <c r="A344" t="s" s="21">
        <v>288</v>
      </c>
      <c r="B344" t="s" s="45">
        <v>436</v>
      </c>
      <c r="C344" t="b" s="52">
        <v>1</v>
      </c>
      <c r="D344" s="86"/>
      <c r="E344" s="88"/>
    </row>
    <row r="345" ht="23.1" customHeight="1">
      <c r="A345" t="s" s="24">
        <v>287</v>
      </c>
      <c r="B345" t="s" s="53">
        <v>436</v>
      </c>
      <c r="C345" t="b" s="57">
        <v>1</v>
      </c>
      <c r="D345" s="86"/>
      <c r="E345" s="88"/>
    </row>
    <row r="346" ht="23.1" customHeight="1">
      <c r="A346" t="s" s="21">
        <v>419</v>
      </c>
      <c r="B346" t="s" s="45">
        <v>437</v>
      </c>
      <c r="C346" t="b" s="52">
        <v>1</v>
      </c>
      <c r="D346" s="86"/>
      <c r="E346" s="88"/>
    </row>
    <row r="347" ht="23.1" customHeight="1">
      <c r="A347" t="s" s="24">
        <v>341</v>
      </c>
      <c r="B347" t="s" s="53">
        <v>437</v>
      </c>
      <c r="C347" t="b" s="57">
        <v>1</v>
      </c>
      <c r="D347" s="86"/>
      <c r="E347" s="88"/>
    </row>
    <row r="348" ht="23.1" customHeight="1">
      <c r="A348" t="s" s="21">
        <v>439</v>
      </c>
      <c r="B348" t="s" s="45">
        <v>438</v>
      </c>
      <c r="C348" t="b" s="52">
        <v>1</v>
      </c>
      <c r="D348" s="86"/>
      <c r="E348" s="88"/>
    </row>
    <row r="349" ht="23.1" customHeight="1">
      <c r="A349" t="s" s="24">
        <v>437</v>
      </c>
      <c r="B349" t="s" s="53">
        <v>438</v>
      </c>
      <c r="C349" t="b" s="57">
        <v>1</v>
      </c>
      <c r="D349" s="86"/>
      <c r="E349" s="88"/>
    </row>
    <row r="350" ht="23.1" customHeight="1">
      <c r="A350" t="s" s="21">
        <v>439</v>
      </c>
      <c r="B350" t="s" s="45">
        <v>440</v>
      </c>
      <c r="C350" t="b" s="52">
        <v>1</v>
      </c>
      <c r="D350" s="86"/>
      <c r="E350" s="88"/>
    </row>
    <row r="351" ht="23.1" customHeight="1">
      <c r="A351" t="s" s="24">
        <v>86</v>
      </c>
      <c r="B351" t="s" s="53">
        <v>441</v>
      </c>
      <c r="C351" t="b" s="57">
        <v>1</v>
      </c>
      <c r="D351" s="86"/>
      <c r="E351" s="88"/>
    </row>
    <row r="352" ht="23.1" customHeight="1">
      <c r="A352" t="s" s="21">
        <v>440</v>
      </c>
      <c r="B352" t="s" s="45">
        <v>441</v>
      </c>
      <c r="C352" t="b" s="52">
        <v>1</v>
      </c>
      <c r="D352" s="86"/>
      <c r="E352" s="88"/>
    </row>
    <row r="353" ht="23.1" customHeight="1">
      <c r="A353" t="s" s="24">
        <v>442</v>
      </c>
      <c r="B353" t="s" s="53">
        <v>440</v>
      </c>
      <c r="C353" t="b" s="57">
        <v>1</v>
      </c>
      <c r="D353" s="86"/>
      <c r="E353" s="88"/>
    </row>
    <row r="354" ht="23.1" customHeight="1">
      <c r="A354" t="s" s="21">
        <v>443</v>
      </c>
      <c r="B354" t="s" s="45">
        <v>442</v>
      </c>
      <c r="C354" t="b" s="52">
        <v>1</v>
      </c>
      <c r="D354" s="86"/>
      <c r="E354" s="88"/>
    </row>
    <row r="355" ht="23.1" customHeight="1">
      <c r="A355" t="s" s="24">
        <v>420</v>
      </c>
      <c r="B355" t="s" s="53">
        <v>444</v>
      </c>
      <c r="C355" t="b" s="57">
        <v>1</v>
      </c>
      <c r="D355" s="86"/>
      <c r="E355" s="88"/>
    </row>
    <row r="356" ht="23.1" customHeight="1">
      <c r="A356" t="s" s="21">
        <v>84</v>
      </c>
      <c r="B356" t="s" s="45">
        <v>444</v>
      </c>
      <c r="C356" t="b" s="52">
        <v>1</v>
      </c>
      <c r="D356" s="86"/>
      <c r="E356" s="88"/>
    </row>
    <row r="357" ht="23.1" customHeight="1">
      <c r="A357" t="s" s="24">
        <v>383</v>
      </c>
      <c r="B357" t="s" s="53">
        <v>445</v>
      </c>
      <c r="C357" t="b" s="57">
        <v>1</v>
      </c>
      <c r="D357" s="86"/>
      <c r="E357" s="88"/>
    </row>
    <row r="358" ht="23.1" customHeight="1">
      <c r="A358" t="s" s="21">
        <v>396</v>
      </c>
      <c r="B358" t="s" s="45">
        <v>445</v>
      </c>
      <c r="C358" t="b" s="52">
        <v>1</v>
      </c>
      <c r="D358" s="86"/>
      <c r="E358" s="88"/>
    </row>
    <row r="359" ht="23.1" customHeight="1">
      <c r="A359" t="s" s="24">
        <v>354</v>
      </c>
      <c r="B359" t="s" s="53">
        <v>446</v>
      </c>
      <c r="C359" t="b" s="57">
        <v>1</v>
      </c>
      <c r="D359" s="86"/>
      <c r="E359" s="88"/>
    </row>
    <row r="360" ht="23.1" customHeight="1">
      <c r="A360" t="s" s="21">
        <v>400</v>
      </c>
      <c r="B360" t="s" s="45">
        <v>446</v>
      </c>
      <c r="C360" t="b" s="52">
        <v>1</v>
      </c>
      <c r="D360" s="86"/>
      <c r="E360" s="88"/>
    </row>
    <row r="361" ht="23.1" customHeight="1">
      <c r="A361" t="s" s="24">
        <v>356</v>
      </c>
      <c r="B361" t="s" s="53">
        <v>446</v>
      </c>
      <c r="C361" t="b" s="57">
        <v>1</v>
      </c>
      <c r="D361" s="86"/>
      <c r="E361" s="88"/>
    </row>
    <row r="362" ht="23.1" customHeight="1">
      <c r="A362" t="s" s="21">
        <v>443</v>
      </c>
      <c r="B362" t="s" s="45">
        <v>447</v>
      </c>
      <c r="C362" t="b" s="52">
        <v>1</v>
      </c>
      <c r="D362" s="86"/>
      <c r="E362" s="88"/>
    </row>
    <row r="363" ht="23.1" customHeight="1">
      <c r="A363" t="s" s="24">
        <v>142</v>
      </c>
      <c r="B363" t="s" s="53">
        <v>447</v>
      </c>
      <c r="C363" t="b" s="57">
        <v>1</v>
      </c>
      <c r="D363" s="86"/>
      <c r="E363" s="88"/>
    </row>
    <row r="364" ht="23.1" customHeight="1">
      <c r="A364" t="s" s="21">
        <v>193</v>
      </c>
      <c r="B364" t="s" s="45">
        <v>447</v>
      </c>
      <c r="C364" t="b" s="52">
        <v>1</v>
      </c>
      <c r="D364" s="86"/>
      <c r="E364" s="88"/>
    </row>
    <row r="365" ht="23.1" customHeight="1">
      <c r="A365" t="s" s="24">
        <v>92</v>
      </c>
      <c r="B365" t="s" s="53">
        <v>447</v>
      </c>
      <c r="C365" t="b" s="57">
        <v>1</v>
      </c>
      <c r="D365" s="86"/>
      <c r="E365" s="88"/>
    </row>
    <row r="366" ht="23.1" customHeight="1">
      <c r="A366" t="s" s="21">
        <v>448</v>
      </c>
      <c r="B366" t="s" s="45">
        <v>447</v>
      </c>
      <c r="C366" t="b" s="52">
        <v>1</v>
      </c>
      <c r="D366" s="86"/>
      <c r="E366" s="88"/>
    </row>
    <row r="367" ht="23.1" customHeight="1">
      <c r="A367" t="s" s="24">
        <v>92</v>
      </c>
      <c r="B367" t="s" s="53">
        <v>448</v>
      </c>
      <c r="C367" t="b" s="57">
        <v>1</v>
      </c>
      <c r="D367" s="86"/>
      <c r="E367" s="88"/>
    </row>
    <row r="368" ht="23.1" customHeight="1">
      <c r="A368" t="s" s="21">
        <v>447</v>
      </c>
      <c r="B368" t="s" s="45">
        <v>450</v>
      </c>
      <c r="C368" t="b" s="52">
        <v>1</v>
      </c>
      <c r="D368" s="86"/>
      <c r="E368" s="88"/>
    </row>
    <row r="369" ht="23.1" customHeight="1">
      <c r="A369" t="s" s="24">
        <v>449</v>
      </c>
      <c r="B369" t="s" s="53">
        <v>451</v>
      </c>
      <c r="C369" t="b" s="57">
        <v>1</v>
      </c>
      <c r="D369" s="86"/>
      <c r="E369" s="88"/>
    </row>
    <row r="370" ht="23.1" customHeight="1">
      <c r="A370" t="s" s="21">
        <v>450</v>
      </c>
      <c r="B370" t="s" s="45">
        <v>451</v>
      </c>
      <c r="C370" t="b" s="52">
        <v>1</v>
      </c>
      <c r="D370" s="86"/>
      <c r="E370" s="88"/>
    </row>
    <row r="371" ht="23.1" customHeight="1">
      <c r="A371" t="s" s="24">
        <v>453</v>
      </c>
      <c r="B371" t="s" s="53">
        <v>452</v>
      </c>
      <c r="C371" t="b" s="57">
        <v>1</v>
      </c>
      <c r="D371" s="86"/>
      <c r="E371" s="88"/>
    </row>
    <row r="372" ht="23.1" customHeight="1">
      <c r="A372" t="s" s="21">
        <v>451</v>
      </c>
      <c r="B372" t="s" s="45">
        <v>452</v>
      </c>
      <c r="C372" t="b" s="52">
        <v>1</v>
      </c>
      <c r="D372" s="86"/>
      <c r="E372" s="88"/>
    </row>
    <row r="373" ht="23.1" customHeight="1">
      <c r="A373" t="s" s="24">
        <v>454</v>
      </c>
      <c r="B373" t="s" s="53">
        <v>452</v>
      </c>
      <c r="C373" t="b" s="57">
        <v>1</v>
      </c>
      <c r="D373" s="86"/>
      <c r="E373" s="88"/>
    </row>
    <row r="374" ht="23.1" customHeight="1">
      <c r="A374" t="s" s="21">
        <v>450</v>
      </c>
      <c r="B374" t="s" s="45">
        <v>453</v>
      </c>
      <c r="C374" t="b" s="52">
        <v>1</v>
      </c>
      <c r="D374" s="86"/>
      <c r="E374" s="88"/>
    </row>
    <row r="375" ht="23.1" customHeight="1">
      <c r="A375" t="s" s="24">
        <v>454</v>
      </c>
      <c r="B375" t="s" s="53">
        <v>444</v>
      </c>
      <c r="C375" t="b" s="57">
        <v>1</v>
      </c>
      <c r="D375" s="86"/>
      <c r="E375" s="88"/>
    </row>
    <row r="376" ht="23.1" customHeight="1">
      <c r="A376" t="s" s="21">
        <v>214</v>
      </c>
      <c r="B376" t="s" s="45">
        <v>457</v>
      </c>
      <c r="C376" t="b" s="52">
        <v>1</v>
      </c>
      <c r="D376" s="86"/>
      <c r="E376" s="88"/>
    </row>
    <row r="377" ht="23.1" customHeight="1">
      <c r="A377" t="s" s="24">
        <v>456</v>
      </c>
      <c r="B377" t="s" s="53">
        <v>457</v>
      </c>
      <c r="C377" t="b" s="57">
        <v>1</v>
      </c>
      <c r="D377" s="86"/>
      <c r="E377" s="88"/>
    </row>
    <row r="378" ht="23.1" customHeight="1">
      <c r="A378" t="s" s="21">
        <v>454</v>
      </c>
      <c r="B378" t="s" s="45">
        <v>455</v>
      </c>
      <c r="C378" t="b" s="52">
        <v>1</v>
      </c>
      <c r="D378" s="86"/>
      <c r="E378" s="88"/>
    </row>
    <row r="379" ht="23.1" customHeight="1">
      <c r="A379" t="s" s="24">
        <v>444</v>
      </c>
      <c r="B379" t="s" s="53">
        <v>456</v>
      </c>
      <c r="C379" t="b" s="57">
        <v>1</v>
      </c>
      <c r="D379" s="86"/>
      <c r="E379" s="88"/>
    </row>
    <row r="380" ht="23.1" customHeight="1">
      <c r="A380" t="s" s="21">
        <v>455</v>
      </c>
      <c r="B380" t="s" s="45">
        <v>456</v>
      </c>
      <c r="C380" t="b" s="52">
        <v>1</v>
      </c>
      <c r="D380" s="86"/>
      <c r="E380" s="88"/>
    </row>
    <row r="381" ht="23.1" customHeight="1">
      <c r="A381" t="s" s="24">
        <v>457</v>
      </c>
      <c r="B381" t="s" s="53">
        <v>459</v>
      </c>
      <c r="C381" t="b" s="57">
        <v>1</v>
      </c>
      <c r="D381" s="86"/>
      <c r="E381" s="88"/>
    </row>
    <row r="382" ht="23.1" customHeight="1">
      <c r="A382" t="s" s="21">
        <v>377</v>
      </c>
      <c r="B382" t="s" s="45">
        <v>459</v>
      </c>
      <c r="C382" t="b" s="52">
        <v>1</v>
      </c>
      <c r="D382" s="86"/>
      <c r="E382" s="88"/>
    </row>
    <row r="383" ht="23.1" customHeight="1">
      <c r="A383" t="s" s="24">
        <v>458</v>
      </c>
      <c r="B383" t="s" s="53">
        <v>459</v>
      </c>
      <c r="C383" t="b" s="57">
        <v>1</v>
      </c>
      <c r="D383" s="86"/>
      <c r="E383" s="88"/>
    </row>
    <row r="384" ht="23.1" customHeight="1">
      <c r="A384" t="s" s="21">
        <v>460</v>
      </c>
      <c r="B384" t="s" s="45">
        <v>88</v>
      </c>
      <c r="C384" t="b" s="52">
        <v>1</v>
      </c>
      <c r="D384" s="86"/>
      <c r="E384" s="88"/>
    </row>
    <row r="385" ht="23.1" customHeight="1">
      <c r="A385" t="s" s="24">
        <v>461</v>
      </c>
      <c r="B385" t="s" s="53">
        <v>460</v>
      </c>
      <c r="C385" t="b" s="57">
        <v>1</v>
      </c>
      <c r="D385" s="86"/>
      <c r="E385" s="88"/>
    </row>
    <row r="386" ht="23.1" customHeight="1">
      <c r="A386" t="s" s="21">
        <v>464</v>
      </c>
      <c r="B386" t="s" s="45">
        <v>458</v>
      </c>
      <c r="C386" t="b" s="52">
        <v>1</v>
      </c>
      <c r="D386" s="86"/>
      <c r="E386" s="88"/>
    </row>
    <row r="387" ht="23.1" customHeight="1">
      <c r="A387" t="s" s="24">
        <v>463</v>
      </c>
      <c r="B387" t="s" s="53">
        <v>464</v>
      </c>
      <c r="C387" t="b" s="57">
        <v>1</v>
      </c>
      <c r="D387" s="86"/>
      <c r="E387" s="88"/>
    </row>
    <row r="388" ht="23.1" customHeight="1">
      <c r="A388" t="s" s="21">
        <v>461</v>
      </c>
      <c r="B388" t="s" s="45">
        <v>463</v>
      </c>
      <c r="C388" t="b" s="52">
        <v>1</v>
      </c>
      <c r="D388" s="86"/>
      <c r="E388" s="88"/>
    </row>
    <row r="389" ht="23.1" customHeight="1">
      <c r="A389" t="s" s="24">
        <v>460</v>
      </c>
      <c r="B389" t="s" s="53">
        <v>458</v>
      </c>
      <c r="C389" t="b" s="57">
        <v>1</v>
      </c>
      <c r="D389" s="86"/>
      <c r="E389" s="88"/>
    </row>
    <row r="390" ht="23.1" customHeight="1">
      <c r="A390" t="s" s="21">
        <v>462</v>
      </c>
      <c r="B390" t="s" s="45">
        <v>463</v>
      </c>
      <c r="C390" t="b" s="52">
        <v>1</v>
      </c>
      <c r="D390" s="86"/>
      <c r="E390" s="88"/>
    </row>
    <row r="391" ht="23.1" customHeight="1">
      <c r="A391" t="s" s="24">
        <v>465</v>
      </c>
      <c r="B391" t="s" s="53">
        <v>462</v>
      </c>
      <c r="C391" t="b" s="57">
        <v>1</v>
      </c>
      <c r="D391" s="86"/>
      <c r="E391" s="88"/>
    </row>
    <row r="392" ht="23.1" customHeight="1">
      <c r="A392" t="s" s="21">
        <v>455</v>
      </c>
      <c r="B392" t="s" s="45">
        <v>466</v>
      </c>
      <c r="C392" t="b" s="52">
        <v>1</v>
      </c>
      <c r="D392" s="86"/>
      <c r="E392" s="88"/>
    </row>
    <row r="393" ht="23.1" customHeight="1">
      <c r="A393" t="s" s="24">
        <v>456</v>
      </c>
      <c r="B393" t="s" s="53">
        <v>466</v>
      </c>
      <c r="C393" t="b" s="57">
        <v>1</v>
      </c>
      <c r="D393" s="86"/>
      <c r="E393" s="88"/>
    </row>
    <row r="394" ht="23.1" customHeight="1">
      <c r="A394" t="s" s="21">
        <v>465</v>
      </c>
      <c r="B394" t="s" s="45">
        <v>466</v>
      </c>
      <c r="C394" t="b" s="52">
        <v>1</v>
      </c>
      <c r="D394" s="86"/>
      <c r="E394" s="88"/>
    </row>
    <row r="395" ht="23.1" customHeight="1">
      <c r="A395" t="s" s="24">
        <v>462</v>
      </c>
      <c r="B395" t="s" s="53">
        <v>469</v>
      </c>
      <c r="C395" t="b" s="57">
        <v>1</v>
      </c>
      <c r="D395" s="86"/>
      <c r="E395" s="88"/>
    </row>
    <row r="396" ht="23.1" customHeight="1">
      <c r="A396" t="s" s="21">
        <v>468</v>
      </c>
      <c r="B396" t="s" s="45">
        <v>469</v>
      </c>
      <c r="C396" t="b" s="52">
        <v>1</v>
      </c>
      <c r="D396" s="86"/>
      <c r="E396" s="88"/>
    </row>
    <row r="397" ht="23.1" customHeight="1">
      <c r="A397" t="s" s="24">
        <v>467</v>
      </c>
      <c r="B397" t="s" s="53">
        <v>469</v>
      </c>
      <c r="C397" t="b" s="57">
        <v>1</v>
      </c>
      <c r="D397" s="86"/>
      <c r="E397" s="88"/>
    </row>
    <row r="398" ht="23.1" customHeight="1">
      <c r="A398" t="s" s="21">
        <v>445</v>
      </c>
      <c r="B398" t="s" s="45">
        <v>471</v>
      </c>
      <c r="C398" t="b" s="52">
        <v>1</v>
      </c>
      <c r="D398" s="86"/>
      <c r="E398" s="88"/>
    </row>
    <row r="399" ht="23.1" customHeight="1">
      <c r="A399" t="s" s="24">
        <v>467</v>
      </c>
      <c r="B399" t="s" s="53">
        <v>470</v>
      </c>
      <c r="C399" t="b" s="57">
        <v>1</v>
      </c>
      <c r="D399" s="86"/>
      <c r="E399" s="88"/>
    </row>
    <row r="400" ht="23.1" customHeight="1">
      <c r="A400" t="s" s="21">
        <v>472</v>
      </c>
      <c r="B400" t="s" s="45">
        <v>470</v>
      </c>
      <c r="C400" t="b" s="52">
        <v>1</v>
      </c>
      <c r="D400" s="86"/>
      <c r="E400" s="88"/>
    </row>
    <row r="401" ht="23.1" customHeight="1">
      <c r="A401" t="s" s="24">
        <v>471</v>
      </c>
      <c r="B401" t="s" s="53">
        <v>472</v>
      </c>
      <c r="C401" t="b" s="57">
        <v>1</v>
      </c>
      <c r="D401" s="86"/>
      <c r="E401" s="88"/>
    </row>
    <row r="402" ht="23.1" customHeight="1">
      <c r="A402" t="s" s="21">
        <v>473</v>
      </c>
      <c r="B402" t="s" s="45">
        <v>474</v>
      </c>
      <c r="C402" t="b" s="52">
        <v>1</v>
      </c>
      <c r="D402" s="86"/>
      <c r="E402" s="88"/>
    </row>
    <row r="403" ht="23.1" customHeight="1">
      <c r="A403" t="s" s="24">
        <v>475</v>
      </c>
      <c r="B403" t="s" s="53">
        <v>479</v>
      </c>
      <c r="C403" t="b" s="57">
        <v>1</v>
      </c>
      <c r="D403" s="86"/>
      <c r="E403" s="88"/>
    </row>
    <row r="404" ht="23.1" customHeight="1">
      <c r="A404" t="s" s="21">
        <v>474</v>
      </c>
      <c r="B404" t="s" s="45">
        <v>479</v>
      </c>
      <c r="C404" t="b" s="52">
        <v>1</v>
      </c>
      <c r="D404" s="86"/>
      <c r="E404" s="88"/>
    </row>
    <row r="405" ht="23.1" customHeight="1">
      <c r="A405" t="s" s="24">
        <v>478</v>
      </c>
      <c r="B405" t="s" s="53">
        <v>479</v>
      </c>
      <c r="C405" t="b" s="57">
        <v>1</v>
      </c>
      <c r="D405" s="86"/>
      <c r="E405" s="88"/>
    </row>
    <row r="406" ht="23.1" customHeight="1">
      <c r="A406" t="s" s="21">
        <v>477</v>
      </c>
      <c r="B406" t="s" s="45">
        <v>478</v>
      </c>
      <c r="C406" t="b" s="52">
        <v>1</v>
      </c>
      <c r="D406" s="86"/>
      <c r="E406" s="88"/>
    </row>
    <row r="407" ht="23.1" customHeight="1">
      <c r="A407" t="s" s="24">
        <v>476</v>
      </c>
      <c r="B407" t="s" s="53">
        <v>477</v>
      </c>
      <c r="C407" t="b" s="57">
        <v>1</v>
      </c>
      <c r="D407" s="86"/>
      <c r="E407" s="88"/>
    </row>
    <row r="408" ht="23.1" customHeight="1">
      <c r="A408" t="s" s="21">
        <v>475</v>
      </c>
      <c r="B408" t="s" s="45">
        <v>476</v>
      </c>
      <c r="C408" t="b" s="52">
        <v>1</v>
      </c>
      <c r="D408" s="86"/>
      <c r="E408" s="88"/>
    </row>
    <row r="409" ht="23.1" customHeight="1">
      <c r="A409" t="s" s="24">
        <v>478</v>
      </c>
      <c r="B409" t="s" s="53">
        <v>132</v>
      </c>
      <c r="C409" t="b" s="57">
        <v>1</v>
      </c>
      <c r="D409" s="86"/>
      <c r="E409" s="88"/>
    </row>
    <row r="410" ht="23.1" customHeight="1">
      <c r="A410" t="s" s="21">
        <v>449</v>
      </c>
      <c r="B410" t="s" s="45">
        <v>481</v>
      </c>
      <c r="C410" t="b" s="52">
        <v>1</v>
      </c>
      <c r="D410" s="86"/>
      <c r="E410" s="88"/>
    </row>
    <row r="411" ht="23.1" customHeight="1">
      <c r="A411" t="s" s="24">
        <v>476</v>
      </c>
      <c r="B411" t="s" s="53">
        <v>481</v>
      </c>
      <c r="C411" t="b" s="57">
        <v>1</v>
      </c>
      <c r="D411" s="86"/>
      <c r="E411" s="88"/>
    </row>
    <row r="412" ht="23.1" customHeight="1">
      <c r="A412" t="s" s="21">
        <v>448</v>
      </c>
      <c r="B412" t="s" s="45">
        <v>481</v>
      </c>
      <c r="C412" t="b" s="52">
        <v>1</v>
      </c>
      <c r="D412" s="86"/>
      <c r="E412" s="88"/>
    </row>
    <row r="413" ht="23.1" customHeight="1">
      <c r="A413" t="s" s="24">
        <v>449</v>
      </c>
      <c r="B413" t="s" s="53">
        <v>480</v>
      </c>
      <c r="C413" t="b" s="57">
        <v>1</v>
      </c>
      <c r="D413" s="86"/>
      <c r="E413" s="88"/>
    </row>
    <row r="414" ht="23.1" customHeight="1">
      <c r="A414" t="s" s="21">
        <v>473</v>
      </c>
      <c r="B414" t="s" s="45">
        <v>480</v>
      </c>
      <c r="C414" t="b" s="52">
        <v>1</v>
      </c>
      <c r="D414" s="86"/>
      <c r="E414" s="88"/>
    </row>
    <row r="415" ht="23.1" customHeight="1">
      <c r="A415" t="s" s="24">
        <v>479</v>
      </c>
      <c r="B415" t="s" s="53">
        <v>480</v>
      </c>
      <c r="C415" t="b" s="57">
        <v>1</v>
      </c>
      <c r="D415" s="86"/>
      <c r="E415" s="88"/>
    </row>
    <row r="416" ht="23.1" customHeight="1">
      <c r="A416" t="s" s="21">
        <v>473</v>
      </c>
      <c r="B416" t="s" s="45">
        <v>485</v>
      </c>
      <c r="C416" t="b" s="52">
        <v>1</v>
      </c>
      <c r="D416" s="86"/>
      <c r="E416" s="88"/>
    </row>
    <row r="417" ht="23.1" customHeight="1">
      <c r="A417" t="s" s="24">
        <v>138</v>
      </c>
      <c r="B417" t="s" s="53">
        <v>484</v>
      </c>
      <c r="C417" t="b" s="57">
        <v>1</v>
      </c>
      <c r="D417" s="86"/>
      <c r="E417" s="88"/>
    </row>
    <row r="418" ht="23.1" customHeight="1">
      <c r="A418" t="s" s="21">
        <v>485</v>
      </c>
      <c r="B418" t="s" s="45">
        <v>484</v>
      </c>
      <c r="C418" t="b" s="52">
        <v>1</v>
      </c>
      <c r="D418" s="86"/>
      <c r="E418" s="88"/>
    </row>
    <row r="419" ht="23.1" customHeight="1">
      <c r="A419" t="s" s="24">
        <v>483</v>
      </c>
      <c r="B419" t="s" s="53">
        <v>484</v>
      </c>
      <c r="C419" t="b" s="57">
        <v>1</v>
      </c>
      <c r="D419" s="86"/>
      <c r="E419" s="88"/>
    </row>
    <row r="420" ht="23.1" customHeight="1">
      <c r="A420" t="s" s="21">
        <v>482</v>
      </c>
      <c r="B420" t="s" s="45">
        <v>483</v>
      </c>
      <c r="C420" t="b" s="52">
        <v>1</v>
      </c>
      <c r="D420" s="86"/>
      <c r="E420" s="88"/>
    </row>
    <row r="421" ht="23.1" customHeight="1">
      <c r="A421" t="s" s="24">
        <v>474</v>
      </c>
      <c r="B421" t="s" s="53">
        <v>482</v>
      </c>
      <c r="C421" t="b" s="57">
        <v>1</v>
      </c>
      <c r="D421" s="86"/>
      <c r="E421" s="88"/>
    </row>
    <row r="422" ht="23.1" customHeight="1">
      <c r="A422" t="s" s="21">
        <v>485</v>
      </c>
      <c r="B422" t="s" s="45">
        <v>219</v>
      </c>
      <c r="C422" t="b" s="52">
        <v>1</v>
      </c>
      <c r="D422" s="86"/>
      <c r="E422" s="88"/>
    </row>
    <row r="423" ht="23.1" customHeight="1">
      <c r="A423" t="s" s="24">
        <v>440</v>
      </c>
      <c r="B423" t="s" s="53">
        <v>488</v>
      </c>
      <c r="C423" t="b" s="57">
        <v>1</v>
      </c>
      <c r="D423" s="86"/>
      <c r="E423" s="88"/>
    </row>
    <row r="424" ht="23.1" customHeight="1">
      <c r="A424" t="s" s="21">
        <v>487</v>
      </c>
      <c r="B424" t="s" s="45">
        <v>488</v>
      </c>
      <c r="C424" t="b" s="52">
        <v>1</v>
      </c>
      <c r="D424" s="86"/>
      <c r="E424" s="88"/>
    </row>
    <row r="425" ht="23.1" customHeight="1">
      <c r="A425" t="s" s="24">
        <v>486</v>
      </c>
      <c r="B425" t="s" s="53">
        <v>487</v>
      </c>
      <c r="C425" t="b" s="57">
        <v>1</v>
      </c>
      <c r="D425" s="86"/>
      <c r="E425" s="88"/>
    </row>
    <row r="426" ht="23.1" customHeight="1">
      <c r="A426" t="s" s="21">
        <v>482</v>
      </c>
      <c r="B426" t="s" s="45">
        <v>486</v>
      </c>
      <c r="C426" t="b" s="52">
        <v>1</v>
      </c>
      <c r="D426" s="86"/>
      <c r="E426" s="88"/>
    </row>
    <row r="427" ht="23.1" customHeight="1">
      <c r="A427" t="s" s="24">
        <v>227</v>
      </c>
      <c r="B427" t="s" s="53">
        <v>98</v>
      </c>
      <c r="C427" t="b" s="57">
        <v>1</v>
      </c>
      <c r="D427" s="86"/>
      <c r="E427" s="88"/>
    </row>
    <row r="428" ht="23.1" customHeight="1">
      <c r="A428" t="s" s="21">
        <v>489</v>
      </c>
      <c r="B428" t="s" s="45">
        <v>227</v>
      </c>
      <c r="C428" t="b" s="52">
        <v>1</v>
      </c>
      <c r="D428" s="86"/>
      <c r="E428" s="88"/>
    </row>
    <row r="429" ht="23.1" customHeight="1">
      <c r="A429" t="s" s="24">
        <v>241</v>
      </c>
      <c r="B429" t="s" s="53">
        <v>489</v>
      </c>
      <c r="C429" t="b" s="57">
        <v>1</v>
      </c>
      <c r="D429" s="86"/>
      <c r="E429" s="88"/>
    </row>
    <row r="430" ht="23.1" customHeight="1">
      <c r="A430" t="s" s="21">
        <v>490</v>
      </c>
      <c r="B430" t="s" s="45">
        <v>489</v>
      </c>
      <c r="C430" t="b" s="52">
        <v>1</v>
      </c>
      <c r="D430" s="86"/>
      <c r="E430" s="88"/>
    </row>
    <row r="431" ht="23.1" customHeight="1">
      <c r="A431" t="s" s="24">
        <v>490</v>
      </c>
      <c r="B431" t="s" s="53">
        <v>98</v>
      </c>
      <c r="C431" t="b" s="57">
        <v>1</v>
      </c>
      <c r="D431" s="86"/>
      <c r="E431" s="88"/>
    </row>
    <row r="432" ht="23.1" customHeight="1">
      <c r="A432" t="s" s="21">
        <v>490</v>
      </c>
      <c r="B432" t="s" s="45">
        <v>491</v>
      </c>
      <c r="C432" t="b" s="52">
        <v>1</v>
      </c>
      <c r="D432" s="86"/>
      <c r="E432" s="88"/>
    </row>
    <row r="433" ht="23.1" customHeight="1">
      <c r="A433" t="s" s="24">
        <v>98</v>
      </c>
      <c r="B433" t="s" s="53">
        <v>493</v>
      </c>
      <c r="C433" t="b" s="57">
        <v>1</v>
      </c>
      <c r="D433" s="86"/>
      <c r="E433" s="88"/>
    </row>
    <row r="434" ht="23.1" customHeight="1">
      <c r="A434" t="s" s="21">
        <v>491</v>
      </c>
      <c r="B434" t="s" s="45">
        <v>492</v>
      </c>
      <c r="C434" t="b" s="52">
        <v>1</v>
      </c>
      <c r="D434" s="86"/>
      <c r="E434" s="88"/>
    </row>
    <row r="435" ht="23.1" customHeight="1">
      <c r="A435" t="s" s="24">
        <v>493</v>
      </c>
      <c r="B435" t="s" s="53">
        <v>492</v>
      </c>
      <c r="C435" t="b" s="57">
        <v>1</v>
      </c>
      <c r="D435" s="86"/>
      <c r="E435" s="88"/>
    </row>
    <row r="436" ht="23.1" customHeight="1">
      <c r="A436" t="s" s="21">
        <v>494</v>
      </c>
      <c r="B436" t="s" s="45">
        <v>493</v>
      </c>
      <c r="C436" t="b" s="52">
        <v>1</v>
      </c>
      <c r="D436" s="86"/>
      <c r="E436" s="88"/>
    </row>
    <row r="437" ht="23.1" customHeight="1">
      <c r="A437" t="s" s="24">
        <v>496</v>
      </c>
      <c r="B437" t="s" s="53">
        <v>495</v>
      </c>
      <c r="C437" t="b" s="57">
        <v>1</v>
      </c>
      <c r="D437" s="86"/>
      <c r="E437" s="88"/>
    </row>
    <row r="438" ht="23.1" customHeight="1">
      <c r="A438" t="s" s="21">
        <v>494</v>
      </c>
      <c r="B438" t="s" s="45">
        <v>495</v>
      </c>
      <c r="C438" t="b" s="52">
        <v>1</v>
      </c>
      <c r="D438" s="86"/>
      <c r="E438" s="88"/>
    </row>
    <row r="439" ht="23.1" customHeight="1">
      <c r="A439" t="s" s="24">
        <v>498</v>
      </c>
      <c r="B439" t="s" s="53">
        <v>497</v>
      </c>
      <c r="C439" t="b" s="57">
        <v>1</v>
      </c>
      <c r="D439" s="86"/>
      <c r="E439" s="88"/>
    </row>
    <row r="440" ht="23.1" customHeight="1">
      <c r="A440" t="s" s="21">
        <v>496</v>
      </c>
      <c r="B440" t="s" s="45">
        <v>497</v>
      </c>
      <c r="C440" t="b" s="52">
        <v>1</v>
      </c>
      <c r="D440" s="86"/>
      <c r="E440" s="88"/>
    </row>
    <row r="441" ht="23.1" customHeight="1">
      <c r="A441" t="s" s="24">
        <v>498</v>
      </c>
      <c r="B441" t="s" s="53">
        <v>499</v>
      </c>
      <c r="C441" t="b" s="57">
        <v>1</v>
      </c>
      <c r="D441" s="86"/>
      <c r="E441" s="88"/>
    </row>
    <row r="442" ht="23.1" customHeight="1">
      <c r="A442" t="s" s="21">
        <v>500</v>
      </c>
      <c r="B442" t="s" s="45">
        <v>499</v>
      </c>
      <c r="C442" t="b" s="52">
        <v>1</v>
      </c>
      <c r="D442" s="86"/>
      <c r="E442" s="88"/>
    </row>
    <row r="443" ht="23.1" customHeight="1">
      <c r="A443" t="s" s="24">
        <v>238</v>
      </c>
      <c r="B443" t="s" s="53">
        <v>503</v>
      </c>
      <c r="C443" t="b" s="57">
        <v>1</v>
      </c>
      <c r="D443" s="86"/>
      <c r="E443" s="88"/>
    </row>
    <row r="444" ht="23.1" customHeight="1">
      <c r="A444" t="s" s="21">
        <v>501</v>
      </c>
      <c r="B444" t="s" s="45">
        <v>503</v>
      </c>
      <c r="C444" t="b" s="52">
        <v>1</v>
      </c>
      <c r="D444" s="86"/>
      <c r="E444" s="88"/>
    </row>
    <row r="445" ht="23.1" customHeight="1">
      <c r="A445" t="s" s="24">
        <v>218</v>
      </c>
      <c r="B445" t="s" s="53">
        <v>503</v>
      </c>
      <c r="C445" t="b" s="57">
        <v>1</v>
      </c>
      <c r="D445" s="86"/>
      <c r="E445" s="88"/>
    </row>
    <row r="446" ht="23.1" customHeight="1">
      <c r="A446" t="s" s="21">
        <v>502</v>
      </c>
      <c r="B446" t="s" s="45">
        <v>501</v>
      </c>
      <c r="C446" t="b" s="52">
        <v>1</v>
      </c>
      <c r="D446" s="86"/>
      <c r="E446" s="88"/>
    </row>
    <row r="447" ht="23.1" customHeight="1">
      <c r="A447" t="s" s="24">
        <v>218</v>
      </c>
      <c r="B447" t="s" s="53">
        <v>502</v>
      </c>
      <c r="C447" t="b" s="57">
        <v>1</v>
      </c>
      <c r="D447" s="86"/>
      <c r="E447" s="88"/>
    </row>
    <row r="448" ht="23.1" customHeight="1">
      <c r="A448" t="s" s="21">
        <v>500</v>
      </c>
      <c r="B448" t="s" s="45">
        <v>502</v>
      </c>
      <c r="C448" t="b" s="52">
        <v>1</v>
      </c>
      <c r="D448" s="86"/>
      <c r="E448" s="88"/>
    </row>
    <row r="449" ht="23.1" customHeight="1">
      <c r="A449" t="s" s="24">
        <v>496</v>
      </c>
      <c r="B449" t="s" s="53">
        <v>504</v>
      </c>
      <c r="C449" t="b" s="57">
        <v>1</v>
      </c>
      <c r="D449" s="86"/>
      <c r="E449" s="88"/>
    </row>
    <row r="450" ht="23.1" customHeight="1">
      <c r="A450" t="s" s="21">
        <v>505</v>
      </c>
      <c r="B450" t="s" s="45">
        <v>504</v>
      </c>
      <c r="C450" t="b" s="52">
        <v>1</v>
      </c>
      <c r="D450" s="86"/>
      <c r="E450" s="88"/>
    </row>
    <row r="451" ht="23.1" customHeight="1">
      <c r="A451" t="s" s="24">
        <v>238</v>
      </c>
      <c r="B451" t="s" s="53">
        <v>505</v>
      </c>
      <c r="C451" t="b" s="57">
        <v>1</v>
      </c>
      <c r="D451" s="86"/>
      <c r="E451" s="88"/>
    </row>
    <row r="452" ht="23.1" customHeight="1">
      <c r="A452" t="s" s="21">
        <v>227</v>
      </c>
      <c r="B452" t="s" s="45">
        <v>505</v>
      </c>
      <c r="C452" t="b" s="52">
        <v>1</v>
      </c>
      <c r="D452" s="86"/>
      <c r="E452" s="88"/>
    </row>
    <row r="453" ht="23.1" customHeight="1">
      <c r="A453" t="s" s="24">
        <v>504</v>
      </c>
      <c r="B453" t="s" s="53">
        <v>98</v>
      </c>
      <c r="C453" t="b" s="57">
        <v>1</v>
      </c>
      <c r="D453" s="86"/>
      <c r="E453" s="88"/>
    </row>
    <row r="454" ht="23.1" customHeight="1">
      <c r="A454" t="s" s="21">
        <v>506</v>
      </c>
      <c r="B454" t="s" s="45">
        <v>500</v>
      </c>
      <c r="C454" t="b" s="52">
        <v>1</v>
      </c>
      <c r="D454" s="86"/>
      <c r="E454" s="88"/>
    </row>
    <row r="455" ht="23.1" customHeight="1">
      <c r="A455" t="s" s="24">
        <v>506</v>
      </c>
      <c r="B455" t="s" s="53">
        <v>498</v>
      </c>
      <c r="C455" t="b" s="57">
        <v>1</v>
      </c>
      <c r="D455" s="86"/>
      <c r="E455" s="88"/>
    </row>
    <row r="456" ht="23.1" customHeight="1">
      <c r="A456" t="s" s="21">
        <v>507</v>
      </c>
      <c r="B456" t="s" s="45">
        <v>140</v>
      </c>
      <c r="C456" t="b" s="52">
        <v>1</v>
      </c>
      <c r="D456" s="86"/>
      <c r="E456" s="88"/>
    </row>
    <row r="457" ht="23.1" customHeight="1">
      <c r="A457" t="s" s="24">
        <v>510</v>
      </c>
      <c r="B457" t="s" s="53">
        <v>140</v>
      </c>
      <c r="C457" t="b" s="57">
        <v>1</v>
      </c>
      <c r="D457" s="86"/>
      <c r="E457" s="88"/>
    </row>
    <row r="458" ht="23.1" customHeight="1">
      <c r="A458" t="s" s="21">
        <v>498</v>
      </c>
      <c r="B458" t="s" s="45">
        <v>510</v>
      </c>
      <c r="C458" t="b" s="52">
        <v>1</v>
      </c>
      <c r="D458" s="86"/>
      <c r="E458" s="88"/>
    </row>
    <row r="459" ht="23.1" customHeight="1">
      <c r="A459" t="s" s="24">
        <v>509</v>
      </c>
      <c r="B459" t="s" s="53">
        <v>510</v>
      </c>
      <c r="C459" t="b" s="57">
        <v>1</v>
      </c>
      <c r="D459" s="86"/>
      <c r="E459" s="88"/>
    </row>
    <row r="460" ht="23.1" customHeight="1">
      <c r="A460" t="s" s="21">
        <v>508</v>
      </c>
      <c r="B460" t="s" s="45">
        <v>509</v>
      </c>
      <c r="C460" t="b" s="52">
        <v>1</v>
      </c>
      <c r="D460" s="86"/>
      <c r="E460" s="88"/>
    </row>
    <row r="461" ht="23.1" customHeight="1">
      <c r="A461" t="s" s="24">
        <v>506</v>
      </c>
      <c r="B461" t="s" s="53">
        <v>507</v>
      </c>
      <c r="C461" t="b" s="57">
        <v>1</v>
      </c>
      <c r="D461" s="86"/>
      <c r="E461" s="88"/>
    </row>
    <row r="462" ht="23.1" customHeight="1">
      <c r="A462" t="s" s="21">
        <v>508</v>
      </c>
      <c r="B462" t="s" s="45">
        <v>507</v>
      </c>
      <c r="C462" t="b" s="52">
        <v>1</v>
      </c>
      <c r="D462" s="86"/>
      <c r="E462" s="88"/>
    </row>
    <row r="463" ht="23.1" customHeight="1">
      <c r="A463" t="s" s="24">
        <v>497</v>
      </c>
      <c r="B463" t="s" s="53">
        <v>511</v>
      </c>
      <c r="C463" t="b" s="57">
        <v>1</v>
      </c>
      <c r="D463" s="86"/>
      <c r="E463" s="88"/>
    </row>
    <row r="464" ht="23.1" customHeight="1">
      <c r="A464" t="s" s="21">
        <v>509</v>
      </c>
      <c r="B464" t="s" s="45">
        <v>513</v>
      </c>
      <c r="C464" t="b" s="52">
        <v>1</v>
      </c>
      <c r="D464" s="86"/>
      <c r="E464" s="88"/>
    </row>
    <row r="465" ht="23.1" customHeight="1">
      <c r="A465" t="s" s="24">
        <v>511</v>
      </c>
      <c r="B465" t="s" s="53">
        <v>513</v>
      </c>
      <c r="C465" t="b" s="57">
        <v>1</v>
      </c>
      <c r="D465" s="86"/>
      <c r="E465" s="88"/>
    </row>
    <row r="466" ht="23.1" customHeight="1">
      <c r="A466" t="s" s="21">
        <v>512</v>
      </c>
      <c r="B466" t="s" s="45">
        <v>513</v>
      </c>
      <c r="C466" t="b" s="52">
        <v>1</v>
      </c>
      <c r="D466" s="86"/>
      <c r="E466" s="88"/>
    </row>
    <row r="467" ht="23.1" customHeight="1">
      <c r="A467" t="s" s="24">
        <v>512</v>
      </c>
      <c r="B467" t="s" s="53">
        <v>514</v>
      </c>
      <c r="C467" t="b" s="57">
        <v>1</v>
      </c>
      <c r="D467" s="86"/>
      <c r="E467" s="88"/>
    </row>
    <row r="468" ht="23.1" customHeight="1">
      <c r="A468" t="s" s="21">
        <v>172</v>
      </c>
      <c r="B468" t="s" s="45">
        <v>515</v>
      </c>
      <c r="C468" t="b" s="52">
        <v>1</v>
      </c>
      <c r="D468" s="86"/>
      <c r="E468" s="88"/>
    </row>
    <row r="469" ht="23.1" customHeight="1">
      <c r="A469" t="s" s="24">
        <v>514</v>
      </c>
      <c r="B469" t="s" s="53">
        <v>515</v>
      </c>
      <c r="C469" t="b" s="57">
        <v>1</v>
      </c>
      <c r="D469" s="86"/>
      <c r="E469" s="88"/>
    </row>
    <row r="470" ht="23.1" customHeight="1">
      <c r="A470" t="s" s="21">
        <v>516</v>
      </c>
      <c r="B470" t="s" s="45">
        <v>515</v>
      </c>
      <c r="C470" t="b" s="52">
        <v>1</v>
      </c>
      <c r="D470" s="86"/>
      <c r="E470" s="88"/>
    </row>
    <row r="471" ht="23.1" customHeight="1">
      <c r="A471" t="s" s="24">
        <v>517</v>
      </c>
      <c r="B471" t="s" s="53">
        <v>516</v>
      </c>
      <c r="C471" t="b" s="57">
        <v>1</v>
      </c>
      <c r="D471" s="86"/>
      <c r="E471" s="88"/>
    </row>
    <row r="472" ht="23.1" customHeight="1">
      <c r="A472" t="s" s="21">
        <v>492</v>
      </c>
      <c r="B472" t="s" s="45">
        <v>517</v>
      </c>
      <c r="C472" t="b" s="52">
        <v>1</v>
      </c>
      <c r="D472" s="86"/>
      <c r="E472" s="88"/>
    </row>
    <row r="473" ht="23.1" customHeight="1">
      <c r="A473" t="s" s="24">
        <v>514</v>
      </c>
      <c r="B473" t="s" s="53">
        <v>518</v>
      </c>
      <c r="C473" t="b" s="57">
        <v>1</v>
      </c>
      <c r="D473" s="86"/>
      <c r="E473" s="88"/>
    </row>
    <row r="474" ht="23.1" customHeight="1">
      <c r="A474" t="s" s="21">
        <v>519</v>
      </c>
      <c r="B474" t="s" s="45">
        <v>518</v>
      </c>
      <c r="C474" t="b" s="52">
        <v>1</v>
      </c>
      <c r="D474" s="86"/>
      <c r="E474" s="88"/>
    </row>
    <row r="475" ht="23.1" customHeight="1">
      <c r="A475" t="s" s="24">
        <v>521</v>
      </c>
      <c r="B475" t="s" s="53">
        <v>520</v>
      </c>
      <c r="C475" t="b" s="57">
        <v>1</v>
      </c>
      <c r="D475" s="86"/>
      <c r="E475" s="88"/>
    </row>
    <row r="476" ht="23.1" customHeight="1">
      <c r="A476" t="s" s="21">
        <v>519</v>
      </c>
      <c r="B476" t="s" s="45">
        <v>520</v>
      </c>
      <c r="C476" t="b" s="52">
        <v>1</v>
      </c>
      <c r="D476" s="86"/>
      <c r="E476" s="88"/>
    </row>
    <row r="477" ht="23.1" customHeight="1">
      <c r="A477" t="s" s="24">
        <v>512</v>
      </c>
      <c r="B477" t="s" s="53">
        <v>522</v>
      </c>
      <c r="C477" t="b" s="57">
        <v>1</v>
      </c>
      <c r="D477" s="86"/>
      <c r="E477" s="88"/>
    </row>
    <row r="478" ht="23.1" customHeight="1">
      <c r="A478" t="s" s="21">
        <v>523</v>
      </c>
      <c r="B478" t="s" s="45">
        <v>522</v>
      </c>
      <c r="C478" t="b" s="52">
        <v>1</v>
      </c>
      <c r="D478" s="86"/>
      <c r="E478" s="88"/>
    </row>
    <row r="479" ht="23.1" customHeight="1">
      <c r="A479" t="s" s="24">
        <v>122</v>
      </c>
      <c r="B479" t="s" s="53">
        <v>523</v>
      </c>
      <c r="C479" t="b" s="57">
        <v>1</v>
      </c>
      <c r="D479" s="86"/>
      <c r="E479" s="88"/>
    </row>
    <row r="480" ht="23.1" customHeight="1">
      <c r="A480" t="s" s="21">
        <v>524</v>
      </c>
      <c r="B480" t="s" s="45">
        <v>523</v>
      </c>
      <c r="C480" t="b" s="52">
        <v>1</v>
      </c>
      <c r="D480" s="86"/>
      <c r="E480" s="88"/>
    </row>
    <row r="481" ht="23.1" customHeight="1">
      <c r="A481" t="s" s="24">
        <v>508</v>
      </c>
      <c r="B481" t="s" s="53">
        <v>524</v>
      </c>
      <c r="C481" t="b" s="57">
        <v>1</v>
      </c>
      <c r="D481" s="86"/>
      <c r="E481" s="88"/>
    </row>
    <row r="482" ht="23.1" customHeight="1">
      <c r="A482" t="s" s="21">
        <v>521</v>
      </c>
      <c r="B482" t="s" s="45">
        <v>525</v>
      </c>
      <c r="C482" t="b" s="52">
        <v>1</v>
      </c>
      <c r="D482" s="86"/>
      <c r="E482" s="88"/>
    </row>
    <row r="483" ht="23.1" customHeight="1">
      <c r="A483" t="s" s="24">
        <v>526</v>
      </c>
      <c r="B483" t="s" s="53">
        <v>525</v>
      </c>
      <c r="C483" t="b" s="57">
        <v>1</v>
      </c>
      <c r="D483" s="86"/>
      <c r="E483" s="88"/>
    </row>
    <row r="484" ht="23.1" customHeight="1">
      <c r="A484" t="s" s="21">
        <v>527</v>
      </c>
      <c r="B484" t="s" s="45">
        <v>526</v>
      </c>
      <c r="C484" t="b" s="52">
        <v>1</v>
      </c>
      <c r="D484" s="86"/>
      <c r="E484" s="88"/>
    </row>
    <row r="485" ht="23.1" customHeight="1">
      <c r="A485" t="s" s="24">
        <v>527</v>
      </c>
      <c r="B485" t="s" s="53">
        <v>528</v>
      </c>
      <c r="C485" t="b" s="57">
        <v>1</v>
      </c>
      <c r="D485" s="86"/>
      <c r="E485" s="88"/>
    </row>
    <row r="486" ht="23.1" customHeight="1">
      <c r="A486" t="s" s="21">
        <v>130</v>
      </c>
      <c r="B486" t="s" s="45">
        <v>528</v>
      </c>
      <c r="C486" t="b" s="52">
        <v>1</v>
      </c>
      <c r="D486" s="86"/>
      <c r="E486" s="88"/>
    </row>
    <row r="487" ht="23.1" customHeight="1">
      <c r="A487" t="s" s="24">
        <v>525</v>
      </c>
      <c r="B487" t="s" s="53">
        <v>529</v>
      </c>
      <c r="C487" t="b" s="57">
        <v>1</v>
      </c>
      <c r="D487" s="86"/>
      <c r="E487" s="88"/>
    </row>
    <row r="488" ht="23.1" customHeight="1">
      <c r="A488" t="s" s="21">
        <v>530</v>
      </c>
      <c r="B488" t="s" s="45">
        <v>529</v>
      </c>
      <c r="C488" t="b" s="52">
        <v>1</v>
      </c>
      <c r="D488" s="86"/>
      <c r="E488" s="88"/>
    </row>
    <row r="489" ht="23.1" customHeight="1">
      <c r="A489" t="s" s="24">
        <v>531</v>
      </c>
      <c r="B489" t="s" s="53">
        <v>530</v>
      </c>
      <c r="C489" t="b" s="57">
        <v>1</v>
      </c>
      <c r="D489" s="86"/>
      <c r="E489" s="88"/>
    </row>
    <row r="490" ht="23.1" customHeight="1">
      <c r="A490" t="s" s="21">
        <v>529</v>
      </c>
      <c r="B490" t="s" s="45">
        <v>532</v>
      </c>
      <c r="C490" t="b" s="52">
        <v>1</v>
      </c>
      <c r="D490" s="86"/>
      <c r="E490" s="88"/>
    </row>
    <row r="491" ht="23.1" customHeight="1">
      <c r="A491" t="s" s="24">
        <v>512</v>
      </c>
      <c r="B491" t="s" s="53">
        <v>534</v>
      </c>
      <c r="C491" t="b" s="57">
        <v>1</v>
      </c>
      <c r="D491" s="86"/>
      <c r="E491" s="88"/>
    </row>
    <row r="492" ht="23.1" customHeight="1">
      <c r="A492" t="s" s="21">
        <v>521</v>
      </c>
      <c r="B492" t="s" s="45">
        <v>534</v>
      </c>
      <c r="C492" t="b" s="52">
        <v>1</v>
      </c>
      <c r="D492" s="86"/>
      <c r="E492" s="88"/>
    </row>
    <row r="493" ht="23.1" customHeight="1">
      <c r="A493" t="s" s="24">
        <v>529</v>
      </c>
      <c r="B493" t="s" s="53">
        <v>537</v>
      </c>
      <c r="C493" t="b" s="57">
        <v>1</v>
      </c>
      <c r="D493" s="86"/>
      <c r="E493" s="88"/>
    </row>
    <row r="494" ht="23.1" customHeight="1">
      <c r="A494" t="s" s="21">
        <v>535</v>
      </c>
      <c r="B494" t="s" s="45">
        <v>536</v>
      </c>
      <c r="C494" t="b" s="52">
        <v>1</v>
      </c>
      <c r="D494" s="86"/>
      <c r="E494" s="88"/>
    </row>
    <row r="495" ht="23.1" customHeight="1">
      <c r="A495" t="s" s="24">
        <v>521</v>
      </c>
      <c r="B495" t="s" s="53">
        <v>535</v>
      </c>
      <c r="C495" t="b" s="57">
        <v>1</v>
      </c>
      <c r="D495" s="86"/>
      <c r="E495" s="88"/>
    </row>
    <row r="496" ht="23.1" customHeight="1">
      <c r="A496" t="s" s="21">
        <v>533</v>
      </c>
      <c r="B496" t="s" s="45">
        <v>536</v>
      </c>
      <c r="C496" t="b" s="52">
        <v>1</v>
      </c>
      <c r="D496" s="86"/>
      <c r="E496" s="88"/>
    </row>
    <row r="497" ht="23.1" customHeight="1">
      <c r="A497" t="s" s="24">
        <v>533</v>
      </c>
      <c r="B497" t="s" s="53">
        <v>534</v>
      </c>
      <c r="C497" t="b" s="57">
        <v>1</v>
      </c>
      <c r="D497" s="86"/>
      <c r="E497" s="88"/>
    </row>
    <row r="498" ht="23.1" customHeight="1">
      <c r="A498" t="s" s="21">
        <v>538</v>
      </c>
      <c r="B498" t="s" s="45">
        <v>523</v>
      </c>
      <c r="C498" t="b" s="52">
        <v>1</v>
      </c>
      <c r="D498" s="86"/>
      <c r="E498" s="88"/>
    </row>
    <row r="499" ht="23.1" customHeight="1">
      <c r="A499" t="s" s="24">
        <v>539</v>
      </c>
      <c r="B499" t="s" s="53">
        <v>542</v>
      </c>
      <c r="C499" t="b" s="57">
        <v>1</v>
      </c>
      <c r="D499" s="86"/>
      <c r="E499" s="88"/>
    </row>
    <row r="500" ht="23.1" customHeight="1">
      <c r="A500" t="s" s="21">
        <v>538</v>
      </c>
      <c r="B500" t="s" s="45">
        <v>539</v>
      </c>
      <c r="C500" t="b" s="52">
        <v>1</v>
      </c>
      <c r="D500" s="86"/>
      <c r="E500" s="88"/>
    </row>
    <row r="501" ht="23.1" customHeight="1">
      <c r="A501" t="s" s="24">
        <v>542</v>
      </c>
      <c r="B501" t="s" s="53">
        <v>541</v>
      </c>
      <c r="C501" t="b" s="57">
        <v>1</v>
      </c>
      <c r="D501" s="86"/>
      <c r="E501" s="88"/>
    </row>
    <row r="502" ht="23.1" customHeight="1">
      <c r="A502" t="s" s="21">
        <v>540</v>
      </c>
      <c r="B502" t="s" s="45">
        <v>541</v>
      </c>
      <c r="C502" t="b" s="52">
        <v>1</v>
      </c>
      <c r="D502" s="86"/>
      <c r="E502" s="88"/>
    </row>
    <row r="503" ht="23.1" customHeight="1">
      <c r="A503" t="s" s="24">
        <v>199</v>
      </c>
      <c r="B503" t="s" s="53">
        <v>540</v>
      </c>
      <c r="C503" t="b" s="57">
        <v>1</v>
      </c>
      <c r="D503" s="86"/>
      <c r="E503" s="88"/>
    </row>
    <row r="504" ht="23.1" customHeight="1">
      <c r="A504" t="s" s="21">
        <v>199</v>
      </c>
      <c r="B504" t="s" s="45">
        <v>539</v>
      </c>
      <c r="C504" t="b" s="52">
        <v>1</v>
      </c>
      <c r="D504" s="86"/>
      <c r="E504" s="88"/>
    </row>
    <row r="505" ht="23.1" customHeight="1">
      <c r="A505" t="s" s="24">
        <v>540</v>
      </c>
      <c r="B505" t="s" s="53">
        <v>539</v>
      </c>
      <c r="C505" t="b" s="57">
        <v>1</v>
      </c>
      <c r="D505" s="86"/>
      <c r="E505" s="88"/>
    </row>
    <row r="506" ht="23.1" customHeight="1">
      <c r="A506" t="s" s="21">
        <v>542</v>
      </c>
      <c r="B506" t="s" s="45">
        <v>199</v>
      </c>
      <c r="C506" t="b" s="52">
        <v>1</v>
      </c>
      <c r="D506" s="86"/>
      <c r="E506" s="88"/>
    </row>
    <row r="507" ht="23.1" customHeight="1">
      <c r="A507" t="s" s="24">
        <v>541</v>
      </c>
      <c r="B507" t="s" s="53">
        <v>199</v>
      </c>
      <c r="C507" t="b" s="57">
        <v>1</v>
      </c>
      <c r="D507" s="86"/>
      <c r="E507" s="88"/>
    </row>
    <row r="508" ht="23.1" customHeight="1">
      <c r="A508" t="s" s="21">
        <v>541</v>
      </c>
      <c r="B508" t="s" s="45">
        <v>543</v>
      </c>
      <c r="C508" t="b" s="52">
        <v>1</v>
      </c>
      <c r="D508" s="86"/>
      <c r="E508" s="88"/>
    </row>
    <row r="509" ht="23.1" customHeight="1">
      <c r="A509" t="s" s="24">
        <v>532</v>
      </c>
      <c r="B509" t="s" s="53">
        <v>543</v>
      </c>
      <c r="C509" t="b" s="57">
        <v>1</v>
      </c>
      <c r="D509" s="86"/>
      <c r="E509" s="88"/>
    </row>
    <row r="510" ht="23.1" customHeight="1">
      <c r="A510" t="s" s="21">
        <v>536</v>
      </c>
      <c r="B510" t="s" s="45">
        <v>543</v>
      </c>
      <c r="C510" t="b" s="52">
        <v>1</v>
      </c>
      <c r="D510" s="86"/>
      <c r="E510" s="88"/>
    </row>
    <row r="511" ht="23.1" customHeight="1">
      <c r="A511" t="s" s="24">
        <v>545</v>
      </c>
      <c r="B511" t="s" s="53">
        <v>544</v>
      </c>
      <c r="C511" t="b" s="57">
        <v>1</v>
      </c>
      <c r="D511" s="86"/>
      <c r="E511" s="88"/>
    </row>
    <row r="512" ht="23.1" customHeight="1">
      <c r="A512" t="s" s="21">
        <v>532</v>
      </c>
      <c r="B512" t="s" s="45">
        <v>544</v>
      </c>
      <c r="C512" t="b" s="52">
        <v>1</v>
      </c>
      <c r="D512" s="86"/>
      <c r="E512" s="88"/>
    </row>
    <row r="513" ht="23.1" customHeight="1">
      <c r="A513" t="s" s="24">
        <v>541</v>
      </c>
      <c r="B513" t="s" s="53">
        <v>550</v>
      </c>
      <c r="C513" t="b" s="57">
        <v>1</v>
      </c>
      <c r="D513" s="86"/>
      <c r="E513" s="88"/>
    </row>
    <row r="514" ht="23.1" customHeight="1">
      <c r="A514" t="s" s="21">
        <v>549</v>
      </c>
      <c r="B514" t="s" s="45">
        <v>550</v>
      </c>
      <c r="C514" t="b" s="52">
        <v>1</v>
      </c>
      <c r="D514" s="86"/>
      <c r="E514" s="88"/>
    </row>
    <row r="515" ht="23.1" customHeight="1">
      <c r="A515" t="s" s="24">
        <v>548</v>
      </c>
      <c r="B515" t="s" s="53">
        <v>549</v>
      </c>
      <c r="C515" t="b" s="57">
        <v>1</v>
      </c>
      <c r="D515" s="86"/>
      <c r="E515" s="88"/>
    </row>
    <row r="516" ht="23.1" customHeight="1">
      <c r="A516" t="s" s="21">
        <v>547</v>
      </c>
      <c r="B516" t="s" s="45">
        <v>548</v>
      </c>
      <c r="C516" t="b" s="52">
        <v>1</v>
      </c>
      <c r="D516" s="86"/>
      <c r="E516" s="88"/>
    </row>
    <row r="517" ht="23.1" customHeight="1">
      <c r="A517" t="s" s="24">
        <v>546</v>
      </c>
      <c r="B517" t="s" s="53">
        <v>547</v>
      </c>
      <c r="C517" t="b" s="57">
        <v>1</v>
      </c>
      <c r="D517" s="86"/>
      <c r="E517" s="88"/>
    </row>
    <row r="518" ht="23.1" customHeight="1">
      <c r="A518" t="s" s="21">
        <v>546</v>
      </c>
      <c r="B518" t="s" s="45">
        <v>545</v>
      </c>
      <c r="C518" t="b" s="52">
        <v>1</v>
      </c>
      <c r="D518" s="86"/>
      <c r="E518" s="88"/>
    </row>
    <row r="519" ht="23.1" customHeight="1">
      <c r="A519" t="s" s="24">
        <v>542</v>
      </c>
      <c r="B519" t="s" s="53">
        <v>551</v>
      </c>
      <c r="C519" t="b" s="57">
        <v>1</v>
      </c>
      <c r="D519" s="86"/>
      <c r="E519" s="88"/>
    </row>
    <row r="520" ht="23.1" customHeight="1">
      <c r="A520" t="s" s="21">
        <v>548</v>
      </c>
      <c r="B520" t="s" s="45">
        <v>551</v>
      </c>
      <c r="C520" t="b" s="52">
        <v>1</v>
      </c>
      <c r="D520" s="86"/>
      <c r="E520" s="88"/>
    </row>
    <row r="521" ht="23.1" customHeight="1">
      <c r="A521" t="s" s="24">
        <v>170</v>
      </c>
      <c r="B521" t="s" s="53">
        <v>552</v>
      </c>
      <c r="C521" t="b" s="57">
        <v>1</v>
      </c>
      <c r="D521" s="86"/>
      <c r="E521" s="88"/>
    </row>
    <row r="522" ht="23.1" customHeight="1">
      <c r="A522" t="s" s="21">
        <v>545</v>
      </c>
      <c r="B522" t="s" s="45">
        <v>552</v>
      </c>
      <c r="C522" t="b" s="52">
        <v>1</v>
      </c>
      <c r="D522" s="86"/>
      <c r="E522" s="88"/>
    </row>
    <row r="523" ht="23.1" customHeight="1">
      <c r="A523" t="s" s="24">
        <v>197</v>
      </c>
      <c r="B523" t="s" s="53">
        <v>553</v>
      </c>
      <c r="C523" t="b" s="57">
        <v>1</v>
      </c>
      <c r="D523" s="86"/>
      <c r="E523" s="88"/>
    </row>
    <row r="524" ht="23.1" customHeight="1">
      <c r="A524" t="s" s="21">
        <v>547</v>
      </c>
      <c r="B524" t="s" s="45">
        <v>553</v>
      </c>
      <c r="C524" t="b" s="52">
        <v>1</v>
      </c>
      <c r="D524" s="86"/>
      <c r="E524" s="88"/>
    </row>
    <row r="525" ht="23.1" customHeight="1">
      <c r="A525" t="s" s="24">
        <v>556</v>
      </c>
      <c r="B525" t="s" s="53">
        <v>555</v>
      </c>
      <c r="C525" t="b" s="57">
        <v>1</v>
      </c>
      <c r="D525" s="86"/>
      <c r="E525" s="88"/>
    </row>
    <row r="526" ht="23.1" customHeight="1">
      <c r="A526" t="s" s="21">
        <v>197</v>
      </c>
      <c r="B526" t="s" s="45">
        <v>554</v>
      </c>
      <c r="C526" t="b" s="52">
        <v>1</v>
      </c>
      <c r="D526" s="86"/>
      <c r="E526" s="88"/>
    </row>
    <row r="527" ht="23.1" customHeight="1">
      <c r="A527" t="s" s="24">
        <v>555</v>
      </c>
      <c r="B527" t="s" s="53">
        <v>554</v>
      </c>
      <c r="C527" t="b" s="57">
        <v>1</v>
      </c>
      <c r="D527" s="86"/>
      <c r="E527" s="88"/>
    </row>
    <row r="528" ht="23.1" customHeight="1">
      <c r="A528" t="s" s="21">
        <v>557</v>
      </c>
      <c r="B528" t="s" s="45">
        <v>170</v>
      </c>
      <c r="C528" t="b" s="52">
        <v>1</v>
      </c>
      <c r="D528" s="86"/>
      <c r="E528" s="88"/>
    </row>
    <row r="529" ht="23.1" customHeight="1">
      <c r="A529" t="s" s="24">
        <v>556</v>
      </c>
      <c r="B529" t="s" s="53">
        <v>557</v>
      </c>
      <c r="C529" t="b" s="57">
        <v>1</v>
      </c>
      <c r="D529" s="86"/>
      <c r="E529" s="88"/>
    </row>
    <row r="530" ht="23.1" customHeight="1">
      <c r="A530" t="s" s="21">
        <v>558</v>
      </c>
      <c r="B530" t="s" s="45">
        <v>556</v>
      </c>
      <c r="C530" t="b" s="52">
        <v>1</v>
      </c>
      <c r="D530" s="86"/>
      <c r="E530" s="88"/>
    </row>
    <row r="531" ht="23.1" customHeight="1">
      <c r="A531" t="s" s="24">
        <v>566</v>
      </c>
      <c r="B531" t="s" s="53">
        <v>96</v>
      </c>
      <c r="C531" t="b" s="57">
        <v>1</v>
      </c>
      <c r="D531" s="86"/>
      <c r="E531" s="88"/>
    </row>
    <row r="532" ht="23.1" customHeight="1">
      <c r="A532" t="s" s="21">
        <v>557</v>
      </c>
      <c r="B532" t="s" s="45">
        <v>567</v>
      </c>
      <c r="C532" t="b" s="52">
        <v>1</v>
      </c>
      <c r="D532" s="86"/>
      <c r="E532" s="88"/>
    </row>
    <row r="533" ht="23.1" customHeight="1">
      <c r="A533" t="s" s="24">
        <v>565</v>
      </c>
      <c r="B533" t="s" s="53">
        <v>563</v>
      </c>
      <c r="C533" t="b" s="57">
        <v>1</v>
      </c>
      <c r="D533" s="86"/>
      <c r="E533" s="88"/>
    </row>
    <row r="534" ht="23.1" customHeight="1">
      <c r="A534" t="s" s="21">
        <v>566</v>
      </c>
      <c r="B534" t="s" s="45">
        <v>565</v>
      </c>
      <c r="C534" t="b" s="52">
        <v>1</v>
      </c>
      <c r="D534" s="86"/>
      <c r="E534" s="88"/>
    </row>
    <row r="535" ht="23.1" customHeight="1">
      <c r="A535" t="s" s="24">
        <v>561</v>
      </c>
      <c r="B535" t="s" s="53">
        <v>566</v>
      </c>
      <c r="C535" t="b" s="57">
        <v>1</v>
      </c>
      <c r="D535" s="86"/>
      <c r="E535" s="88"/>
    </row>
    <row r="536" ht="23.1" customHeight="1">
      <c r="A536" t="s" s="21">
        <v>564</v>
      </c>
      <c r="B536" t="s" s="45">
        <v>559</v>
      </c>
      <c r="C536" t="b" s="52">
        <v>1</v>
      </c>
      <c r="D536" s="86"/>
      <c r="E536" s="88"/>
    </row>
    <row r="537" ht="23.1" customHeight="1">
      <c r="A537" t="s" s="24">
        <v>560</v>
      </c>
      <c r="B537" t="s" s="53">
        <v>561</v>
      </c>
      <c r="C537" t="b" s="57">
        <v>1</v>
      </c>
      <c r="D537" s="86"/>
      <c r="E537" s="88"/>
    </row>
    <row r="538" ht="23.1" customHeight="1">
      <c r="A538" t="s" s="21">
        <v>560</v>
      </c>
      <c r="B538" t="s" s="45">
        <v>559</v>
      </c>
      <c r="C538" t="b" s="52">
        <v>1</v>
      </c>
      <c r="D538" s="86"/>
      <c r="E538" s="88"/>
    </row>
    <row r="539" ht="23.1" customHeight="1">
      <c r="A539" t="s" s="24">
        <v>562</v>
      </c>
      <c r="B539" t="s" s="53">
        <v>563</v>
      </c>
      <c r="C539" t="b" s="57">
        <v>1</v>
      </c>
      <c r="D539" s="86"/>
      <c r="E539" s="88"/>
    </row>
    <row r="540" ht="23.1" customHeight="1">
      <c r="A540" t="s" s="21">
        <v>567</v>
      </c>
      <c r="B540" t="s" s="45">
        <v>562</v>
      </c>
      <c r="C540" t="b" s="52">
        <v>1</v>
      </c>
      <c r="D540" s="86"/>
      <c r="E540" s="88"/>
    </row>
    <row r="541" ht="23.1" customHeight="1">
      <c r="A541" t="s" s="24">
        <v>559</v>
      </c>
      <c r="B541" t="s" s="53">
        <v>562</v>
      </c>
      <c r="C541" t="b" s="57">
        <v>1</v>
      </c>
      <c r="D541" s="86"/>
      <c r="E541" s="88"/>
    </row>
    <row r="542" ht="23.1" customHeight="1">
      <c r="A542" t="s" s="21">
        <v>560</v>
      </c>
      <c r="B542" t="s" s="45">
        <v>558</v>
      </c>
      <c r="C542" t="b" s="52">
        <v>1</v>
      </c>
      <c r="D542" s="86"/>
      <c r="E542" s="88"/>
    </row>
    <row r="543" ht="23.1" customHeight="1">
      <c r="A543" t="s" s="24">
        <v>136</v>
      </c>
      <c r="B543" t="s" s="53">
        <v>568</v>
      </c>
      <c r="C543" t="b" s="57">
        <v>1</v>
      </c>
      <c r="D543" s="86"/>
      <c r="E543" s="88"/>
    </row>
    <row r="544" ht="23.1" customHeight="1">
      <c r="A544" t="s" s="21">
        <v>524</v>
      </c>
      <c r="B544" t="s" s="45">
        <v>568</v>
      </c>
      <c r="C544" t="b" s="52">
        <v>1</v>
      </c>
      <c r="D544" s="86"/>
      <c r="E544" s="88"/>
    </row>
    <row r="545" ht="23.1" customHeight="1">
      <c r="A545" t="s" s="24">
        <v>569</v>
      </c>
      <c r="B545" t="s" s="53">
        <v>551</v>
      </c>
      <c r="C545" t="b" s="57">
        <v>1</v>
      </c>
      <c r="D545" s="86"/>
      <c r="E545" s="88"/>
    </row>
    <row r="546" ht="23.1" customHeight="1">
      <c r="A546" t="s" s="21">
        <v>570</v>
      </c>
      <c r="B546" t="s" s="45">
        <v>569</v>
      </c>
      <c r="C546" t="b" s="52">
        <v>1</v>
      </c>
      <c r="D546" s="86"/>
      <c r="E546" s="88"/>
    </row>
    <row r="547" ht="23.1" customHeight="1">
      <c r="A547" t="s" s="24">
        <v>571</v>
      </c>
      <c r="B547" t="s" s="53">
        <v>570</v>
      </c>
      <c r="C547" t="b" s="57">
        <v>1</v>
      </c>
      <c r="D547" s="86"/>
      <c r="E547" s="88"/>
    </row>
    <row r="548" ht="23.1" customHeight="1">
      <c r="A548" t="s" s="21">
        <v>574</v>
      </c>
      <c r="B548" t="s" s="45">
        <v>571</v>
      </c>
      <c r="C548" t="b" s="52">
        <v>1</v>
      </c>
      <c r="D548" s="86"/>
      <c r="E548" s="88"/>
    </row>
    <row r="549" ht="23.1" customHeight="1">
      <c r="A549" t="s" s="24">
        <v>572</v>
      </c>
      <c r="B549" t="s" s="53">
        <v>571</v>
      </c>
      <c r="C549" t="b" s="57">
        <v>1</v>
      </c>
      <c r="D549" s="86"/>
      <c r="E549" s="88"/>
    </row>
    <row r="550" ht="23.1" customHeight="1">
      <c r="A550" t="s" s="21">
        <v>573</v>
      </c>
      <c r="B550" t="s" s="45">
        <v>574</v>
      </c>
      <c r="C550" t="b" s="52">
        <v>1</v>
      </c>
      <c r="D550" s="86"/>
      <c r="E550" s="88"/>
    </row>
    <row r="551" ht="23.1" customHeight="1">
      <c r="A551" t="s" s="24">
        <v>573</v>
      </c>
      <c r="B551" t="s" s="53">
        <v>572</v>
      </c>
      <c r="C551" t="b" s="57">
        <v>1</v>
      </c>
      <c r="D551" s="86"/>
      <c r="E551" s="88"/>
    </row>
    <row r="552" ht="23.1" customHeight="1">
      <c r="A552" t="s" s="21">
        <v>571</v>
      </c>
      <c r="B552" t="s" s="45">
        <v>575</v>
      </c>
      <c r="C552" t="b" s="52">
        <v>1</v>
      </c>
      <c r="D552" s="86"/>
      <c r="E552" s="88"/>
    </row>
    <row r="553" ht="23.1" customHeight="1">
      <c r="A553" t="s" s="24">
        <v>174</v>
      </c>
      <c r="B553" t="s" s="53">
        <v>575</v>
      </c>
      <c r="C553" t="b" s="57">
        <v>1</v>
      </c>
      <c r="D553" s="86"/>
      <c r="E553" s="88"/>
    </row>
    <row r="554" ht="23.1" customHeight="1">
      <c r="A554" t="s" s="21">
        <v>578</v>
      </c>
      <c r="B554" t="s" s="45">
        <v>577</v>
      </c>
      <c r="C554" t="b" s="52">
        <v>1</v>
      </c>
      <c r="D554" s="86"/>
      <c r="E554" s="88"/>
    </row>
    <row r="555" ht="23.1" customHeight="1">
      <c r="A555" t="s" s="24">
        <v>576</v>
      </c>
      <c r="B555" t="s" s="53">
        <v>577</v>
      </c>
      <c r="C555" t="b" s="57">
        <v>1</v>
      </c>
      <c r="D555" s="86"/>
      <c r="E555" s="88"/>
    </row>
    <row r="556" ht="23.1" customHeight="1">
      <c r="A556" t="s" s="21">
        <v>569</v>
      </c>
      <c r="B556" t="s" s="45">
        <v>576</v>
      </c>
      <c r="C556" t="b" s="52">
        <v>1</v>
      </c>
      <c r="D556" s="86"/>
      <c r="E556" s="88"/>
    </row>
    <row r="557" ht="23.1" customHeight="1">
      <c r="A557" t="s" s="24">
        <v>572</v>
      </c>
      <c r="B557" t="s" s="53">
        <v>578</v>
      </c>
      <c r="C557" t="b" s="57">
        <v>1</v>
      </c>
      <c r="D557" s="86"/>
      <c r="E557" s="88"/>
    </row>
    <row r="558" ht="23.1" customHeight="1">
      <c r="A558" t="s" s="21">
        <v>558</v>
      </c>
      <c r="B558" t="s" s="45">
        <v>578</v>
      </c>
      <c r="C558" t="b" s="52">
        <v>1</v>
      </c>
      <c r="D558" s="86"/>
      <c r="E558" s="88"/>
    </row>
    <row r="559" ht="23.1" customHeight="1">
      <c r="A559" t="s" s="24">
        <v>556</v>
      </c>
      <c r="B559" t="s" s="53">
        <v>576</v>
      </c>
      <c r="C559" t="b" s="57">
        <v>1</v>
      </c>
      <c r="D559" s="86"/>
      <c r="E559" s="88"/>
    </row>
    <row r="560" ht="23.1" customHeight="1">
      <c r="A560" t="s" s="21">
        <v>574</v>
      </c>
      <c r="B560" t="s" s="45">
        <v>538</v>
      </c>
      <c r="C560" t="b" s="52">
        <v>1</v>
      </c>
      <c r="D560" s="86"/>
      <c r="E560" s="88"/>
    </row>
    <row r="561" ht="23.1" customHeight="1">
      <c r="A561" t="s" s="24">
        <v>580</v>
      </c>
      <c r="B561" t="s" s="53">
        <v>579</v>
      </c>
      <c r="C561" t="b" s="57">
        <v>1</v>
      </c>
      <c r="D561" s="86"/>
      <c r="E561" s="88"/>
    </row>
    <row r="562" ht="23.1" customHeight="1">
      <c r="A562" t="s" s="21">
        <v>578</v>
      </c>
      <c r="B562" t="s" s="45">
        <v>579</v>
      </c>
      <c r="C562" t="b" s="52">
        <v>1</v>
      </c>
      <c r="D562" s="86"/>
      <c r="E562" s="88"/>
    </row>
    <row r="563" ht="23.1" customHeight="1">
      <c r="A563" t="s" s="24">
        <v>582</v>
      </c>
      <c r="B563" t="s" s="53">
        <v>583</v>
      </c>
      <c r="C563" t="b" s="57">
        <v>1</v>
      </c>
      <c r="D563" s="86"/>
      <c r="E563" s="88"/>
    </row>
    <row r="564" ht="23.1" customHeight="1">
      <c r="A564" t="s" s="21">
        <v>573</v>
      </c>
      <c r="B564" t="s" s="45">
        <v>584</v>
      </c>
      <c r="C564" t="b" s="52">
        <v>1</v>
      </c>
      <c r="D564" s="86"/>
      <c r="E564" s="88"/>
    </row>
    <row r="565" ht="23.1" customHeight="1">
      <c r="A565" t="s" s="24">
        <v>583</v>
      </c>
      <c r="B565" t="s" s="53">
        <v>584</v>
      </c>
      <c r="C565" t="b" s="57">
        <v>1</v>
      </c>
      <c r="D565" s="86"/>
      <c r="E565" s="88"/>
    </row>
    <row r="566" ht="23.1" customHeight="1">
      <c r="A566" t="s" s="21">
        <v>582</v>
      </c>
      <c r="B566" t="s" s="45">
        <v>581</v>
      </c>
      <c r="C566" t="b" s="52">
        <v>1</v>
      </c>
      <c r="D566" s="86"/>
      <c r="E566" s="88"/>
    </row>
    <row r="567" ht="23.1" customHeight="1">
      <c r="A567" t="s" s="24">
        <v>573</v>
      </c>
      <c r="B567" t="s" s="53">
        <v>581</v>
      </c>
      <c r="C567" t="b" s="57">
        <v>1</v>
      </c>
      <c r="D567" s="86"/>
      <c r="E567" s="88"/>
    </row>
    <row r="568" ht="23.1" customHeight="1">
      <c r="A568" t="s" s="21">
        <v>584</v>
      </c>
      <c r="B568" t="s" s="45">
        <v>585</v>
      </c>
      <c r="C568" t="b" s="52">
        <v>1</v>
      </c>
      <c r="D568" s="86"/>
      <c r="E568" s="88"/>
    </row>
    <row r="569" ht="23.1" customHeight="1">
      <c r="A569" t="s" s="24">
        <v>218</v>
      </c>
      <c r="B569" t="s" s="53">
        <v>585</v>
      </c>
      <c r="C569" t="b" s="57">
        <v>1</v>
      </c>
      <c r="D569" s="86"/>
      <c r="E569" s="88"/>
    </row>
    <row r="570" ht="23.1" customHeight="1">
      <c r="A570" t="s" s="21">
        <v>588</v>
      </c>
      <c r="B570" t="s" s="45">
        <v>586</v>
      </c>
      <c r="C570" t="b" s="52">
        <v>1</v>
      </c>
      <c r="D570" s="86"/>
      <c r="E570" s="88"/>
    </row>
    <row r="571" ht="23.1" customHeight="1">
      <c r="A571" t="s" s="24">
        <v>587</v>
      </c>
      <c r="B571" t="s" s="53">
        <v>586</v>
      </c>
      <c r="C571" t="b" s="57">
        <v>1</v>
      </c>
      <c r="D571" s="86"/>
      <c r="E571" s="88"/>
    </row>
    <row r="572" ht="23.1" customHeight="1">
      <c r="A572" t="s" s="21">
        <v>585</v>
      </c>
      <c r="B572" t="s" s="45">
        <v>586</v>
      </c>
      <c r="C572" t="b" s="52">
        <v>1</v>
      </c>
      <c r="D572" s="86"/>
      <c r="E572" s="88"/>
    </row>
    <row r="573" ht="23.1" customHeight="1">
      <c r="A573" t="s" s="24">
        <v>589</v>
      </c>
      <c r="B573" t="s" s="53">
        <v>586</v>
      </c>
      <c r="C573" t="b" s="57">
        <v>1</v>
      </c>
      <c r="D573" s="86"/>
      <c r="E573" s="88"/>
    </row>
    <row r="574" ht="23.1" customHeight="1">
      <c r="A574" t="s" s="21">
        <v>582</v>
      </c>
      <c r="B574" t="s" s="45">
        <v>590</v>
      </c>
      <c r="C574" t="b" s="52">
        <v>1</v>
      </c>
      <c r="D574" s="86"/>
      <c r="E574" s="88"/>
    </row>
    <row r="575" ht="23.1" customHeight="1">
      <c r="A575" t="s" s="24">
        <v>589</v>
      </c>
      <c r="B575" t="s" s="53">
        <v>590</v>
      </c>
      <c r="C575" t="b" s="57">
        <v>1</v>
      </c>
      <c r="D575" s="86"/>
      <c r="E575" s="88"/>
    </row>
    <row r="576" ht="23.1" customHeight="1">
      <c r="A576" t="s" s="21">
        <v>219</v>
      </c>
      <c r="B576" t="s" s="45">
        <v>589</v>
      </c>
      <c r="C576" t="b" s="52">
        <v>1</v>
      </c>
      <c r="D576" s="86"/>
      <c r="E576" s="88"/>
    </row>
    <row r="577" ht="23.1" customHeight="1">
      <c r="A577" t="s" s="24">
        <v>583</v>
      </c>
      <c r="B577" t="s" s="53">
        <v>591</v>
      </c>
      <c r="C577" t="b" s="57">
        <v>1</v>
      </c>
      <c r="D577" s="86"/>
      <c r="E577" s="88"/>
    </row>
    <row r="578" ht="23.1" customHeight="1">
      <c r="A578" t="s" s="21">
        <v>110</v>
      </c>
      <c r="B578" t="s" s="45">
        <v>591</v>
      </c>
      <c r="C578" t="b" s="52">
        <v>1</v>
      </c>
      <c r="D578" s="86"/>
      <c r="E578" s="88"/>
    </row>
    <row r="579" ht="23.1" customHeight="1">
      <c r="A579" t="s" s="24">
        <v>592</v>
      </c>
      <c r="B579" t="s" s="53">
        <v>291</v>
      </c>
      <c r="C579" t="b" s="57">
        <v>1</v>
      </c>
      <c r="D579" s="86"/>
      <c r="E579" s="88"/>
    </row>
    <row r="580" ht="23.1" customHeight="1">
      <c r="A580" t="s" s="21">
        <v>290</v>
      </c>
      <c r="B580" t="s" s="45">
        <v>592</v>
      </c>
      <c r="C580" t="b" s="52">
        <v>0</v>
      </c>
      <c r="D580" s="86"/>
      <c r="E580" s="88"/>
    </row>
    <row r="581" ht="23.1" customHeight="1">
      <c r="A581" t="s" s="24">
        <v>329</v>
      </c>
      <c r="B581" t="s" s="53">
        <v>592</v>
      </c>
      <c r="C581" t="b" s="57">
        <v>1</v>
      </c>
      <c r="D581" s="86"/>
      <c r="E581" s="88"/>
    </row>
    <row r="582" ht="23.1" customHeight="1">
      <c r="A582" t="s" s="21">
        <v>432</v>
      </c>
      <c r="B582" t="s" s="45">
        <v>361</v>
      </c>
      <c r="C582" t="b" s="52">
        <v>0</v>
      </c>
      <c r="D582" s="86"/>
      <c r="E582" s="88"/>
    </row>
    <row r="583" ht="23.1" customHeight="1">
      <c r="A583" t="s" s="24">
        <v>314</v>
      </c>
      <c r="B583" t="s" s="53">
        <v>361</v>
      </c>
      <c r="C583" t="b" s="57">
        <v>1</v>
      </c>
      <c r="D583" s="86"/>
      <c r="E583" s="88"/>
    </row>
    <row r="584" ht="23.1" customHeight="1">
      <c r="A584" t="s" s="21">
        <v>168</v>
      </c>
      <c r="B584" t="s" s="45">
        <v>593</v>
      </c>
      <c r="C584" t="b" s="52">
        <v>1</v>
      </c>
      <c r="D584" s="86"/>
      <c r="E584" s="88"/>
    </row>
    <row r="585" ht="23.1" customHeight="1">
      <c r="A585" t="s" s="24">
        <v>274</v>
      </c>
      <c r="B585" t="s" s="53">
        <v>593</v>
      </c>
      <c r="C585" t="b" s="57">
        <v>1</v>
      </c>
      <c r="D585" s="86"/>
      <c r="E585" s="88"/>
    </row>
    <row r="586" ht="13.55" customHeight="1">
      <c r="A586" s="68"/>
      <c r="B586" s="69"/>
      <c r="C586" s="69"/>
      <c r="D586" s="39"/>
      <c r="E586" s="4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